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ubated StartUps " sheetId="1" r:id="rId5"/>
    <sheet state="visible" name="Incubation Activities_2022-25" sheetId="2" r:id="rId6"/>
    <sheet state="visible" name="AKTU Zonal_2024-25" sheetId="3" r:id="rId7"/>
    <sheet state="visible" name="RevenueGen_StartUps" sheetId="4" r:id="rId8"/>
    <sheet state="visible" name="MSME 5.0" sheetId="5" r:id="rId9"/>
    <sheet state="visible" name="MSME_Summary" sheetId="6" r:id="rId10"/>
    <sheet state="visible" name="NIRF Details" sheetId="7" r:id="rId11"/>
    <sheet state="visible" name="IIC ITSEC_Experts" sheetId="8" r:id="rId12"/>
    <sheet state="visible" name="Ideas_2024" sheetId="9" r:id="rId13"/>
    <sheet state="visible" name="TechTrix25_Jury" sheetId="10" r:id="rId14"/>
    <sheet state="visible" name="TechTrix25_School Students" sheetId="11" r:id="rId15"/>
    <sheet state="visible" name="Awards" sheetId="12" r:id="rId16"/>
    <sheet state="visible" name="GuestsList_NFED" sheetId="13" r:id="rId17"/>
    <sheet state="visible" name="Patent_NewGen" sheetId="14" r:id="rId18"/>
    <sheet state="visible" name="Ideas_111" sheetId="15" r:id="rId19"/>
    <sheet state="visible" name="DirectorAKTU_Mail" sheetId="16" r:id="rId20"/>
    <sheet state="visible" name="MSME StartUp Grants Status" sheetId="17" r:id="rId21"/>
    <sheet state="visible" name="GENESIS_Mentor" sheetId="18" r:id="rId22"/>
    <sheet state="visible" name="MSME Progress " sheetId="19" r:id="rId23"/>
    <sheet state="visible" name="Expenditure" sheetId="20" r:id="rId24"/>
    <sheet state="visible" name="TechTrix25 - CSE" sheetId="21" r:id="rId25"/>
    <sheet state="visible" name="Ideathon_Responses" sheetId="22" r:id="rId26"/>
    <sheet state="visible" name="Ideathon_Result" sheetId="23" r:id="rId27"/>
    <sheet state="visible" name="ESDM Prototypes" sheetId="24" r:id="rId28"/>
    <sheet state="visible" name="Partners &amp; Collaborations" sheetId="25" r:id="rId29"/>
    <sheet state="visible" name="Revenue Gen_StartUPs" sheetId="26" r:id="rId30"/>
    <sheet state="visible" name="Hack The Beginning26 Submission" sheetId="27" r:id="rId31"/>
    <sheet state="visible" name="NewGen Projects_1st Year" sheetId="28" r:id="rId32"/>
    <sheet state="visible" name="NewGen Projects_2nd Year" sheetId="29" r:id="rId33"/>
    <sheet state="visible" name="NewGen Projects_3rd Year" sheetId="30" r:id="rId34"/>
    <sheet state="visible" name="NewGen Projects_4th Year" sheetId="31" r:id="rId35"/>
    <sheet state="visible" name="E-CELL Events Record" sheetId="32" r:id="rId36"/>
    <sheet state="visible" name="Sponsors Connect" sheetId="33" r:id="rId37"/>
  </sheets>
  <definedNames/>
  <calcPr/>
</workbook>
</file>

<file path=xl/sharedStrings.xml><?xml version="1.0" encoding="utf-8"?>
<sst xmlns="http://schemas.openxmlformats.org/spreadsheetml/2006/main" count="10954" uniqueCount="6004">
  <si>
    <t xml:space="preserve">S.No. </t>
  </si>
  <si>
    <t>Dr. A.P.J. Abdul Kalam Technical University, Uttar Pradesh, Lucknow</t>
  </si>
  <si>
    <t>ITSEC - NFED_Incubatees</t>
  </si>
  <si>
    <t>Revenue Generated Incubated Startups</t>
  </si>
  <si>
    <t>Name of Workshop/Program</t>
  </si>
  <si>
    <t>Topics Covered in the Workshop/Program</t>
  </si>
  <si>
    <t>Mode of Workshop/Program</t>
  </si>
  <si>
    <t xml:space="preserve">Location of Workshop/Program </t>
  </si>
  <si>
    <t xml:space="preserve">Date of Workshop/Program </t>
  </si>
  <si>
    <t>Number of Participants in the Workshop/Program</t>
  </si>
  <si>
    <t>Name of the Existing/Potential
Ecosystem Enablers attending the Workshop/Program</t>
  </si>
  <si>
    <t>Type Ecosystem Enablers attending the Workshop/Program</t>
  </si>
  <si>
    <t>S. No.</t>
  </si>
  <si>
    <t xml:space="preserve">BHASKAR ID of Ecosystem Enabler  </t>
  </si>
  <si>
    <t xml:space="preserve">Designation of Ecosystem Enabler   </t>
  </si>
  <si>
    <t xml:space="preserve">Phone Number of the Ecosystem Enabler  </t>
  </si>
  <si>
    <t xml:space="preserve">Email ID of the Ecosystem Enabler  </t>
  </si>
  <si>
    <t>Media</t>
  </si>
  <si>
    <t>Workshop on AWS</t>
  </si>
  <si>
    <t>“Amazon Web Services (AWS)”</t>
  </si>
  <si>
    <t>Dr. Abdul Kalam Inter-Technical University Literary, Management and Technical Fest, 2024-25</t>
  </si>
  <si>
    <t xml:space="preserve">Offline </t>
  </si>
  <si>
    <t>ITS Engineering College, Greater Noida</t>
  </si>
  <si>
    <t>Company Name</t>
  </si>
  <si>
    <t>Founder Name</t>
  </si>
  <si>
    <t xml:space="preserve">Navrachna Foundation for Entrepreneurship Development/ITS Engineering College </t>
  </si>
  <si>
    <t>Women Founder(Yes/No)</t>
  </si>
  <si>
    <t>CIN Number</t>
  </si>
  <si>
    <t>Sector</t>
  </si>
  <si>
    <t>Website</t>
  </si>
  <si>
    <t>Stage</t>
  </si>
  <si>
    <t>Mobile Number</t>
  </si>
  <si>
    <t>Email ID</t>
  </si>
  <si>
    <t>Registration Proforma</t>
  </si>
  <si>
    <t>Date of Incorporation</t>
  </si>
  <si>
    <t>PROGRAM CONDUCTED TO SUPPORT STUDENT ENTREPRENEURS</t>
  </si>
  <si>
    <t>Date of Incubation</t>
  </si>
  <si>
    <t>OI-1124-9088TY</t>
  </si>
  <si>
    <t>DPIIT Number</t>
  </si>
  <si>
    <t xml:space="preserve">Incubator </t>
  </si>
  <si>
    <t>StartinUP Registration Number</t>
  </si>
  <si>
    <t>head.nfed@its.edu.in</t>
  </si>
  <si>
    <t>About the StartUP</t>
  </si>
  <si>
    <t>https://docs.google.com/document/d/1gK7QAPlGhqRlIkqH3KH8j3UuDlxdhw74/edit?usp=sharing&amp;ouid=104602613420684160217&amp;rtpof=true&amp;sd=true</t>
  </si>
  <si>
    <t xml:space="preserve">Company Name </t>
  </si>
  <si>
    <t>A</t>
  </si>
  <si>
    <t>Bigblare Innovations LLP</t>
  </si>
  <si>
    <t xml:space="preserve">Detai of the Zone/Zonal Center (Name of the Zone:    Gautam Buddha Nagar </t>
  </si>
  <si>
    <t xml:space="preserve">Email ID </t>
  </si>
  <si>
    <t>Mr. Shubham Kumar</t>
  </si>
  <si>
    <t xml:space="preserve">DPIIT Number </t>
  </si>
  <si>
    <t>NO</t>
  </si>
  <si>
    <t>AAY-4392</t>
  </si>
  <si>
    <t>Revenue
(Rs.) Lakh</t>
  </si>
  <si>
    <t>AIML</t>
  </si>
  <si>
    <t>Jagmag Lights Private Limited</t>
  </si>
  <si>
    <r>
      <rPr>
        <rFont val="Calibri"/>
        <color rgb="FF1155CC"/>
        <sz val="11.0"/>
        <u/>
      </rPr>
      <t>bigblareinnovations.com</t>
    </r>
  </si>
  <si>
    <t>Upasana Singh</t>
  </si>
  <si>
    <t>Expert Talk on: Machine Learning and Data Science</t>
  </si>
  <si>
    <t>jagmaglights@gmail.com</t>
  </si>
  <si>
    <t>Machine Learning and Data Science</t>
  </si>
  <si>
    <t>DIPP123349</t>
  </si>
  <si>
    <t>R/STARTUP/UP/LKO/2023/00004536</t>
  </si>
  <si>
    <t>Name of the Zonal Center</t>
  </si>
  <si>
    <t>18-05-2022</t>
  </si>
  <si>
    <t>KCC INSTITUTE OF TECHNOLOGY &amp; MANAGEMENT</t>
  </si>
  <si>
    <t>SpeckyFox Technologies India Pvt Ltd</t>
  </si>
  <si>
    <t>CORPORATE/INDUSTRY CONNECT</t>
  </si>
  <si>
    <t>Avneesh Kumar Agarwal</t>
  </si>
  <si>
    <t>avneesh@speckyfox.com</t>
  </si>
  <si>
    <t>DIPP73805</t>
  </si>
  <si>
    <t>R/STARTUP/UP/LKO/2023/00006790</t>
  </si>
  <si>
    <t>https://docs.google.com/document/d/1gfYlhCqZu4W-cZXgxR1noNxHPrtq6a8v/edit?usp=sharing&amp;ouid=104602613420684160217&amp;rtpof=true&amp;sd=true</t>
  </si>
  <si>
    <t xml:space="preserve">Intelligentia Labs Private Limited </t>
  </si>
  <si>
    <t>Dev Khanduja</t>
  </si>
  <si>
    <t>Zonal Center College Code:492</t>
  </si>
  <si>
    <t>devkhanduja11@gmail.com</t>
  </si>
  <si>
    <t>In Process</t>
  </si>
  <si>
    <t>Validation</t>
  </si>
  <si>
    <t>B</t>
  </si>
  <si>
    <t>KKRING Life INDIA PRIVATE LIMITED</t>
  </si>
  <si>
    <t>Detail of the participating Institute/College</t>
  </si>
  <si>
    <t>Satish Kumar Singh</t>
  </si>
  <si>
    <r>
      <rPr>
        <rFont val="Calibri"/>
        <color rgb="FF1155CC"/>
        <sz val="11.0"/>
        <u/>
      </rPr>
      <t>bigblareinnovations1@gmail.com</t>
    </r>
  </si>
  <si>
    <t>mylyfcareindia@gmail.com</t>
  </si>
  <si>
    <t>DIPP76438</t>
  </si>
  <si>
    <t>Workshop on "Prototype/Process Design and Development - Prototyping ”</t>
  </si>
  <si>
    <t>R/STARTUP/UP/LKO/2022/00004076</t>
  </si>
  <si>
    <t>"Prototype/Process Design and Development - Prototyping ”</t>
  </si>
  <si>
    <t>UPROI DIGITAL PRIVATE LIMITED</t>
  </si>
  <si>
    <t>Ankit Sharma</t>
  </si>
  <si>
    <t>ankit@uproi.in</t>
  </si>
  <si>
    <t>DIPP92473</t>
  </si>
  <si>
    <t>R/STARTUP/UP/LKO/2024/00004359</t>
  </si>
  <si>
    <t>Kineer Services Pvt Ltd</t>
  </si>
  <si>
    <t>Manish Jain</t>
  </si>
  <si>
    <t>https://docs.google.com/document/d/1ybEubL1DyyxF2CiSM7encUIabdKtcOxW/edit?usp=sharing&amp;ouid=104602613420684160217&amp;rtpof=true&amp;sd=true</t>
  </si>
  <si>
    <t>Name of the Institute/College</t>
  </si>
  <si>
    <t>manish@kazzam.in</t>
  </si>
  <si>
    <t>I.T.S Engineering College, Greater Noida</t>
  </si>
  <si>
    <t>07-11- 2022</t>
  </si>
  <si>
    <t>DIPP29754</t>
  </si>
  <si>
    <t>DIPP111398</t>
  </si>
  <si>
    <t>R/STARTUP/UP/LKO/2022/00004118</t>
  </si>
  <si>
    <t>R/STARTUP/UP/LKO/2023/00003810</t>
  </si>
  <si>
    <t>Workshop on Business Model Canvas (BMC)</t>
  </si>
  <si>
    <t>Business Model Canvas (BMC)</t>
  </si>
  <si>
    <t>Bigblare Innovations LLP is a technology and product development company focused on embedded systems, IoT solutions, automation technologies, and engineering innovation. The company develops intelligent hardware and software solutions that address real-world industrial and consumer challenges while promoting technological advancement through research-driven product development.</t>
  </si>
  <si>
    <t>NUTRITOWN SUPERFOODS LLP</t>
  </si>
  <si>
    <t>Institute /College Code</t>
  </si>
  <si>
    <t>23-05-2022</t>
  </si>
  <si>
    <t>UJJWAL SAHU</t>
  </si>
  <si>
    <t>LOCKSISH DIGITECH INDIA PRIVATE LIMITED</t>
  </si>
  <si>
    <t>nutritownindia@gmail.com</t>
  </si>
  <si>
    <t>Mr. Rajendra Prasad</t>
  </si>
  <si>
    <t>DIPP130418</t>
  </si>
  <si>
    <t>R/STARTUP/UP/LKO/2023/00005652</t>
  </si>
  <si>
    <t>U74999UP2022PTC163617</t>
  </si>
  <si>
    <t>IT Services</t>
  </si>
  <si>
    <t>Epntek Labs Llp</t>
  </si>
  <si>
    <t>https://locksishdigitechindia.com/</t>
  </si>
  <si>
    <t>Ruchi Jaiswa</t>
  </si>
  <si>
    <t>epnteklabs@gmail.com</t>
  </si>
  <si>
    <t>https://docs.google.com/document/d/1SV95hPkHDOY6hPpBGCgX9p0WTAvRie3S/edit?usp=drive_link&amp;ouid=104602613420684160217&amp;rtpof=true&amp;sd=true</t>
  </si>
  <si>
    <t>DIPP120139</t>
  </si>
  <si>
    <t>R/STARTUP/UP/LKO/2023/00004305</t>
  </si>
  <si>
    <t>Name of the Director/Principle</t>
  </si>
  <si>
    <t>Dr. MAYANK GARG</t>
  </si>
  <si>
    <t>Expert Talk on Digital Marketing</t>
  </si>
  <si>
    <t>Digital Marketing</t>
  </si>
  <si>
    <t>Debasoham mechanism pvt Ltd</t>
  </si>
  <si>
    <t>DEBASHIS BISWAL</t>
  </si>
  <si>
    <t>26-05-2022</t>
  </si>
  <si>
    <t>dbiswal7@gmail.com</t>
  </si>
  <si>
    <t>Email-id of the Director /Principal</t>
  </si>
  <si>
    <t>R/STARTUP/UP/LKO/2023/00007344</t>
  </si>
  <si>
    <t>dir.engg@its.edu.in</t>
  </si>
  <si>
    <t>Early Traction</t>
  </si>
  <si>
    <t>SHIVISAVI BUSINESS LLP</t>
  </si>
  <si>
    <t>Shivhari Lal Shivhare</t>
  </si>
  <si>
    <t>https://docs.google.com/document/d/16vLFBJZMY8-1u2HUeb0QGF9t_27tTRxo/edit?usp=drive_link&amp;ouid=104602613420684160217&amp;rtpof=true&amp;sd=true</t>
  </si>
  <si>
    <t>Anilarya.2011@rediffmail.com</t>
  </si>
  <si>
    <t>MANEESHKUMARSHIVHARE@GMAIL.COM</t>
  </si>
  <si>
    <t>DIPP185896</t>
  </si>
  <si>
    <t>R/STARTUP/UP/LKO/2025/000036982</t>
  </si>
  <si>
    <t>Mob. No of the Director/Principal</t>
  </si>
  <si>
    <t>21-12- 2022</t>
  </si>
  <si>
    <t>"Lean Start-up &amp; Minimum Viable Product / Business"</t>
  </si>
  <si>
    <t>DIPP101599</t>
  </si>
  <si>
    <t>Arun Choudhary Associates LLP</t>
  </si>
  <si>
    <t>Arun Choudhary</t>
  </si>
  <si>
    <t>R/STARTUP/UP/LKO/2022/00003968</t>
  </si>
  <si>
    <t>arun.choudhary@e4asolution.com</t>
  </si>
  <si>
    <t>17-08-2022</t>
  </si>
  <si>
    <t>Locksish Digitech India Private Limited develops digital security and smart access management solutions designed to enhance safety, convenience, and operational efficiency. The company leverages innovative technologies to provide secure, scalable, and user-friendly systems for residential, commercial, and institutional applications.</t>
  </si>
  <si>
    <t>DIPP99302</t>
  </si>
  <si>
    <t>R/STARTUP/UP/LKO/2023/00007136</t>
  </si>
  <si>
    <t>GAUSSIAN BLUR (OPC) PRIVATE LIMITED</t>
  </si>
  <si>
    <t>Name of Team Manager</t>
  </si>
  <si>
    <t>Mr. Rajat Pandit</t>
  </si>
  <si>
    <t xml:space="preserve"> Mr. Agha A. Husain    </t>
  </si>
  <si>
    <t>U22300UP2021OPC153185</t>
  </si>
  <si>
    <t>Irriclay Technology LLP</t>
  </si>
  <si>
    <t>https://docs.google.com/document/d/1EUI6Fm0IwUbLBB_9JW9RqPaetLMsRPo9/edit?usp=drive_link&amp;ouid=104602613420684160217&amp;rtpof=true&amp;sd=true</t>
  </si>
  <si>
    <t>Anuj Katiyar</t>
  </si>
  <si>
    <t>Anujkatiyar12@gmail.com</t>
  </si>
  <si>
    <t>DIPP78471</t>
  </si>
  <si>
    <r>
      <rPr>
        <rFont val="Calibri"/>
        <color rgb="FF1155CC"/>
        <sz val="11.0"/>
        <u/>
      </rPr>
      <t>https://visualsketches.art</t>
    </r>
  </si>
  <si>
    <t>Session on Converting Innovation into a startup</t>
  </si>
  <si>
    <t>Converting Innovation into a startup</t>
  </si>
  <si>
    <t>Degination of Team Manager</t>
  </si>
  <si>
    <t>Faculty</t>
  </si>
  <si>
    <t>22/08/2022</t>
  </si>
  <si>
    <t>SENSITIZATION PROGRAM FOR STARTUPS &amp; MENTORS</t>
  </si>
  <si>
    <t>Mob.No. of Team Manager</t>
  </si>
  <si>
    <t xml:space="preserve">Evergreat Yota Machinery and Automation Private Limited </t>
  </si>
  <si>
    <t>Kamal Batra</t>
  </si>
  <si>
    <t>Ideation</t>
  </si>
  <si>
    <t>https://docs.google.com/document/d/1AIYYKzdqu7K-2nn9izo0wCYI71DMq8jZ/edit?usp=drive_link&amp;ouid=104602613420684160217&amp;rtpof=true&amp;sd=true</t>
  </si>
  <si>
    <t>er.batrakamal@gmail.com</t>
  </si>
  <si>
    <t>gaussianbluropc@gmail.com</t>
  </si>
  <si>
    <t>30-09-2021</t>
  </si>
  <si>
    <t>DIPP89852</t>
  </si>
  <si>
    <t xml:space="preserve">Cipher 10Infinity Pvt Ltd </t>
  </si>
  <si>
    <t>Two Days Innovation Entrepreneurship (I &amp; E) Exposure visit cum Training program" (2 DAYS)</t>
  </si>
  <si>
    <t>R/STARTUP/UP/LKO/2022/00003986</t>
  </si>
  <si>
    <t>Harshit Kumar Singh</t>
  </si>
  <si>
    <t>Innovation Entrepreneurship (I &amp; E) Exposure visit cum Training program</t>
  </si>
  <si>
    <t>Harshitsingh66@gmail.com</t>
  </si>
  <si>
    <t>Gaussian Blur (OPC) Private Limited is a creative technology venture focused on digital media, content production, and innovative visual communication solutions. The company integrates design, technology, and storytelling to create impactful digital experiences for businesses, brands, and consumers.</t>
  </si>
  <si>
    <t>DIPP65785</t>
  </si>
  <si>
    <t>NEIOT TECHNOLOGIES (OPC) PRIVATE LIMITED</t>
  </si>
  <si>
    <t>23/08/2022 &amp; 24/08/2024</t>
  </si>
  <si>
    <t>Mr. Niranjan Kumar</t>
  </si>
  <si>
    <t>MEREC CLIMATE PRIVATE LIMITED</t>
  </si>
  <si>
    <t>U72900UP2021OPC146916</t>
  </si>
  <si>
    <t>MANEESH KUMAR SHIVHARE</t>
  </si>
  <si>
    <t>manish.nitme@gmail.com</t>
  </si>
  <si>
    <t>DIPP132594</t>
  </si>
  <si>
    <r>
      <rPr>
        <rFont val="Calibri"/>
        <color rgb="FF1155CC"/>
        <sz val="11.0"/>
        <u/>
      </rPr>
      <t>https://neiot.in/</t>
    </r>
  </si>
  <si>
    <t>R/STARTUP/UP/LKO/2023/00006179</t>
  </si>
  <si>
    <t>https://docs.google.com/document/d/1iSj_3RL3Rkd6CNPV_8KYHtPI2ydSuZmO/edit?usp=drive_link&amp;ouid=104602613420684160217&amp;rtpof=true&amp;sd=true</t>
  </si>
  <si>
    <t>RAJENDRA PRASAD</t>
  </si>
  <si>
    <t>Conosolidated List of Participants  (No. of Participants: 1. Male:              2. Female:         3. Total:</t>
  </si>
  <si>
    <t>Hands on Workshop "Internet of Things"</t>
  </si>
  <si>
    <t>Internet of Things</t>
  </si>
  <si>
    <t>15-09-2022</t>
  </si>
  <si>
    <t>niranjanims625@gmail.com</t>
  </si>
  <si>
    <t>AURASA VENTURES PRIVATE LIMITED</t>
  </si>
  <si>
    <t>ayush sachan</t>
  </si>
  <si>
    <t>30-12- 2022</t>
  </si>
  <si>
    <t>DIPP81663</t>
  </si>
  <si>
    <t>R/STARTUP/UP/LKO/2022/00003956</t>
  </si>
  <si>
    <t>basicssco@gmail.com</t>
  </si>
  <si>
    <t>NEIOT Technologies (OPC) Private Limited specializes in Internet of Things (IoT) solutions, smart device integration, and connected technology ecosystems. The startup develops intelligent monitoring and automation systems that improve operational efficiency, data-driven decision-making, and digital transformation across multiple sectors.</t>
  </si>
  <si>
    <t>DIPP171406</t>
  </si>
  <si>
    <t>R/STARTUP/UP/LKO/2024/000036243</t>
  </si>
  <si>
    <t>https://docs.google.com/document/d/15ta2bSWfWQbvBqaygcy_3KhAhuip4Kjo/edit?usp=drive_link&amp;ouid=104602613420684160217&amp;rtpof=true&amp;sd=true</t>
  </si>
  <si>
    <t>Culston Financials Private Limited</t>
  </si>
  <si>
    <t>Mr. Shivansh Agarwal</t>
  </si>
  <si>
    <t>U65100UP2022PTC163707</t>
  </si>
  <si>
    <t>INDUS AI PRIVATE LIMITED</t>
  </si>
  <si>
    <t>FinTech</t>
  </si>
  <si>
    <t>Vivek Gupta</t>
  </si>
  <si>
    <t>NA</t>
  </si>
  <si>
    <t>Expert Talk on Startups-Need of Hour</t>
  </si>
  <si>
    <t>vivekgupta668@gmail.com</t>
  </si>
  <si>
    <t xml:space="preserve">Time management </t>
  </si>
  <si>
    <t>DIPP144208</t>
  </si>
  <si>
    <t>shivansh491@gmail.com</t>
  </si>
  <si>
    <t>R/STARTUP/UP/LKO/2024/000035465</t>
  </si>
  <si>
    <t>CYBERKIDA DIGIERA PRIVATE LIMITED</t>
  </si>
  <si>
    <t>03-01- 2023</t>
  </si>
  <si>
    <t>Dilip Jadaun</t>
  </si>
  <si>
    <t>DIPP113063</t>
  </si>
  <si>
    <t>cyberkidaindia@gmail.com</t>
  </si>
  <si>
    <t>R/STARTUP/UP/LKO/2022/00003940</t>
  </si>
  <si>
    <t>DIPP179430</t>
  </si>
  <si>
    <t>R/STARTUP/UP/LKO/2025/000038097</t>
  </si>
  <si>
    <t>Culston Financials Private Limited is a fintech startup focused on providing innovative financial services, investment solutions, and digital financial advisory platforms. The company aims to simplify financial planning and wealth management through technology-enabled services that enhance accessibility, transparency, and customer engagement.</t>
  </si>
  <si>
    <t>S No.</t>
  </si>
  <si>
    <t>Revive EV LLP</t>
  </si>
  <si>
    <t>MYDIGITALDUDES TECHNOLOGY LLP</t>
  </si>
  <si>
    <t xml:space="preserve">Dilip Jadaun </t>
  </si>
  <si>
    <t>Name of the student(s)</t>
  </si>
  <si>
    <t>Father's Name</t>
  </si>
  <si>
    <t>In process</t>
  </si>
  <si>
    <t>Ms. Nidhi Sharma</t>
  </si>
  <si>
    <t>Roll Number</t>
  </si>
  <si>
    <t>YES</t>
  </si>
  <si>
    <t>https://docs.google.com/document/d/1pxHCXh2nZ7IJ3PlHDHtcRjpGL-ZK6x7b/edit?usp=drive_link&amp;ouid=104602613420684160217&amp;rtpof=true&amp;sd=true</t>
  </si>
  <si>
    <t>Course</t>
  </si>
  <si>
    <t>AAY -4137</t>
  </si>
  <si>
    <t>Year</t>
  </si>
  <si>
    <t>Manufacturing</t>
  </si>
  <si>
    <t>Branch</t>
  </si>
  <si>
    <t>MBMS TRULYFRESH PRIVATE LIMITED</t>
  </si>
  <si>
    <t>Aadhar No.</t>
  </si>
  <si>
    <t>Suman Pandey</t>
  </si>
  <si>
    <t>Prototype</t>
  </si>
  <si>
    <t>Gender</t>
  </si>
  <si>
    <t>vishalsagar43@gmail.com</t>
  </si>
  <si>
    <t>Date of Birth</t>
  </si>
  <si>
    <t>DIPP185443</t>
  </si>
  <si>
    <t>Nidhisharma1531@gmail.com</t>
  </si>
  <si>
    <t>Mobile No</t>
  </si>
  <si>
    <t>Workshop on Innovation for Better Future &amp; Sustainable Development</t>
  </si>
  <si>
    <t>R/STARTUP/UP/LKO/2025/000036963</t>
  </si>
  <si>
    <t>Innovation for Better Future &amp; Sustainable Development</t>
  </si>
  <si>
    <t>19-01- 2023</t>
  </si>
  <si>
    <t>DIPP118348</t>
  </si>
  <si>
    <t>R/STARTUP/UP/LKO/2023/00004198</t>
  </si>
  <si>
    <t xml:space="preserve">Tripo Saints Private Limited </t>
  </si>
  <si>
    <t>Revive EV LLP is an electric mobility startup dedicated to promoting sustainable transportation through innovative electric vehicle solutions. The company focuses on advancing clean mobility technologies that reduce environmental impact while improving efficiency, affordability, and accessibility of electric transportation systems.</t>
  </si>
  <si>
    <t>HARSH VARDHAN AGARWAL</t>
  </si>
  <si>
    <t>13-10-2022</t>
  </si>
  <si>
    <t>triposaints@gmail.com</t>
  </si>
  <si>
    <t>1</t>
  </si>
  <si>
    <t>DIPP11435</t>
  </si>
  <si>
    <t>Ms. Upasana Singh</t>
  </si>
  <si>
    <t>Abhishek Patel</t>
  </si>
  <si>
    <t>R/STARTUP/UP/LKO/2023/00004845</t>
  </si>
  <si>
    <t>Mr.Rajesh kumar</t>
  </si>
  <si>
    <t>U36995UP2019PTC113382</t>
  </si>
  <si>
    <t>Electronics/IoT</t>
  </si>
  <si>
    <t>2202220310003</t>
  </si>
  <si>
    <t>Arkansh FnB Pvt Ltd</t>
  </si>
  <si>
    <t>B.Tech</t>
  </si>
  <si>
    <t>https://docs.google.com/document/d/1oBIDsi01WxSVciOpq7fYPMPHBa2zwAeR/edit?usp=drive_link&amp;ouid=104602613420684160217&amp;rtpof=true&amp;sd=true</t>
  </si>
  <si>
    <t>Anshul dembla</t>
  </si>
  <si>
    <t>3rd</t>
  </si>
  <si>
    <r>
      <rPr>
        <rFont val="Calibri"/>
        <color rgb="FF1155CC"/>
        <sz val="11.0"/>
        <u/>
      </rPr>
      <t>https://jagmaglights.com/</t>
    </r>
  </si>
  <si>
    <t>ECE</t>
  </si>
  <si>
    <t>anshul.dembla@gmail.com</t>
  </si>
  <si>
    <t>785872824306</t>
  </si>
  <si>
    <t>DIPP177075</t>
  </si>
  <si>
    <t>Male</t>
  </si>
  <si>
    <t>R/STARTUP/UP/LKO/2025/00007551</t>
  </si>
  <si>
    <t>28/03/2004</t>
  </si>
  <si>
    <t>Hands on Workshop on Industrial Python Programming &amp; It's Applications in Machine Learning</t>
  </si>
  <si>
    <t>Industrial Python Programming &amp; It's Applications in Machine Learning</t>
  </si>
  <si>
    <t>WA FASHION INDIA LLP</t>
  </si>
  <si>
    <t>Neha Nandini</t>
  </si>
  <si>
    <t>fashionreinvent@gmail.com</t>
  </si>
  <si>
    <t>DIPP181506</t>
  </si>
  <si>
    <t>R/STARTUP/UP/LKO/2024/000036629</t>
  </si>
  <si>
    <t>Bigblare Innovations Llp</t>
  </si>
  <si>
    <t>2</t>
  </si>
  <si>
    <t>Scaling</t>
  </si>
  <si>
    <t>Md Samiruddin Ansari</t>
  </si>
  <si>
    <t>Aadarsh</t>
  </si>
  <si>
    <t>bigblareinnovations1@gmail.com</t>
  </si>
  <si>
    <t>Arvind Kumar Mallick</t>
  </si>
  <si>
    <t>https://drive.google.com/file/d/1K04uTiVFq07eucqRphoI3bTt0jot4fMo/view?usp=sharing</t>
  </si>
  <si>
    <t>04-03- 2023</t>
  </si>
  <si>
    <t>2102220310001</t>
  </si>
  <si>
    <t>4th</t>
  </si>
  <si>
    <t>Python Programming Live Projects</t>
  </si>
  <si>
    <t>Jagmag Lights Private Limited designs and manufactures energy-efficient lighting products for residential, commercial, and industrial applications. The company combines innovation, quality, and sustainability to deliver advanced lighting solutions that enhance energy conservation and user experience.</t>
  </si>
  <si>
    <t xml:space="preserve">Python Programming </t>
  </si>
  <si>
    <t>970728905349</t>
  </si>
  <si>
    <t>02/09/2004</t>
  </si>
  <si>
    <t>Ms. Ruchi Jaiswal</t>
  </si>
  <si>
    <t>AAJ-8531</t>
  </si>
  <si>
    <r>
      <rPr>
        <rFont val="Calibri"/>
        <color rgb="FF1155CC"/>
        <sz val="11.0"/>
        <u/>
      </rPr>
      <t>https://www.epnteklabs.com/</t>
    </r>
  </si>
  <si>
    <t>https://docs.google.com/document/d/1VwaRb472FaVnsZp1zQhMJqKKFl0F5yvV/edit?usp=drive_link&amp;ouid=104602613420684160217&amp;rtpof=true&amp;sd=true</t>
  </si>
  <si>
    <t>3</t>
  </si>
  <si>
    <t>Deepak Prajapati</t>
  </si>
  <si>
    <t>Mahesh Kumar Prajapati</t>
  </si>
  <si>
    <t>Data Analytics Workshop</t>
  </si>
  <si>
    <t xml:space="preserve">Data Anylytics </t>
  </si>
  <si>
    <t>2302220310016</t>
  </si>
  <si>
    <t>2nd</t>
  </si>
  <si>
    <t>386263960100</t>
  </si>
  <si>
    <t>21/10/2006</t>
  </si>
  <si>
    <t>03-04- 2023</t>
  </si>
  <si>
    <t>https://docs.google.com/document/d/19A3HyQISXDQqbyppYYUNDFIu3RM0p9cx/edit?usp=drive_link&amp;ouid=104602613420684160217&amp;rtpof=true&amp;sd=true</t>
  </si>
  <si>
    <t>Epntek Labs LLP is a technology-driven research and development company focused on creating innovative engineering and digital solutions. The startup works on product development, technological experimentation, and applied research to address emerging challenges across industrial and technology sectors.</t>
  </si>
  <si>
    <t>4</t>
  </si>
  <si>
    <t>Ayush Shakya</t>
  </si>
  <si>
    <t>Mr. Brajesh Kumar</t>
  </si>
  <si>
    <t>Workshop On Data Science</t>
  </si>
  <si>
    <t>Mr. Ujjwal Sahu</t>
  </si>
  <si>
    <t>240310859551</t>
  </si>
  <si>
    <t xml:space="preserve">Data science </t>
  </si>
  <si>
    <t>1st</t>
  </si>
  <si>
    <t>CSE</t>
  </si>
  <si>
    <t>24-11-2022</t>
  </si>
  <si>
    <t>249725260752</t>
  </si>
  <si>
    <t>AAS8415</t>
  </si>
  <si>
    <t>Food Processing</t>
  </si>
  <si>
    <t>25/07/2005</t>
  </si>
  <si>
    <t>9528316577</t>
  </si>
  <si>
    <r>
      <rPr>
        <rFont val="Calibri"/>
        <color rgb="FF1155CC"/>
        <sz val="11.0"/>
        <u/>
      </rPr>
      <t>https://nutritownorganic.com/</t>
    </r>
  </si>
  <si>
    <t>https://docs.google.com/document/d/1wX1LHD4dhx-UwDkEIfR-DS63yFMFDoD7/edit?usp=drive_link&amp;ouid=104602613420684160217&amp;rtpof=true&amp;sd=true</t>
  </si>
  <si>
    <t>Workshop on" Industrial Robotics &amp; Control"</t>
  </si>
  <si>
    <t>Industrial Robotics &amp; Control</t>
  </si>
  <si>
    <t>5</t>
  </si>
  <si>
    <t>Devraj Sigh</t>
  </si>
  <si>
    <t>30-11-2022</t>
  </si>
  <si>
    <t>Daljeet Singh</t>
  </si>
  <si>
    <t>2102220310012</t>
  </si>
  <si>
    <t>7071 8393 2784</t>
  </si>
  <si>
    <t>https://docs.google.com/document/d/1ugp3wJnPfLo8DcBkVcl7oWebS7Ehi0Eo/edit?usp=drive_link&amp;ouid=104602613420684160217&amp;rtpof=true&amp;sd=true</t>
  </si>
  <si>
    <t>04/07/2002</t>
  </si>
  <si>
    <t>“MSME -One Day Entrepreneurship Awareness Programme (EAP)”.</t>
  </si>
  <si>
    <t>05-06- 2023</t>
  </si>
  <si>
    <t>Entrepreneurship Awareness Programme (EAP)</t>
  </si>
  <si>
    <t>20-12-2022</t>
  </si>
  <si>
    <t>Nutritown Superfoods LLP develops nutrition-focused food products designed to promote healthy lifestyles and improved well-being. The company leverages natural ingredients and scientific formulations to create nutritious, convenient, and sustainable food solutions for health-conscious consumers.</t>
  </si>
  <si>
    <t>6</t>
  </si>
  <si>
    <t>Diksha Singh</t>
  </si>
  <si>
    <t>Mr. Maneesh Kumar Shivhare</t>
  </si>
  <si>
    <t>Kumar Alok</t>
  </si>
  <si>
    <t>No</t>
  </si>
  <si>
    <t>2302220310019</t>
  </si>
  <si>
    <t>U74999UP2022PTC166207</t>
  </si>
  <si>
    <t>Renewable Energy</t>
  </si>
  <si>
    <t>https://drive.google.com/file/d/1ihB8yb_2dHmJXoKmzs6fEfv3sWVGdfxr/view?usp=drive_link</t>
  </si>
  <si>
    <t>527757639576</t>
  </si>
  <si>
    <t>Female</t>
  </si>
  <si>
    <t>23/08/2006</t>
  </si>
  <si>
    <r>
      <rPr>
        <rFont val="Calibri"/>
        <color rgb="FF1155CC"/>
        <sz val="11.0"/>
        <u/>
      </rPr>
      <t>www.merecc.com</t>
    </r>
  </si>
  <si>
    <t>Workshop on Python with Web Technology Tools Using HTML, CSS, Bootstrap &amp; MYSQL</t>
  </si>
  <si>
    <t>Python with Web Technology Tools Using HTML, CSS, Bootstrap &amp; MYSQL</t>
  </si>
  <si>
    <t>7</t>
  </si>
  <si>
    <t>Bharti Sharma</t>
  </si>
  <si>
    <t>Harvendra Kumar Sharma</t>
  </si>
  <si>
    <t>2302220310015</t>
  </si>
  <si>
    <t>22-12-2022</t>
  </si>
  <si>
    <t>603619427644</t>
  </si>
  <si>
    <t>19/01/2006</t>
  </si>
  <si>
    <t>22-06-2022</t>
  </si>
  <si>
    <t>https://docs.google.com/document/d/1Hn4SgliOUBXLBH0hgHSfDDPMOsfGtTL-/edit?usp=drive_link&amp;ouid=104602613420684160217&amp;rtpof=true&amp;sd=true</t>
  </si>
  <si>
    <t>21-06- 2023</t>
  </si>
  <si>
    <t>Workshop on “Entrepreneurship and Innovation as Career Opportunity”</t>
  </si>
  <si>
    <t>Merec Climate Private Limited develops climate-focused technologies and sustainability solutions aimed at addressing environmental challenges. The company works on innovative approaches to climate resilience, resource efficiency, and sustainable development, contributing to a greener and more responsible future.</t>
  </si>
  <si>
    <t>Entrepreneurship and Innovation as Career Opportunity</t>
  </si>
  <si>
    <t>Innovant Energotech Solutions Private Limited</t>
  </si>
  <si>
    <t>8</t>
  </si>
  <si>
    <t>Mr. Rahul Singh</t>
  </si>
  <si>
    <t>Shubhang Mishra</t>
  </si>
  <si>
    <t>Manoj mishra</t>
  </si>
  <si>
    <t>U74999UP2017PTC096962</t>
  </si>
  <si>
    <t>2202221649007</t>
  </si>
  <si>
    <t>EduTech</t>
  </si>
  <si>
    <t>https://drive.google.com/file/d/1E544ejsKYQgs4xP_JtjFhabTE_Wu2m6V/view?usp=drive_link</t>
  </si>
  <si>
    <r>
      <rPr>
        <rFont val="Calibri"/>
        <color rgb="FF1155CC"/>
        <sz val="11.0"/>
        <u/>
      </rPr>
      <t>https://ablescareer.com/</t>
    </r>
  </si>
  <si>
    <t>741121213763</t>
  </si>
  <si>
    <t>17/03/2003</t>
  </si>
  <si>
    <t>76540 25369</t>
  </si>
  <si>
    <t>23-12-2022</t>
  </si>
  <si>
    <t>2 Days Workshop on"Introduction to Cyber Security &amp; Cyber Security Essentials" (Day-1)</t>
  </si>
  <si>
    <t>9</t>
  </si>
  <si>
    <t>rahul.singh@bimtech.ac.in</t>
  </si>
  <si>
    <t>Priya Saini</t>
  </si>
  <si>
    <t>14-09-2017</t>
  </si>
  <si>
    <t>Introduction to Cyber Security &amp; Cyber Security Essentials</t>
  </si>
  <si>
    <t>Mr. Ishwar saini</t>
  </si>
  <si>
    <t>09-07- 2023</t>
  </si>
  <si>
    <t>2302220310033</t>
  </si>
  <si>
    <t>DIPP11159</t>
  </si>
  <si>
    <t>03/01/2023 &amp; 04/01/2023</t>
  </si>
  <si>
    <t>R/STARTUP/UP/LKO/2023/00002535</t>
  </si>
  <si>
    <t>Innovant Energotech Solutions Private Limited provides innovative energy and engineering solutions focused on efficiency, sustainability, and technological advancement. The company develops products and services that support renewable energy adoption, energy optimization, and sustainable infrastructure development.</t>
  </si>
  <si>
    <t>533167383785</t>
  </si>
  <si>
    <t>BUKHAREEZ CORPORATIONS (OPC) PRIVATE LIMITED</t>
  </si>
  <si>
    <t>https://docs.google.com/document/d/1EHJ2mjpwAJwoUI5dl-hXaDGVvyfcAJ6h/edit?usp=drive_link&amp;ouid=104602613420684160217&amp;rtpof=true&amp;sd=true</t>
  </si>
  <si>
    <t>Mr. Mohammad Waseem Siddiqui</t>
  </si>
  <si>
    <t>02/10/2005</t>
  </si>
  <si>
    <t>U6400UP2022OPC174886</t>
  </si>
  <si>
    <t>IWorkshop on "Design Thinking, Critical Thinking and Innovation Design"</t>
  </si>
  <si>
    <r>
      <rPr>
        <rFont val="Calibri"/>
        <color rgb="FF1155CC"/>
        <sz val="11.0"/>
        <u/>
      </rPr>
      <t>https://www.manavwanisewa.com</t>
    </r>
  </si>
  <si>
    <t>Design Thinking, Critical Thinking and Innovation Design</t>
  </si>
  <si>
    <t>10</t>
  </si>
  <si>
    <t>Risha Kumari</t>
  </si>
  <si>
    <t>Binod Kumar chaurasia</t>
  </si>
  <si>
    <t>2302220310035</t>
  </si>
  <si>
    <t>https://drive.google.com/file/d/1g8RhnYMVc8lM074Si6zJOl5kl2GnDJCp/view?usp=drive_link</t>
  </si>
  <si>
    <t>sid.wasim@gmail.com</t>
  </si>
  <si>
    <t>Workshop on “Entrepreneurship Skill Attitude and Behaviour Development”</t>
  </si>
  <si>
    <t>13-12-2022</t>
  </si>
  <si>
    <t>Entrepreneurship Skill Attitude and Behaviour Development</t>
  </si>
  <si>
    <t>08-09- 2023</t>
  </si>
  <si>
    <t>DIPP126519</t>
  </si>
  <si>
    <t>829575271962</t>
  </si>
  <si>
    <t>25-01-2023</t>
  </si>
  <si>
    <t>R/STARTUP/UP/LKO/2023/00006921</t>
  </si>
  <si>
    <t>09/08/2005</t>
  </si>
  <si>
    <t>Bukhareez Corporations (OPC) Private Limited operates as an innovation-driven enterprise focused on developing business and technology solutions that address evolving market needs. The company emphasizes operational excellence, customer-centric innovation, and sustainable value creation across its service offerings.</t>
  </si>
  <si>
    <t>Mr. Satish Kumar Singh</t>
  </si>
  <si>
    <t>https://docs.google.com/document/d/17F-fTgACW0VKxEgqyZdoFLosJgnVY9_q/edit?usp=drive_link&amp;ouid=104602613420684160217&amp;rtpof=true&amp;sd=true</t>
  </si>
  <si>
    <t>U33110UP2021PLC142521</t>
  </si>
  <si>
    <t>11</t>
  </si>
  <si>
    <t>Healthcare Service</t>
  </si>
  <si>
    <t>Aikansh Kumar</t>
  </si>
  <si>
    <t>https://www.mylyfcares.com</t>
  </si>
  <si>
    <t>Leadership Talk</t>
  </si>
  <si>
    <t>Pratap kumar</t>
  </si>
  <si>
    <t>2302220310006</t>
  </si>
  <si>
    <t>30-01-2023</t>
  </si>
  <si>
    <t>606587343459</t>
  </si>
  <si>
    <t>13/07/2004</t>
  </si>
  <si>
    <t>https://docs.google.com/document/d/1CQXw_1DgT7Mfk3hgdW7lFfqVix9NNXkF/edit?usp=drive_link&amp;ouid=104602613420684160217&amp;rtpof=true&amp;sd=true</t>
  </si>
  <si>
    <t>26-10-2021</t>
  </si>
  <si>
    <t>21-08-2023</t>
  </si>
  <si>
    <t>Awareness and training Session on Intellectual Property (IP)</t>
  </si>
  <si>
    <t>12</t>
  </si>
  <si>
    <t>Gagan Sahu</t>
  </si>
  <si>
    <t>Session on Intellectual Property (IP)</t>
  </si>
  <si>
    <t>Gajraj Sahu</t>
  </si>
  <si>
    <t>KKRING Life India Private Limited operates MYLYFCARE, a digital healthcare platform that connects patients with essential healthcare services including medicine delivery, diagnostics, doctor consultations, and home healthcare support. The company aims to improve healthcare accessibility through technology-enabled and patient-centric service delivery.</t>
  </si>
  <si>
    <t>2102220100072</t>
  </si>
  <si>
    <t>Debasoham mechanism Pvt. Ltd</t>
  </si>
  <si>
    <t>Mr. Debashis Biswal</t>
  </si>
  <si>
    <t>Stakeholder Engagement</t>
  </si>
  <si>
    <t>UP93090UP2018PTC108185</t>
  </si>
  <si>
    <t>Waste Management</t>
  </si>
  <si>
    <t>https://docs.google.com/document/d/1bl-jxp1PS4mA69eALRUnY1xRQ0vXzcYH/edit?usp=drive_link&amp;ouid=104602613420684160217&amp;rtpof=true&amp;sd=true</t>
  </si>
  <si>
    <r>
      <rPr>
        <rFont val="Calibri"/>
        <color rgb="FF1155CC"/>
        <sz val="11.0"/>
        <u/>
      </rPr>
      <t>http://debasohammechanismpvtltd.website3.me/</t>
    </r>
  </si>
  <si>
    <t>212251708638</t>
  </si>
  <si>
    <t>22/07/2003</t>
  </si>
  <si>
    <t>7607316881</t>
  </si>
  <si>
    <t>Workshop on Time Management</t>
  </si>
  <si>
    <t>13</t>
  </si>
  <si>
    <t>Pritam Gupta</t>
  </si>
  <si>
    <t>Pradeep Kumar Gupta</t>
  </si>
  <si>
    <t>2202220310029</t>
  </si>
  <si>
    <t>https://docs.google.com/document/d/1bhJduoqT494qx9m8_CsfuFj6Gl75My11/edit?usp=drive_link&amp;ouid=104602613420684160217&amp;rtpof=true&amp;sd=true</t>
  </si>
  <si>
    <t>27-09- 2023</t>
  </si>
  <si>
    <t>536918556468</t>
  </si>
  <si>
    <t>Debasoham Mechanism Pvt. Ltd. develops innovative manufacturing and engineering solutions focused on industrial efficiency and technological advancement. The company specializes in designing and implementing mechanical systems and automation-driven products that address practical challenges in industrial operations.</t>
  </si>
  <si>
    <t>11/11/2003</t>
  </si>
  <si>
    <t>Tripo Saints Private Limited</t>
  </si>
  <si>
    <t>Workshop on “Achieving Problem-Solution Fit and Product-Market Fit”</t>
  </si>
  <si>
    <t>Mr. Harsh Vardhan Agarwal</t>
  </si>
  <si>
    <t>Achieving Problem-Solution Fit and Product-Market Fit</t>
  </si>
  <si>
    <t>U63030UP2022PTC170199</t>
  </si>
  <si>
    <t>Travel and Tourism</t>
  </si>
  <si>
    <r>
      <rPr>
        <rFont val="Calibri"/>
        <color rgb="FF1155CC"/>
        <sz val="11.0"/>
        <u/>
      </rPr>
      <t>https://www.triposaints.com/</t>
    </r>
  </si>
  <si>
    <t>14</t>
  </si>
  <si>
    <t>Ankit Mishra</t>
  </si>
  <si>
    <t>Shriram Mishra</t>
  </si>
  <si>
    <t>https://docs.google.com/document/d/1f17MjOgGAuYAse4w59k-4tAQ6wXK3opA/edit?usp=drive_link&amp;ouid=104602613420684160217&amp;rtpof=true&amp;sd=true</t>
  </si>
  <si>
    <t>2202220310011</t>
  </si>
  <si>
    <t>SR. No</t>
  </si>
  <si>
    <t>799609264787</t>
  </si>
  <si>
    <t>Two Days Hands On Workshop on Introduction to Firebird-V Robot and it's Interfacing.</t>
  </si>
  <si>
    <t>18/02/2005</t>
  </si>
  <si>
    <t>Introduction to Firebird-V Robot and it's Interfacing</t>
  </si>
  <si>
    <t>Reference No.</t>
  </si>
  <si>
    <t>State</t>
  </si>
  <si>
    <t>District</t>
  </si>
  <si>
    <t>09/02/2023 &amp; 10/02/2023</t>
  </si>
  <si>
    <t>17-11- 2023</t>
  </si>
  <si>
    <t>Name</t>
  </si>
  <si>
    <t>Category of the Incubatee</t>
  </si>
  <si>
    <t>Email Id</t>
  </si>
  <si>
    <t>Tripo Saints Private Limited is a travel and tourism-focused startup committed to enhancing travel experiences through technology-enabled services and innovative solutions. The company aims to simplify travel planning, improve accessibility, and create value-added experiences for travelers and tourism stakeholders.</t>
  </si>
  <si>
    <t>15</t>
  </si>
  <si>
    <t>Shivansh Seth</t>
  </si>
  <si>
    <t>Proposal Link</t>
  </si>
  <si>
    <t>https://docs.google.com/document/d/1bviTFXkY2qaZkEataOSIGa7-V6SzUD8y/edit?usp=drive_link&amp;ouid=104602613420684160217&amp;rtpof=true&amp;sd=true</t>
  </si>
  <si>
    <t>Nitin Seth</t>
  </si>
  <si>
    <t>Mr. Manish Jain</t>
  </si>
  <si>
    <t>2102220100162</t>
  </si>
  <si>
    <t>U41000UP2018PTC106381</t>
  </si>
  <si>
    <t>https://www.kineerblessed.com/</t>
  </si>
  <si>
    <t>449273131005</t>
  </si>
  <si>
    <t>Workshop on “Process of Innovation Development, Technology Readiness Level (TRL), Commercialization of Lab Technologies &amp; Tech-Transfer”</t>
  </si>
  <si>
    <t>04/11/2003</t>
  </si>
  <si>
    <t>Process of Innovation Development, Technology Readiness Level (TRL), Commercialization of Lab Technologies &amp; Tech-Transfer</t>
  </si>
  <si>
    <t>INC25EUP074321</t>
  </si>
  <si>
    <t>UTTAR PRADESH</t>
  </si>
  <si>
    <t>KANPUR NAGAR</t>
  </si>
  <si>
    <t>Aakash Verma</t>
  </si>
  <si>
    <t>Other</t>
  </si>
  <si>
    <t>16</t>
  </si>
  <si>
    <t>neutralmatrix@gmail.com</t>
  </si>
  <si>
    <t>Priyanshu Agarwal</t>
  </si>
  <si>
    <t>https://docs.google.com/document/d/1aJgr2RSvsysx5aC9-Wpwaqim55asroSZ/edit?usp=drive_link&amp;ouid=104602613420684160217&amp;rtpof=true&amp;sd=true</t>
  </si>
  <si>
    <t>Pawan Kumar Jindal</t>
  </si>
  <si>
    <t>https://drive.google.com/drive/folders/1P3uQXxap4wewYr9SJ1-2E-x4J73_76i5</t>
  </si>
  <si>
    <t>2202221530039</t>
  </si>
  <si>
    <t>19-07-2018</t>
  </si>
  <si>
    <t>443639023966</t>
  </si>
  <si>
    <t>23-02-2023</t>
  </si>
  <si>
    <t>Seminar on “How to plan for Start-up and legal &amp; Ethical Steps”</t>
  </si>
  <si>
    <t>How to plan for Start-up and legal &amp; Ethical Steps</t>
  </si>
  <si>
    <t>19/08/2004</t>
  </si>
  <si>
    <t>Kineer Services Pvt. Ltd. is a social-impact enterprise dedicated to empowering transgender and marginalized communities through livelihood generation, skill development, and inclusive entrepreneurship initiatives. The organization creates sustainable opportunities that promote social inclusion, economic independence, and community development.</t>
  </si>
  <si>
    <t>Mr. Avneesh Kumar Agarwal</t>
  </si>
  <si>
    <t>U72900HR2018PTC075289</t>
  </si>
  <si>
    <t>https://docs.google.com/document/d/11W2zogw5iPNujY7Y-nOzj8pALzZPZgnd/edit?usp=drive_link&amp;ouid=104602613420684160217&amp;rtpof=true&amp;sd=true</t>
  </si>
  <si>
    <t>17</t>
  </si>
  <si>
    <t>Pushpendra</t>
  </si>
  <si>
    <r>
      <rPr>
        <rFont val="Calibri"/>
        <color rgb="FF1155CC"/>
        <sz val="11.0"/>
        <u/>
      </rPr>
      <t>https://speckyfox.com/</t>
    </r>
  </si>
  <si>
    <t>Upendra Kumar Singh</t>
  </si>
  <si>
    <t>2302220100141</t>
  </si>
  <si>
    <t>Workshop on “Industrial Application of IoT "</t>
  </si>
  <si>
    <t>Industrial Application of IoT</t>
  </si>
  <si>
    <t>982341271778</t>
  </si>
  <si>
    <t>02/05/2005</t>
  </si>
  <si>
    <t>19-04-2023</t>
  </si>
  <si>
    <t>INC25EUP115847</t>
  </si>
  <si>
    <t>GHAZIABAD</t>
  </si>
  <si>
    <t>AANCHAL ARORA</t>
  </si>
  <si>
    <t>Hussikhushi@gmail.com</t>
  </si>
  <si>
    <t>https://docs.google.com/document/d/1n2g61iQgq8tDaagUG3Yj39u2hofbyG10/edit?usp=drive_link&amp;ouid=104602613420684160217&amp;rtpof=true&amp;sd=true</t>
  </si>
  <si>
    <t>https://drive.google.com/drive/folders/1HCLuhLwWXOjGpx2OA7602CAlVelkIxf4</t>
  </si>
  <si>
    <t>13-08-2018</t>
  </si>
  <si>
    <t>18</t>
  </si>
  <si>
    <t>26-02-2021</t>
  </si>
  <si>
    <t>Priya Shah Deo</t>
  </si>
  <si>
    <t>Lal Bhupendra</t>
  </si>
  <si>
    <t>Seminar on “How to plan for Start-up and legal &amp; Ethical Steps”World Creativity and Innovation Day</t>
  </si>
  <si>
    <t>2102220100137</t>
  </si>
  <si>
    <t>How to plan for Start-up and legal &amp; Ethical Steps”World Creativity and Innovation Day</t>
  </si>
  <si>
    <t>SpeckyFox Technologies India Pvt. Ltd. develops innovative technology solutions focused on digital transformation, software development, and business process optimization. The company leverages emerging technologies to help organizations improve efficiency, scalability, and customer engagement through technology-driven innovation.</t>
  </si>
  <si>
    <t>20-04-2023</t>
  </si>
  <si>
    <t>WeaClim Solutions Private Limited</t>
  </si>
  <si>
    <t>551266061127</t>
  </si>
  <si>
    <t>Mr. Tarendra Prakash Srivastava</t>
  </si>
  <si>
    <t>11/07/2003</t>
  </si>
  <si>
    <t>U74999UP2021PTC153520</t>
  </si>
  <si>
    <t>https://docs.google.com/document/d/1qmiftR-ctmfbjt6y3Waws2xfQEFR_SoU/edit?usp=drive_link&amp;ouid=104602613420684160217&amp;rtpof=true&amp;sd=true</t>
  </si>
  <si>
    <r>
      <rPr>
        <rFont val="Calibri"/>
        <color rgb="FF1155CC"/>
        <sz val="11.0"/>
        <u/>
      </rPr>
      <t>https://www.weaclimsolutions.com</t>
    </r>
  </si>
  <si>
    <t>Workshop on Intellectual Property Rights (IPRs) and IP management for startup</t>
  </si>
  <si>
    <t>19</t>
  </si>
  <si>
    <t>Intellectual Property Rights (IPRs) and IP management for startup</t>
  </si>
  <si>
    <t>Nainsee Jaiswal</t>
  </si>
  <si>
    <t>Bramhchari</t>
  </si>
  <si>
    <t>PREERN240060694</t>
  </si>
  <si>
    <t>INC25EUP084299</t>
  </si>
  <si>
    <t>MBA</t>
  </si>
  <si>
    <t>HAPUR</t>
  </si>
  <si>
    <t>Abhinav Singhal</t>
  </si>
  <si>
    <t>abhinavsinghal7902@gmail.com</t>
  </si>
  <si>
    <t>29/07/2006</t>
  </si>
  <si>
    <t>https://docs.google.com/document/d/1xeoGYjSf7xuJOILPp2tUi2ucYGF4D4P-/edit?usp=drive_link&amp;ouid=104602613420684160217&amp;rtpof=true&amp;sd=true</t>
  </si>
  <si>
    <t>844592616432</t>
  </si>
  <si>
    <t>https://drive.google.com/drive/folders/12AJw7agLFv3KpYiAThMpFxswZGxUozPG</t>
  </si>
  <si>
    <t>tarendrasrivastava@gmail.com</t>
  </si>
  <si>
    <t>12-08- 2024</t>
  </si>
  <si>
    <t>DIPP91015</t>
  </si>
  <si>
    <t>R/STARTUP/UP/LKO/2024/00006788</t>
  </si>
  <si>
    <t>Workshop on Emerging Trends in Embedded System and IOT</t>
  </si>
  <si>
    <t>WeaClim Solutions Private Limited develops climate intelligence and weather-based solutions that support informed decision-making across industries. The company utilizes data analytics, forecasting technologies, and environmental insights to help businesses and communities adapt to changing climate conditions.</t>
  </si>
  <si>
    <t>Emerging Trends in Embedded System and IOT</t>
  </si>
  <si>
    <t>Mr. Arun Choudhary</t>
  </si>
  <si>
    <t>Yes</t>
  </si>
  <si>
    <t>20</t>
  </si>
  <si>
    <t>AAW7176</t>
  </si>
  <si>
    <t>Sambhavi Rai</t>
  </si>
  <si>
    <t>Mr Ramesh Chand Rai</t>
  </si>
  <si>
    <t>PREERN240071127</t>
  </si>
  <si>
    <t>https://docs.google.com/document/d/16lQ2O2whnNoLGLVRrVAl9FyEI_dajCWt/edit?usp=drive_link&amp;ouid=104602613420684160217&amp;rtpof=true&amp;sd=true</t>
  </si>
  <si>
    <r>
      <rPr>
        <rFont val="Calibri"/>
        <color rgb="FF1155CC"/>
        <sz val="11.0"/>
        <u/>
      </rPr>
      <t>https://e4asolution.com/contact.php</t>
    </r>
  </si>
  <si>
    <t>14/10/2004</t>
  </si>
  <si>
    <t>INC25EUP093983</t>
  </si>
  <si>
    <t>Slove For Tomorrow</t>
  </si>
  <si>
    <t>614698461818</t>
  </si>
  <si>
    <t>GAUTAM BUDDHA NAGAR</t>
  </si>
  <si>
    <t>Grant and fund for new potentail idea</t>
  </si>
  <si>
    <t>Akash Singh</t>
  </si>
  <si>
    <t>Entrepreneurs/MSME</t>
  </si>
  <si>
    <t>info@unbubble.co</t>
  </si>
  <si>
    <t>31-05-2023</t>
  </si>
  <si>
    <t>https://drive.google.com/drive/folders/1mDkcqRx7URImLMseGTINEmxfCw5XBUAa</t>
  </si>
  <si>
    <t>21</t>
  </si>
  <si>
    <t>14-04-2021</t>
  </si>
  <si>
    <t xml:space="preserve">Mahima </t>
  </si>
  <si>
    <t>13-08- 2024</t>
  </si>
  <si>
    <t>Mr. Ramkishor</t>
  </si>
  <si>
    <t xml:space="preserve"> PREERN240065859</t>
  </si>
  <si>
    <t>Arun Choudhary Associates LLP provides professional consulting, engineering, and project management services across diverse sectors. The organization focuses on delivering strategic, efficient, and sustainable solutions that help clients achieve operational excellence and long-term growth.</t>
  </si>
  <si>
    <t>Kubhan Engineers OPC Private Limited</t>
  </si>
  <si>
    <t>Mr. Nitin Prasad</t>
  </si>
  <si>
    <t>27/12/2003</t>
  </si>
  <si>
    <t>U74999UP2018OPC105393</t>
  </si>
  <si>
    <t>Workshop on “Prototype/Process Design and Development”</t>
  </si>
  <si>
    <t>Prototype/Process Design and Development</t>
  </si>
  <si>
    <t>530795407086</t>
  </si>
  <si>
    <r>
      <rPr>
        <rFont val="Calibri"/>
        <color rgb="FF1155CC"/>
        <sz val="11.0"/>
        <u/>
      </rPr>
      <t>https://www.kubhanengineers.com</t>
    </r>
  </si>
  <si>
    <t>INC25EUP080326</t>
  </si>
  <si>
    <t>https://docs.google.com/document/d/1oginfpWfoRLmfOCOxNkp5TmwUw36rF7e/edit?usp=drive_link&amp;ouid=104602613420684160217&amp;rtpof=true&amp;sd=true</t>
  </si>
  <si>
    <t>22</t>
  </si>
  <si>
    <t>Praveen Sharma</t>
  </si>
  <si>
    <t>Kailash Chand Sharma</t>
  </si>
  <si>
    <t>ANITA TOMAR</t>
  </si>
  <si>
    <t>PREERN240054606</t>
  </si>
  <si>
    <t>KANHAENTERPRISES8118@GMAIL.COM</t>
  </si>
  <si>
    <t>Workshop on "Cyber Security"</t>
  </si>
  <si>
    <t>Cyber Security</t>
  </si>
  <si>
    <t>https://drive.google.com/drive/folders/1S046XmnH-yLHqaf8EYio20EM-7UAFUCE</t>
  </si>
  <si>
    <t>07/08/2003</t>
  </si>
  <si>
    <t>393777064336</t>
  </si>
  <si>
    <t>infogreenshift@gmail.com</t>
  </si>
  <si>
    <t>16-06-2018</t>
  </si>
  <si>
    <t>14-08- 2024</t>
  </si>
  <si>
    <t>https://docs.google.com/document/d/1M7jrLeCoPjeBVWulixRiE_BTaBanh3Jh/edit?usp=drive_link&amp;ouid=104602613420684160217&amp;rtpof=true&amp;sd=true</t>
  </si>
  <si>
    <t>DIPP29976</t>
  </si>
  <si>
    <t>R/STARTUP/UP/LKO/2023/00006940</t>
  </si>
  <si>
    <t>23</t>
  </si>
  <si>
    <t>Aditya Rai</t>
  </si>
  <si>
    <t>Kubhan Engineers OPC Private Limited specializes in engineering design, manufacturing support, and technical solutions for industrial applications. The company develops innovative engineering systems and services aimed at improving productivity, reliability, and technological performance across various industries.</t>
  </si>
  <si>
    <t>Mr.anoop kr rai</t>
  </si>
  <si>
    <t>2102221640005</t>
  </si>
  <si>
    <t>Daskan Technologies Private Limited</t>
  </si>
  <si>
    <t>Industry Visit</t>
  </si>
  <si>
    <t>Ms. Ankita Kanojia</t>
  </si>
  <si>
    <t xml:space="preserve">Mother Dairy Factory visit </t>
  </si>
  <si>
    <t>U72900UP2021PTC149755</t>
  </si>
  <si>
    <t>Mother Dairy, Greater Noida</t>
  </si>
  <si>
    <t>250129313971</t>
  </si>
  <si>
    <t>20-06-2023</t>
  </si>
  <si>
    <t>INC25EUP067538</t>
  </si>
  <si>
    <t>09/07/2004</t>
  </si>
  <si>
    <r>
      <rPr>
        <rFont val="Calibri"/>
        <color rgb="FF1155CC"/>
        <sz val="11.0"/>
        <u/>
      </rPr>
      <t>https://artiztick.com/</t>
    </r>
  </si>
  <si>
    <t>ALLAHABAD</t>
  </si>
  <si>
    <t>Anket Srivastav</t>
  </si>
  <si>
    <t>Student</t>
  </si>
  <si>
    <t>anket.srivastav.167339@gmail.com</t>
  </si>
  <si>
    <t>https://docs.google.com/document/d/1w6hQHngdoE6dCTWh-cb0E1HBoUVWu_mp/edit?usp=drive_link&amp;ouid=104602613420684160217&amp;rtpof=true&amp;sd=true</t>
  </si>
  <si>
    <t>https://drive.google.com/drive/folders/1pALVFNs9Wav6ZCaHVAwe6nUeEc3Jb0Rf</t>
  </si>
  <si>
    <t>24</t>
  </si>
  <si>
    <t>Development Programme On “Emotional Intelligence and Interpersonal Effectiveness’’</t>
  </si>
  <si>
    <t>Ayush Raj</t>
  </si>
  <si>
    <t>Emotional Intelligence and Interpersonal Effectiveness</t>
  </si>
  <si>
    <t>Ratan deep sahay</t>
  </si>
  <si>
    <t>2202221530015</t>
  </si>
  <si>
    <t>ankita@artiztick.com</t>
  </si>
  <si>
    <t>29-07-2021</t>
  </si>
  <si>
    <t>253050571847</t>
  </si>
  <si>
    <t>DIPP119560</t>
  </si>
  <si>
    <t>22/09/1999</t>
  </si>
  <si>
    <t>R/STARTUP/UP/LKO/2023/00007022</t>
  </si>
  <si>
    <t>7699123456</t>
  </si>
  <si>
    <t>Daskan Technologies Private Limited is a technology-driven company focused on developing innovative digital solutions, software platforms, and intelligent systems for modern business challenges. The company leverages emerging technologies to enhance operational efficiency, improve user experiences, and support digital transformation across multiple industries.</t>
  </si>
  <si>
    <t>https://docs.google.com/document/d/1L_MtxItbdWbeWQqyS1OyhOp5ZMbLjbNc/edit?usp=drive_link&amp;ouid=104602613420684160217&amp;rtpof=true&amp;sd=true</t>
  </si>
  <si>
    <t>Mr. Ankit Sharma</t>
  </si>
  <si>
    <t>U72900UP2020PTC125242</t>
  </si>
  <si>
    <t>25</t>
  </si>
  <si>
    <t>INC25EMP119781</t>
  </si>
  <si>
    <t>Vishesh Vashisht</t>
  </si>
  <si>
    <t>Mr. Jgdish Sharma</t>
  </si>
  <si>
    <t>MADHYA PRADESH</t>
  </si>
  <si>
    <r>
      <rPr>
        <rFont val="Calibri"/>
        <color rgb="FF1155CC"/>
        <sz val="11.0"/>
        <u/>
      </rPr>
      <t>https://uproidigital.com/</t>
    </r>
  </si>
  <si>
    <t>Seminar on "Accelerators - Opportunities for Students &amp; Faculties - Early Stage Entrepreneurs"</t>
  </si>
  <si>
    <t>2302221530129</t>
  </si>
  <si>
    <t>GWALLIOR</t>
  </si>
  <si>
    <t>Anshit Mishra</t>
  </si>
  <si>
    <t>Accelerators - Opportunities for Students &amp; Faculties - Early Stage Entrepreneurs</t>
  </si>
  <si>
    <t>Anshitmishra03@gmail.com</t>
  </si>
  <si>
    <t>630759731165</t>
  </si>
  <si>
    <t>21-07-2023</t>
  </si>
  <si>
    <t>https://drive.google.com/drive/folders/1ZAkthMdy2zPtyCoUnW9jtcOqjnR_Ytxt</t>
  </si>
  <si>
    <t>23/11/2004</t>
  </si>
  <si>
    <t>8630533051</t>
  </si>
  <si>
    <t>https://docs.google.com/document/d/1o7FOdVulWju4jNTSKHA0DNe2hW5Fhc3s/edit?usp=drive_link&amp;ouid=104602613420684160217&amp;rtpof=true&amp;sd=true</t>
  </si>
  <si>
    <t>21-08- 2024</t>
  </si>
  <si>
    <t>26</t>
  </si>
  <si>
    <t>Devyanshi Gupta</t>
  </si>
  <si>
    <t>Mr. Vijay Gupta</t>
  </si>
  <si>
    <t>SDP on Effective Employee Communication Skills</t>
  </si>
  <si>
    <t>UPROI Digital Private Limited specializes in digital marketing, branding, and technology-enabled business growth solutions. The company helps organizations strengthen their online presence through data-driven strategies, digital innovation, and customer engagement initiatives that drive sustainable business outcomes.</t>
  </si>
  <si>
    <t>PRERN240067545</t>
  </si>
  <si>
    <t>Effective Employee Communication Skills</t>
  </si>
  <si>
    <t>QBT PROJECTS PRIVATE LIMITED</t>
  </si>
  <si>
    <t>Mr. Anshuman Singh</t>
  </si>
  <si>
    <t>22-07-2023</t>
  </si>
  <si>
    <t>670460576841</t>
  </si>
  <si>
    <t>U72900UP2019PTC118963</t>
  </si>
  <si>
    <t>20/06/2006</t>
  </si>
  <si>
    <t>8209375302</t>
  </si>
  <si>
    <t>INC25EUP084170</t>
  </si>
  <si>
    <t>qbtprojects@gmail.com</t>
  </si>
  <si>
    <t>https://docs.google.com/document/d/1EtVOwo7Gtiv4xiGUm2ArA-Tb-Mk21wlG/edit?usp=drive_link&amp;ouid=104602613420684160217&amp;rtpof=true&amp;sd=true</t>
  </si>
  <si>
    <t>Anubhav Tripathi</t>
  </si>
  <si>
    <t>01-09- 2024</t>
  </si>
  <si>
    <t>er.tripathianubhav@gmail.com</t>
  </si>
  <si>
    <t>DIPP47173</t>
  </si>
  <si>
    <t>R/STARTUP/UP/LKO/2021/0000598</t>
  </si>
  <si>
    <t>https://drive.google.com/drive/folders/15GGHgHHs_TvG-_telnn3xr5NEanVpe0j</t>
  </si>
  <si>
    <t>QBT Projects Private Limited is a sustainability-focused startup working in waste management, environmental solutions, and circular economy initiatives. The company develops innovative approaches to waste traceability, resource recovery, and sustainable environmental practices that promote efficient waste utilization and ecological responsibility.</t>
  </si>
  <si>
    <t>27</t>
  </si>
  <si>
    <t>Seminar on “Angel Investment/VC Funding Opportunity for Early Stage Entrepreneurs”</t>
  </si>
  <si>
    <t>Priyanshi Tripathi</t>
  </si>
  <si>
    <t>AWINRAJ INFOTECH PRIVATE LIMITED</t>
  </si>
  <si>
    <t>Angel Investment/VC Funding Opportunity for Early Stage Entrepreneurs</t>
  </si>
  <si>
    <t>Mr. Gautam Mani Tripathi</t>
  </si>
  <si>
    <t>Mr. Ashish Shukla</t>
  </si>
  <si>
    <t>2202220100137</t>
  </si>
  <si>
    <t>29-08-2023</t>
  </si>
  <si>
    <t>U74999UP2021PTC146570</t>
  </si>
  <si>
    <t>61853083825</t>
  </si>
  <si>
    <t>PITCHING SESSION</t>
  </si>
  <si>
    <r>
      <rPr>
        <rFont val="Calibri"/>
        <color rgb="FF1155CC"/>
        <sz val="11.0"/>
        <u/>
      </rPr>
      <t>holida.in</t>
    </r>
  </si>
  <si>
    <t>16/10/2004</t>
  </si>
  <si>
    <t>7307387807</t>
  </si>
  <si>
    <t>https://docs.google.com/document/d/1p8jpYaPTgrZ6OzOklhhmymf3kJV7x5FV/edit?usp=drive_link&amp;ouid=104602613420684160217&amp;rtpof=true&amp;sd=true</t>
  </si>
  <si>
    <t>A Technical Session on " How to Enter in VLSI &amp; Embedeed Industry"</t>
  </si>
  <si>
    <t>How to Enter in VLSI &amp; Embedeed Industry</t>
  </si>
  <si>
    <t>ashishsauno@gmail.com</t>
  </si>
  <si>
    <t>INC25EGJ092135</t>
  </si>
  <si>
    <t>27-05-2021</t>
  </si>
  <si>
    <t>GUJARAT</t>
  </si>
  <si>
    <t>09-09- 2024</t>
  </si>
  <si>
    <t>AHMADABAD</t>
  </si>
  <si>
    <t>Arpit sharma</t>
  </si>
  <si>
    <t>arpit407@gmail.com</t>
  </si>
  <si>
    <t>DIPP101547</t>
  </si>
  <si>
    <t>https://drive.google.com/drive/folders/1XRJ-G1uIFMA32RiWPVFL_ysqKsEoblHm</t>
  </si>
  <si>
    <t>R/STARTUP/UP/LKO/2022/00003033</t>
  </si>
  <si>
    <t>Awinraj Infotech Private Limited develops information technology solutions aimed at improving business productivity and digital adoption. The company provides software, technology consulting, and digital transformation services that help organizations optimize operations and enhance competitiveness.</t>
  </si>
  <si>
    <t>https://docs.google.com/document/d/1J5bFk9OOejXcbxCYg6673YFS4sPCiFuu/edit?usp=drive_link&amp;ouid=104602613420684160217&amp;rtpof=true&amp;sd=true</t>
  </si>
  <si>
    <t>Mr. Ayush Sachan</t>
  </si>
  <si>
    <t>U46419UP2024PTC204338</t>
  </si>
  <si>
    <t>Retail and E-commerce</t>
  </si>
  <si>
    <t>Code-O-Fiesta 2.0 Hackathon</t>
  </si>
  <si>
    <r>
      <rPr>
        <rFont val="Calibri"/>
        <color rgb="FF1155CC"/>
        <sz val="11.0"/>
        <u/>
      </rPr>
      <t>https://www.thecompanycheck.com/company/aurasa-ventures-private-limited/U46419UP2024PTC204338</t>
    </r>
  </si>
  <si>
    <t>INC25EUP119800</t>
  </si>
  <si>
    <t>HACKATHONS</t>
  </si>
  <si>
    <t>VARANASI</t>
  </si>
  <si>
    <t>Ashmita Mishra</t>
  </si>
  <si>
    <t>ashmitam288@gmail.com</t>
  </si>
  <si>
    <t>https://docs.google.com/document/d/1JJbk76OlFJMbB8Bs46j0YKk3vgJP46Mi/edit?usp=drive_link&amp;ouid=104602613420684160217&amp;rtpof=true&amp;sd=true</t>
  </si>
  <si>
    <t>https://drive.google.com/drive/folders/1y5yE0DbupnbDeGfrKJsLWRlJxkteI_cd</t>
  </si>
  <si>
    <t>Fooding Required</t>
  </si>
  <si>
    <t>Embedded System and Robotics with IoT, PCB Design Techniques</t>
  </si>
  <si>
    <t>Abhishek Ptel</t>
  </si>
  <si>
    <t>ROBOWAR</t>
  </si>
  <si>
    <t>05-10- 2024</t>
  </si>
  <si>
    <t>https://docs.google.com/document/d/1c2OlhIbghyfSUPSDj7tx6eTRo6sWGhX4/edit?usp=drive_link&amp;ouid=104602613420684160217&amp;rtpof=true&amp;sd=true</t>
  </si>
  <si>
    <t>Aurasa Ventures Private Limited is an innovation-driven enterprise focused on developing scalable business solutions and emerging technology applications. The company works to create sustainable value through entrepreneurship, product innovation, and customer-centric service offerings.</t>
  </si>
  <si>
    <t>Naravno Eletric Private Limited</t>
  </si>
  <si>
    <t>INC25EUP101868</t>
  </si>
  <si>
    <t>Mr. Praveen Chandra Jha</t>
  </si>
  <si>
    <t>Workshop on “Entrepreneurship and Innovation” as Career Opportunity</t>
  </si>
  <si>
    <t>Entrepreneurship and Innovation” as Career Opportunity</t>
  </si>
  <si>
    <t>U27900UP2023PTC181617</t>
  </si>
  <si>
    <t>Environmental Technology</t>
  </si>
  <si>
    <t>21-12-2023</t>
  </si>
  <si>
    <r>
      <rPr>
        <rFont val="Calibri"/>
        <color rgb="FF1155CC"/>
        <sz val="11.0"/>
        <u/>
      </rPr>
      <t>www.naravnoge.com</t>
    </r>
  </si>
  <si>
    <t>JHANSI</t>
  </si>
  <si>
    <t>Ashok Kumar</t>
  </si>
  <si>
    <t>https://docs.google.com/document/d/1QmgOIPl6sDb-sbO72RHnf_gXie1VpiPD/edit?usp=drive_link&amp;ouid=104602613420684160217&amp;rtpof=true&amp;sd=true</t>
  </si>
  <si>
    <t>Meet@linkosm.com</t>
  </si>
  <si>
    <t>https://drive.google.com/drive/folders/15HeSbQcAkzNxaVYyUldvNF3-_D6DkLrA</t>
  </si>
  <si>
    <t>Inter-College Tech-Vision Project Exhibition</t>
  </si>
  <si>
    <t>Tech-Vision Project Exhibition</t>
  </si>
  <si>
    <t>22-12-2023</t>
  </si>
  <si>
    <t>pcjha1975@gmail.com</t>
  </si>
  <si>
    <t>03-12- 2024</t>
  </si>
  <si>
    <t>DIPP181421</t>
  </si>
  <si>
    <t>R/STARTUP/UP/LKO/2024/000036693</t>
  </si>
  <si>
    <t>Naravno Electric Private Limited focuses on advancing electric mobility and sustainable energy solutions through innovative electric vehicle technologies and supporting infrastructure. The company aims to contribute to clean transportation and energy-efficient mobility systems that reduce environmental impact.</t>
  </si>
  <si>
    <t>https://docs.google.com/document/d/1H9QQqV9mavD6CHSlDACBFlSkkQIjPdvs/edit?usp=drive_link&amp;ouid=104602613420684160217&amp;rtpof=true&amp;sd=true</t>
  </si>
  <si>
    <t>Ms. Neha Nandini</t>
  </si>
  <si>
    <t>ACH 2405</t>
  </si>
  <si>
    <t>Retail and E-Commerce</t>
  </si>
  <si>
    <t>Expert talk “My Story - Motivational Session by Successful Innovators”</t>
  </si>
  <si>
    <t>Motivational Session by Successful Innovators</t>
  </si>
  <si>
    <r>
      <rPr>
        <rFont val="Calibri"/>
        <color rgb="FF1155CC"/>
        <sz val="11.0"/>
        <u/>
      </rPr>
      <t>https://reinvent.fashion/</t>
    </r>
  </si>
  <si>
    <t>INC25EDL118902</t>
  </si>
  <si>
    <t>https://docs.google.com/document/d/10_d2XRD9i8Iwj3Z2x9vFxfoNxRZtGHvR/edit?usp=drive_link&amp;ouid=104602613420684160217&amp;rtpof=true&amp;sd=true</t>
  </si>
  <si>
    <t>DELHI</t>
  </si>
  <si>
    <t>WEST</t>
  </si>
  <si>
    <t>Ayush</t>
  </si>
  <si>
    <t>Brajesh Kumar</t>
  </si>
  <si>
    <t>ynmprank@gmail.com</t>
  </si>
  <si>
    <t>28-12-2023</t>
  </si>
  <si>
    <t>https://drive.google.com/drive/folders/1X7wx-QHrzx5lQ2KkR91DBykDfp81rm9I</t>
  </si>
  <si>
    <t>20-05-2020</t>
  </si>
  <si>
    <t>https://docs.google.com/document/d/1psMhG91_csvce4EZm0gIIGbcqjZyrHK-/edit?usp=drive_link&amp;ouid=104602613420684160217&amp;rtpof=true&amp;sd=true</t>
  </si>
  <si>
    <t>WA Fashion India LLP is a fashion and lifestyle enterprise engaged in designing, manufacturing, and marketing contemporary apparel and fashion products. The company combines creativity, quality, and market trends to deliver innovative fashion solutions that cater to evolving consumer preferences.</t>
  </si>
  <si>
    <t>Women Entrepreneurship Development Program (8th To 25th Jan 2024) Day-1</t>
  </si>
  <si>
    <t>Women Entrepreneurship Development Program</t>
  </si>
  <si>
    <t>Mr. Anshul Dembla</t>
  </si>
  <si>
    <t>08/01/2024 - 25/01/2024</t>
  </si>
  <si>
    <t>U46304UP2023PTC194221</t>
  </si>
  <si>
    <r>
      <rPr>
        <rFont val="Calibri"/>
        <color rgb="FF1155CC"/>
        <sz val="11.0"/>
        <u/>
      </rPr>
      <t>https://mixingofarm.in/</t>
    </r>
  </si>
  <si>
    <t>https://docs.google.com/document/d/1YSCiTHgjXgiGEplXLhDUMjXT75RzTTVa/edit?usp=drive_link&amp;ouid=104602613420684160217&amp;rtpof=true&amp;sd=true</t>
  </si>
  <si>
    <t>INC25ETN114156</t>
  </si>
  <si>
    <t>TAMIL NADU</t>
  </si>
  <si>
    <t>MADURAI</t>
  </si>
  <si>
    <t>Bemirai Rani B</t>
  </si>
  <si>
    <t>Workshop on “Design Thinking, Critical thinking and Innovation Design”</t>
  </si>
  <si>
    <t>bemirai2004@gmail.com</t>
  </si>
  <si>
    <t>Design Thinking, Critical thinking and Innovation Design</t>
  </si>
  <si>
    <t>https://drive.google.com/drive/folders/1mLnxo4J56BLkbzXYIoqewb0lP8Z1E-qL</t>
  </si>
  <si>
    <t>ROBORACE</t>
  </si>
  <si>
    <t>Ece</t>
  </si>
  <si>
    <t>18-12-2023</t>
  </si>
  <si>
    <t>04-01- 2025</t>
  </si>
  <si>
    <t>https://docs.google.com/document/d/1EqnQGblOLYvmZovHi5h_GPxGCRtF6qTs/edit?usp=drive_link&amp;ouid=104602613420684160217&amp;rtpof=true&amp;sd=true</t>
  </si>
  <si>
    <t>Arkansh FnB Pvt. Ltd. operates in the food and beverage sector, developing innovative culinary products and customer-focused dining solutions. The company emphasizes quality, sustainability, and consumer satisfaction while creating unique food experiences for modern markets.</t>
  </si>
  <si>
    <t>Industry visit of Mother Dairy Plant</t>
  </si>
  <si>
    <t>Mother Dairy Plant</t>
  </si>
  <si>
    <t>Ms. Suman Pandey</t>
  </si>
  <si>
    <t>Noida</t>
  </si>
  <si>
    <t>U01100UP2022PTC173106</t>
  </si>
  <si>
    <t>AgriTech</t>
  </si>
  <si>
    <r>
      <rPr>
        <rFont val="Calibri"/>
        <color rgb="FF1155CC"/>
        <sz val="11.0"/>
        <u/>
      </rPr>
      <t>https://www.trulyfresh.in</t>
    </r>
  </si>
  <si>
    <t>https://docs.google.com/document/d/1XCPdo_71n5i9UVnGw7OY8C5WoDJIBdeJ/edit?usp=drive_link&amp;ouid=104602613420684160217&amp;rtpof=true&amp;sd=true</t>
  </si>
  <si>
    <t>INC25ETN119847</t>
  </si>
  <si>
    <t>Expert talk on “YOUTH POWER in STARTUP INDIA” to celebrate NATIONAL YOUTH DAY</t>
  </si>
  <si>
    <t>YOUTH POWER in STARTUP INDIA” to celebrate NATIONAL YOUTH DAY</t>
  </si>
  <si>
    <t>25-01- 2025</t>
  </si>
  <si>
    <t>https://docs.google.com/document/d/1ZnQkJcoDefLbNnpSKWdXkgG2Yi_BxHNT/edit?usp=drive_link&amp;ouid=104602613420684160217&amp;rtpof=true&amp;sd=true</t>
  </si>
  <si>
    <t>MBMS TrulyFresh Private Limited focuses on providing fresh, high-quality agricultural and food products through efficient sourcing and supply chain management. The company promotes healthy consumption by delivering farm-fresh products while supporting sustainable agricultural practices.</t>
  </si>
  <si>
    <t>Mr. Vivek Gupta</t>
  </si>
  <si>
    <t>Industrial Visit</t>
  </si>
  <si>
    <t>U62099UP2023PTC187699</t>
  </si>
  <si>
    <t>Coca Cola Happiness Plant, Greater Noida</t>
  </si>
  <si>
    <t>INC25ERJ113507</t>
  </si>
  <si>
    <r>
      <rPr>
        <rFont val="Calibri"/>
        <color rgb="FF1155CC"/>
        <sz val="11.0"/>
        <u/>
      </rPr>
      <t>https://indusai.app/</t>
    </r>
  </si>
  <si>
    <t>RAJASTHAN</t>
  </si>
  <si>
    <t>CHITTORGARH</t>
  </si>
  <si>
    <t>17-01-2024</t>
  </si>
  <si>
    <t>Bhanu tripathi</t>
  </si>
  <si>
    <t>Ramdino78@gmail.com</t>
  </si>
  <si>
    <t>https://docs.google.com/document/d/16vv8im6qY6faoSbjgVwk4Wur8GeAC2JL/edit?usp=drive_link&amp;ouid=104602613420684160217&amp;rtpof=true&amp;sd=true</t>
  </si>
  <si>
    <t>https://drive.google.com/drive/folders/1lkK8CLaghu3Lc3enNNrcqEWHvIiOVERc</t>
  </si>
  <si>
    <t>Expert talk on "Process of Innovation &amp; Development and Technology Readiness Level"</t>
  </si>
  <si>
    <t>Process of Innovation &amp; Development and Technology Readiness Level</t>
  </si>
  <si>
    <t>19-01-2024</t>
  </si>
  <si>
    <t>Indus AI Private Limited develops generative AI and intelligent software solutions that enable organizations to build, customize, and deploy advanced artificial intelligence models. The company focuses on democratizing AI adoption through scalable platforms that simplify machine learning implementation and business integration.</t>
  </si>
  <si>
    <t>Mr. Shivhari Lal Shivhare</t>
  </si>
  <si>
    <t>AI/ML</t>
  </si>
  <si>
    <t>https://docs.google.com/document/d/12cOno_m8z2W4RuRFGyF913_7PAwOtC0-/edit?usp=drive_link&amp;ouid=104602613420684160217&amp;rtpof=true&amp;sd=true</t>
  </si>
  <si>
    <t>ACJ 3052</t>
  </si>
  <si>
    <t>INC25EUP084627</t>
  </si>
  <si>
    <r>
      <rPr>
        <rFont val="Calibri"/>
        <color rgb="FF1155CC"/>
        <sz val="11.0"/>
        <u/>
      </rPr>
      <t>https://shivisavi.com/</t>
    </r>
  </si>
  <si>
    <t>Expert talk on “Achieving Problem-Solution Fit and Product-Market Fit”</t>
  </si>
  <si>
    <t>Deepak Kumar</t>
  </si>
  <si>
    <t>31-01-2024</t>
  </si>
  <si>
    <t>Deepak45709@gmail.com</t>
  </si>
  <si>
    <t>https://drive.google.com/drive/folders/1RIxEunUCtRfUY8EtsFNWSQ0mOyH0upQX</t>
  </si>
  <si>
    <t>https://docs.google.com/document/d/19IMs2e3guXI3sRpH71REwO-I1J-jgkJE/edit?usp=drive_link&amp;ouid=104602613420684160217&amp;rtpof=true&amp;sd=true</t>
  </si>
  <si>
    <t>01-04- 2025</t>
  </si>
  <si>
    <t>Coding Contest</t>
  </si>
  <si>
    <t>Shivisavi Business LLP is a business solutions enterprise focused on providing innovative services that support entrepreneurship, operational efficiency, and organizational growth. The company leverages technology and strategic expertise to deliver sustainable value across diverse business domains.</t>
  </si>
  <si>
    <t>LAARSA ORGANIC INDIA PRIVATE LIMITED</t>
  </si>
  <si>
    <t>Mr. Rishabh Chaudhry</t>
  </si>
  <si>
    <t>ROBOSUMO</t>
  </si>
  <si>
    <t>U10306UP2024PTC211520</t>
  </si>
  <si>
    <t>INC25EUP067744</t>
  </si>
  <si>
    <r>
      <rPr>
        <rFont val="Calibri"/>
        <color rgb="FF1155CC"/>
        <sz val="11.0"/>
        <u/>
      </rPr>
      <t>https://laarsaorganic.com/</t>
    </r>
  </si>
  <si>
    <t>Devesh Chauhan</t>
  </si>
  <si>
    <t>https://docs.google.com/document/d/1tWnt_7ejCxXagL1u-vd4ZOHv7T7PsoB2/edit?usp=drive_link&amp;ouid=104602613420684160217&amp;rtpof=true&amp;sd=true</t>
  </si>
  <si>
    <t>deveschauhandk_cse23@its.edu.in</t>
  </si>
  <si>
    <t>https://drive.google.com/drive/folders/1g6In2dT-VCV_ciQ9ppRHXcFlwSd2ECQZ</t>
  </si>
  <si>
    <t>laarsaorganic@gmail.com</t>
  </si>
  <si>
    <t>Workshop on “Entrepreneurship Skill, Attitude and Behavior Development”</t>
  </si>
  <si>
    <t>Entrepreneurship Skill, Attitude and Behavior Development</t>
  </si>
  <si>
    <t>02-04- 2025</t>
  </si>
  <si>
    <t>DIPP186568</t>
  </si>
  <si>
    <t>R/STARTUP/UP/LKO/2025/000037046</t>
  </si>
  <si>
    <t>Laarsa Organic India Private Limited develops organic and natural products that promote sustainable agriculture, healthy living, and environmental responsibility. The company focuses on delivering high-quality organic solutions while supporting eco-friendly farming and responsible consumption practices.</t>
  </si>
  <si>
    <t>GVAN BIOFUELS PRIVATE LIMITED</t>
  </si>
  <si>
    <t>Mr. Ajay Kumar</t>
  </si>
  <si>
    <t>U38210UP2024PTC202912</t>
  </si>
  <si>
    <t>INC25EUP112955</t>
  </si>
  <si>
    <t>https://docs.google.com/document/d/1E-Or3NghwSfH2FdJzdZJz-p7_e2z0Rmv/edit?usp=drive_link&amp;ouid=104602613420684160217&amp;rtpof=true&amp;sd=true</t>
  </si>
  <si>
    <t>FATEHPUR</t>
  </si>
  <si>
    <t>DIVYANSHU KUMAR SINGH</t>
  </si>
  <si>
    <r>
      <rPr>
        <rFont val="Calibri"/>
        <color rgb="FF1155CC"/>
        <sz val="11.0"/>
        <u/>
      </rPr>
      <t>WWW.GVANBIOFUELS.COM</t>
    </r>
  </si>
  <si>
    <t>divyanshusinghftp1993@gmail.com</t>
  </si>
  <si>
    <t>Workshop on “How to plan for Start-up and legal &amp; Ethical Steps”</t>
  </si>
  <si>
    <t>https://drive.google.com/drive/folders/1T8RPXk7aynGPF8VoSwi6xMet2QneAOCW</t>
  </si>
  <si>
    <t>paudhaorganictrade@gmail.com</t>
  </si>
  <si>
    <t>https://docs.google.com/document/d/1rxKVhvJaDAhbiShPKi2yxLQsycJRwSfF/edit?usp=drive_link&amp;ouid=104602613420684160217&amp;rtpof=true&amp;sd=true</t>
  </si>
  <si>
    <t>17-05-2024</t>
  </si>
  <si>
    <t>14-04- 2025</t>
  </si>
  <si>
    <t>DIPP179558</t>
  </si>
  <si>
    <t>GVAN Biofuels Private Limited is a clean-energy startup dedicated to producing sustainable biofuel solutions that reduce dependence on conventional fossil fuels. The company promotes renewable energy adoption through innovative technologies that support environmental sustainability and energy security.</t>
  </si>
  <si>
    <t>StartupMahakubh</t>
  </si>
  <si>
    <t xml:space="preserve">exihbition startup product for marketing </t>
  </si>
  <si>
    <t>Mr. Dilip Jadaun</t>
  </si>
  <si>
    <t>18/03/2024, 19/03/2024 &amp; 20/03/2024</t>
  </si>
  <si>
    <t>U62013UP2023PTC180404</t>
  </si>
  <si>
    <t>INC25EUP094026</t>
  </si>
  <si>
    <t>Dolly</t>
  </si>
  <si>
    <r>
      <rPr>
        <rFont val="Calibri"/>
        <color rgb="FF1155CC"/>
        <sz val="11.0"/>
        <u/>
      </rPr>
      <t>https://cyberkida.com/</t>
    </r>
  </si>
  <si>
    <t>dolly023ec0014@rdec.in</t>
  </si>
  <si>
    <t>https://docs.google.com/document/d/1ts95LdqePRjQzINRjCa6TavejoprsPBV/edit?usp=drive_link&amp;ouid=104602613420684160217&amp;rtpof=true&amp;sd=true</t>
  </si>
  <si>
    <t>https://drive.google.com/drive/folders/1OhPcCRqAsi85EAff9BSA1yPhenxkepMG</t>
  </si>
  <si>
    <t>Expert talk on “Creativity and Innovation as key for developed nation”to celebrate World Creativity and Innovation Day</t>
  </si>
  <si>
    <t>Creativity and Innovation as key for developed nation”to celebrate World Creativity and Innovation Day</t>
  </si>
  <si>
    <t>19-04-2024</t>
  </si>
  <si>
    <t>https://docs.google.com/document/d/1HFK3fp3CgJiFErYH2a9O_urDw-olv3pW/edit?usp=drive_link&amp;ouid=104602613420684160217&amp;rtpof=true&amp;sd=true</t>
  </si>
  <si>
    <t>JUNKYARD WARS</t>
  </si>
  <si>
    <t>Database Matery MySQL</t>
  </si>
  <si>
    <t>CyberKida Digiera Private Limited develops cybersecurity, digital literacy, and technology education solutions designed to create safer digital environments. The company focuses on empowering individuals and organizations with the knowledge and tools needed to navigate the digital world securely.</t>
  </si>
  <si>
    <t>24-04-2024</t>
  </si>
  <si>
    <t>M/S NOMADNX</t>
  </si>
  <si>
    <t>Mr. Ankit Shukla</t>
  </si>
  <si>
    <t>INC25EUP107878</t>
  </si>
  <si>
    <t>JHA0019613</t>
  </si>
  <si>
    <t>Dr. Piyus Kumar Pathak</t>
  </si>
  <si>
    <t>https://drive.google.com/file/d/118RXkULFXWdRkXzRBDNq63Dht-lLfFZV/view?usp=drive_link</t>
  </si>
  <si>
    <r>
      <rPr>
        <rFont val="Calibri"/>
        <color rgb="FF1155CC"/>
        <sz val="11.0"/>
        <u/>
      </rPr>
      <t>https://nomadnx.in/</t>
    </r>
  </si>
  <si>
    <t>piyuspathak.ash@its.edu.in</t>
  </si>
  <si>
    <t>Expert talk on “Intellectual Property Right” to celebrate World Intellectual Property Day</t>
  </si>
  <si>
    <t>https://drive.google.com/drive/folders/1RDbsDx1jYe_v4K1UybzaHo3BSOGB5B05</t>
  </si>
  <si>
    <t>Intellectual Property Right” to celebrate World Intellectual Property Day</t>
  </si>
  <si>
    <t>29-04-2024</t>
  </si>
  <si>
    <t>https://docs.google.com/document/d/16ZtoQ3MIIffnnMdXOxHrU5qmq2dwufYB/edit?usp=drive_link&amp;ouid=104602613420684160217&amp;rtpof=true&amp;sd=true</t>
  </si>
  <si>
    <t>shuklaankitj@gmail.com</t>
  </si>
  <si>
    <t>26-10-2024</t>
  </si>
  <si>
    <t>28-05- 2025</t>
  </si>
  <si>
    <t>DIPP187777</t>
  </si>
  <si>
    <t>R/STARTUP/UP/LKO/2025/000037163</t>
  </si>
  <si>
    <t>NomadNX is a technology and innovation-driven venture focused on creating digital solutions that support modern lifestyles, mobility, and connected experiences. The startup develops user-centric products and services that combine technology, convenience, and innovation to address evolving market needs.</t>
  </si>
  <si>
    <t>Visit to Cetpa Infotech Pvt. Ltd</t>
  </si>
  <si>
    <t>VERDANT MOTORS PRIVATE LIMITED</t>
  </si>
  <si>
    <t>Ms. Meemansha Priyadarshini</t>
  </si>
  <si>
    <t>U50400UP2021PTC147688</t>
  </si>
  <si>
    <t>Electric Mobility &amp; Automotive Manufacturing</t>
  </si>
  <si>
    <t>INC25EUP116979</t>
  </si>
  <si>
    <r>
      <rPr>
        <rFont val="Calibri"/>
        <color rgb="FF1155CC"/>
        <sz val="11.0"/>
        <u/>
      </rPr>
      <t>https://verdantmotors.com/</t>
    </r>
  </si>
  <si>
    <t>https://docs.google.com/document/d/1VC0lHS9zNVNnYMNk23LGCwB1Etw3x5Tv/edit?usp=drive_link&amp;ouid=104602613420684160217&amp;rtpof=true&amp;sd=true</t>
  </si>
  <si>
    <t>Dr. Shrishti Uniyal Thapliyal</t>
  </si>
  <si>
    <t>TURBO AI CHALLENGE</t>
  </si>
  <si>
    <t>shrishtithapliyal.ash@its.edu.in</t>
  </si>
  <si>
    <t>https://drive.google.com/drive/folders/1aWXTIcA-PoU_nnhN7_uWEj6T6F-rf2GN</t>
  </si>
  <si>
    <t>INNOCODEATHON</t>
  </si>
  <si>
    <t>verdantmotors@gmail.com</t>
  </si>
  <si>
    <t>24-06-2021</t>
  </si>
  <si>
    <t>23-09- 2025</t>
  </si>
  <si>
    <t>9/5/2024 &amp; 11/05/2024</t>
  </si>
  <si>
    <t>DIPP88842</t>
  </si>
  <si>
    <t>R/STARTUP/UP/LKO/2023/00002764</t>
  </si>
  <si>
    <t>Verdant Motors Private Limited develops sustainable mobility and automotive technologies focused on enhancing efficiency, performance, and environmental responsibility. The company works on innovative transportation solutions that contribute to the advancement of clean and future-ready mobility systems.</t>
  </si>
  <si>
    <t>https://docs.google.com/document/d/10EOB-xXqgGZpqX4373GLYfcrywSzFj41/edit?usp=drive_link&amp;ouid=104602613420684160217&amp;rtpof=true&amp;sd=true</t>
  </si>
  <si>
    <t>DDverse Initiatives Private Limited</t>
  </si>
  <si>
    <t>Ms. Aditi Mishra</t>
  </si>
  <si>
    <t>Design Thinking in Applied Mathematics for Engineers</t>
  </si>
  <si>
    <t>U26519UP2025PTC229945</t>
  </si>
  <si>
    <t>Agri-Tech &amp; Precision Farming</t>
  </si>
  <si>
    <t>09/05/2024 &amp; 10/05/2024</t>
  </si>
  <si>
    <r>
      <rPr>
        <rFont val="Calibri"/>
        <color rgb="FF1155CC"/>
        <sz val="11.0"/>
        <u/>
      </rPr>
      <t>https://www.ddverse.in/</t>
    </r>
  </si>
  <si>
    <t>https://docs.google.com/document/d/1cCHmL_ouA8DgCfj5fU72wPfZbBrnZQ9W/edit?usp=drive_link&amp;ouid=104602613420684160217&amp;rtpof=true&amp;sd=true</t>
  </si>
  <si>
    <t>INC25EUP113410</t>
  </si>
  <si>
    <t>Workshop on Prototype &amp; Process Design and Development</t>
  </si>
  <si>
    <t>Prototype &amp; Process Design and Development</t>
  </si>
  <si>
    <t>dr.pragati singh</t>
  </si>
  <si>
    <t>13-05-2024</t>
  </si>
  <si>
    <t>aditi@ddverse.in</t>
  </si>
  <si>
    <t>13-08-2025</t>
  </si>
  <si>
    <t>09-09- 2025</t>
  </si>
  <si>
    <t>pragatisinghchem@gmail.com</t>
  </si>
  <si>
    <t>DIPP220080</t>
  </si>
  <si>
    <t>R/STARTUP/UP/LKO/2025/000039732</t>
  </si>
  <si>
    <t>https://drive.google.com/drive/folders/1xLJsczVmqAvnHuAlTjHlPiyzhoBX3g5d</t>
  </si>
  <si>
    <t>DDverse Initiatives Private Limited is a research and technology company focused on developing innovative solutions across agriculture, sustainability, and smart systems. The company leverages advanced engineering, data analytics, and product innovation to address real-world challenges through impactful technological interventions.</t>
  </si>
  <si>
    <t>https://drive.google.com/file/d/1qlIWjrc1AyZ2YlQ51qzD3bNEBh4-EBrc/view?usp=drive_link</t>
  </si>
  <si>
    <t>Xpedicr Industry Private Limited</t>
  </si>
  <si>
    <t>Mr. Aashchrya Shrivastava</t>
  </si>
  <si>
    <t>U86909UP2024PTC212625</t>
  </si>
  <si>
    <t>HealthTech &amp; Integrated Wellness Ecosystem</t>
  </si>
  <si>
    <t>BUSINESS PLAN</t>
  </si>
  <si>
    <r>
      <rPr>
        <rFont val="Calibri"/>
        <color rgb="FF1155CC"/>
        <sz val="11.0"/>
        <u/>
      </rPr>
      <t>Nidhaan.in</t>
    </r>
  </si>
  <si>
    <t>Upendra kumar singh</t>
  </si>
  <si>
    <t>Workshop on Business Model Canvas</t>
  </si>
  <si>
    <t>Business Model Canvas</t>
  </si>
  <si>
    <t>16-05-2024</t>
  </si>
  <si>
    <t>9693537310</t>
  </si>
  <si>
    <t>ascharyakohinoor2000@gmail.com</t>
  </si>
  <si>
    <t>28-11-2024</t>
  </si>
  <si>
    <t>26-06- 2025</t>
  </si>
  <si>
    <t>DIPP186559</t>
  </si>
  <si>
    <t>R/STARTUP/UP/LKO/2025/000034883</t>
  </si>
  <si>
    <t>Xpedicr Industry Private Limited develops industrial and technology-driven solutions that improve operational efficiency, productivity, and process optimization. The company focuses on delivering innovative products and services that support industrial growth and sustainable business performance.</t>
  </si>
  <si>
    <t>https://docs.google.com/document/d/1pcK0gxyRSpavFftTpkRRg3xC33L8tO9Y/edit?usp=drive_link&amp;ouid=104602613420684160217&amp;rtpof=true&amp;sd=true</t>
  </si>
  <si>
    <t>NEXTORBIT SPACE PRIVATE LIMITED</t>
  </si>
  <si>
    <t>Mr. Prince Ranjan</t>
  </si>
  <si>
    <t>U51202UP2025PTC229498</t>
  </si>
  <si>
    <t>SpaceTech &amp; Aerospace Engineering</t>
  </si>
  <si>
    <t>INC25EUP104505</t>
  </si>
  <si>
    <r>
      <rPr>
        <rFont val="Calibri"/>
        <color rgb="FF1155CC"/>
        <sz val="11.0"/>
        <u/>
      </rPr>
      <t>www.nextorbit.co.in</t>
    </r>
  </si>
  <si>
    <t>Samsung -Solve for Tomorrow session</t>
  </si>
  <si>
    <t>Gayatri sharma</t>
  </si>
  <si>
    <t xml:space="preserve">Sensetization for Idea submision </t>
  </si>
  <si>
    <t>gayatri.2327csit1199@kiet.edu</t>
  </si>
  <si>
    <t>AD-MAD</t>
  </si>
  <si>
    <t>22-05-2024</t>
  </si>
  <si>
    <t>https://drive.google.com/drive/folders/1Tl3VDKqQnIRU0irEsaxlWgchqWvk2hmg</t>
  </si>
  <si>
    <t>prince2ranjan@gmail.com</t>
  </si>
  <si>
    <t>12-11- 2025</t>
  </si>
  <si>
    <t>DIPP220708</t>
  </si>
  <si>
    <t>R/STARTUP/UP/LKO/2025/000039528</t>
  </si>
  <si>
    <t>NextOrbit Space Private Limited is a space technology startup dedicated to developing innovative aerospace solutions, satellite technologies, and space-related applications. The company aims to contribute to the growth of the space ecosystem through research, engineering excellence, and advanced technological innovation.</t>
  </si>
  <si>
    <t>https://docs.google.com/document/d/1iaTN85LxFn-42mMttMd3Yu8iKEskhWC1/edit?usp=drive_link&amp;ouid=104602613420684160217&amp;rtpof=true&amp;sd=true</t>
  </si>
  <si>
    <t>Cleanslate Partners</t>
  </si>
  <si>
    <t>Mr. Abdul Akib</t>
  </si>
  <si>
    <t>JHA0019480</t>
  </si>
  <si>
    <r>
      <rPr>
        <rFont val="Calibri"/>
        <color rgb="FF1155CC"/>
        <sz val="11.0"/>
        <u/>
      </rPr>
      <t>https://www.autoremov.com/</t>
    </r>
  </si>
  <si>
    <t>Seminar on Achieving “Value Proposition Fit” &amp; “Business Fit”</t>
  </si>
  <si>
    <t>Value Proposition Fit” &amp; “Business Fit</t>
  </si>
  <si>
    <t>INC25EUP098629</t>
  </si>
  <si>
    <t>gogul gupta</t>
  </si>
  <si>
    <t>https://docs.google.com/document/d/187F1_9BtKGgwrL0IW_jlkVn3eEHN0vS9/edit?usp=drive_link&amp;ouid=104602613420684160217&amp;rtpof=true&amp;sd=true</t>
  </si>
  <si>
    <t>GOGULGUPTAJI@GMAIL.COM</t>
  </si>
  <si>
    <t>abdulakib24@gmail.com</t>
  </si>
  <si>
    <t>16-10-2024</t>
  </si>
  <si>
    <t>https://drive.google.com/drive/folders/12dq7fdZsB7onnv1ksrdfcdQxZwReg52D</t>
  </si>
  <si>
    <t>21-06- 2025</t>
  </si>
  <si>
    <t>Seminar on Accelerators &amp; Incubation _ Opportunities for Students &amp; Faculty- Early- Stage Entrepreneurs</t>
  </si>
  <si>
    <t>DIPP181104</t>
  </si>
  <si>
    <t>Accelerators &amp; Incubation _ Opportunities for Students &amp; Faculty- Early- Stage Entrepreneurs</t>
  </si>
  <si>
    <t>R/STARTUP/UP/LKO/2024/000036595</t>
  </si>
  <si>
    <t>27-06-2024</t>
  </si>
  <si>
    <t>Autoremov is an AI-powered image editing platform that specializes in automated background removal, bulk image processing, and visual enhancement. The platform develops innovative solutions that help individuals and businesses create high-quality, market-ready images while improving efficiency and reducing editing time.</t>
  </si>
  <si>
    <t>Door to Destination Technology Pvt. Ltd.</t>
  </si>
  <si>
    <t>Ms. Mani Mittal</t>
  </si>
  <si>
    <t>https://docs.google.com/document/d/1pkF3i3ppPufQQvUwPo2qnsxoutQzBOb9/edit?usp=drive_link&amp;ouid=104602613420684160217&amp;rtpof=true&amp;sd=true</t>
  </si>
  <si>
    <t>U63110UP2026PTC243082</t>
  </si>
  <si>
    <t>Transportation Services</t>
  </si>
  <si>
    <t>Hackathon Event</t>
  </si>
  <si>
    <t>29-06-2024</t>
  </si>
  <si>
    <t>ayush.imi23@nsut.ac.in</t>
  </si>
  <si>
    <t>INC25EUP083131</t>
  </si>
  <si>
    <t>AGRA</t>
  </si>
  <si>
    <t>https://drive.google.com/drive/folders/1ZBUbremqhCLuh4xnZ4U2rUB6wqDEZWZI</t>
  </si>
  <si>
    <t>https://docs.google.com/document/d/1A_EPj-zq5UVEloKjrcF4nOUgAmLnx8XA/edit?usp=drive_link&amp;ouid=104602613420684160217&amp;rtpof=true&amp;sd=true</t>
  </si>
  <si>
    <t>DIPP247139</t>
  </si>
  <si>
    <t>R/STARTUP/UP/LKO/2026/000043162</t>
  </si>
  <si>
    <t>Door to Destination Technology Pvt. Ltd. operates under the brand Mr. Rideo, a technology-enabled mobility platform offering bike, auto, cab, and parcel transportation services. The company aims to provide affordable, accessible, and driver-friendly transportation solutions, particularly for Tier-II and Tier-III cities, through an innovative subscription-based business model.</t>
  </si>
  <si>
    <t>PETALLED COMMERCE LLP</t>
  </si>
  <si>
    <t>Workshop on “Angel Investment &amp; VC Funding Opportunity for Early- Stage Entrepreneurs”</t>
  </si>
  <si>
    <t>Ms. Samdisha Chitkara</t>
  </si>
  <si>
    <t>Angel Investment &amp; VC Funding Opportunity for Early- Stage Entrepreneurs</t>
  </si>
  <si>
    <t>14-06-2024</t>
  </si>
  <si>
    <t>ACI-0056</t>
  </si>
  <si>
    <t>Sustainable Farming</t>
  </si>
  <si>
    <t>harasatya.singh@gmail.com</t>
  </si>
  <si>
    <t>INNO SHOWCASE</t>
  </si>
  <si>
    <r>
      <rPr>
        <rFont val="Calibri"/>
        <color rgb="FF1155CC"/>
        <sz val="11.0"/>
        <u/>
      </rPr>
      <t>https://planetpacks.in/</t>
    </r>
  </si>
  <si>
    <t>https://docs.google.com/document/d/1dAL1QrJZ2ACPcC404sIvKQb4fWwo2RSx/edit?usp=drive_link&amp;ouid=104602613420684160217&amp;rtpof=true&amp;sd=true</t>
  </si>
  <si>
    <t>Aiml</t>
  </si>
  <si>
    <t>Business Strategy- Deploying BSC</t>
  </si>
  <si>
    <t>https://drive.google.com/file/d/1HUImBAESbb_DfouBj9u16_1GsIbh9M8l/view?usp=drive_link</t>
  </si>
  <si>
    <t>INC25EUP089827</t>
  </si>
  <si>
    <t>Entrepreneurship Awareness Program (EAP) by MSME</t>
  </si>
  <si>
    <t>ritikkalra333@gmail.com</t>
  </si>
  <si>
    <t>Entrepreneurship Awareness Program</t>
  </si>
  <si>
    <t>Harsimran Kaur Sandhu</t>
  </si>
  <si>
    <t>25-06-2024</t>
  </si>
  <si>
    <t>18-05- 2026</t>
  </si>
  <si>
    <t>printsyndicate@gmail.com</t>
  </si>
  <si>
    <t>https://drive.google.com/drive/folders/1DTLaJAqFlvQWQ94iHqw5IghZ0JYz5P66</t>
  </si>
  <si>
    <t>DIPP232418</t>
  </si>
  <si>
    <t>R/STARTUP/UP/LKO/2026/000042765</t>
  </si>
  <si>
    <t>Petalled Commerce LLP is a commerce and technology-driven enterprise focused on developing innovative retail, e-commerce, and consumer engagement solutions. The company leverages digital platforms and customer-centric strategies to enhance market accessibility, streamline transactions, and create value for businesses and consumers alike.</t>
  </si>
  <si>
    <t>https://drive.google.com/file/d/1yDZLouLGlUa8rfHLtjVzEnICX9-iMYEf/view?usp=drive_link</t>
  </si>
  <si>
    <t>NEURAPEX AI SOLUTIONS PRIVATE LIMITED</t>
  </si>
  <si>
    <t>Ms. Sangeeta Tyagi</t>
  </si>
  <si>
    <t>U58200UP2025PTC236975</t>
  </si>
  <si>
    <t>MIC &amp; AICTE Sponsored "Two Days Training cum Exposure Visit on Innovation &amp; Entrepreneurship "</t>
  </si>
  <si>
    <t>Training cum Exposure Visit on Innovation &amp; Entrepreneurship</t>
  </si>
  <si>
    <r>
      <rPr>
        <rFont val="Calibri"/>
        <color rgb="FF1155CC"/>
        <sz val="11.0"/>
        <u/>
      </rPr>
      <t>www.neurapex.in</t>
    </r>
  </si>
  <si>
    <t>23-07-2024 &amp; 24-07-2024</t>
  </si>
  <si>
    <t>INC25EUK067753</t>
  </si>
  <si>
    <t>UTTARAKHAND</t>
  </si>
  <si>
    <t>UDAM SINGH NAGAR</t>
  </si>
  <si>
    <t>https://docs.google.com/document/d/1DEcj6eukwFmXjqZe4YFl9Nzxi4KzobG9/edit?usp=drive_link&amp;ouid=104602613420684160217&amp;rtpof=true&amp;sd=true</t>
  </si>
  <si>
    <t>BEST SHOT ON THE SPOT</t>
  </si>
  <si>
    <t>Jasdeep Singh</t>
  </si>
  <si>
    <t>jasdeepjogi@gmail.com</t>
  </si>
  <si>
    <t>official.jaiwardhantyagi@gmail.com</t>
  </si>
  <si>
    <t>IDEATHON-2024</t>
  </si>
  <si>
    <t>25-11-2025</t>
  </si>
  <si>
    <t>https://drive.google.com/drive/folders/1i9df2mQ2LV9TrbHTCKBt5M7NKOEBKd3Q</t>
  </si>
  <si>
    <t>16-04-2026</t>
  </si>
  <si>
    <t>DIPP260501</t>
  </si>
  <si>
    <t>R/STARTUP/UP/LKO/2026/000043635</t>
  </si>
  <si>
    <t>Neurapex AI Solutions Private Limited is developing SENTIS, an advanced artificial intelligence platform focused on understanding and analyzing multiple aspects of human health through data-driven intelligence. By leveraging machine learning, predictive analytics, and healthcare-focused AI models, the company aims to deliver personalized insights that support better health outcomes and informed decision-making.</t>
  </si>
  <si>
    <t>Mr. Anuj Katiyar</t>
  </si>
  <si>
    <t>31-07-2024</t>
  </si>
  <si>
    <t>AAV-8550</t>
  </si>
  <si>
    <t>AgTech</t>
  </si>
  <si>
    <t>https://docs.google.com/document/d/1P8zIhdqBVzefiR2NwGiomRQlQmaw4qZB/edit?usp=drive_link&amp;ouid=104602613420684160217&amp;rtpof=true&amp;sd=true</t>
  </si>
  <si>
    <t>17-02-2021</t>
  </si>
  <si>
    <t>INC25EUP084622</t>
  </si>
  <si>
    <t>Irriclay Technology LLP develops innovative green infrastructure solutions that integrate automated irrigation systems with vertical gardens and living walls. The company aims to improve urban sustainability, enhance air quality, and promote eco-friendly building practices through intelligent and resource-efficient environmental technologies.</t>
  </si>
  <si>
    <t>Robotic &amp; PLC Design</t>
  </si>
  <si>
    <t>KAJAL KUMARI</t>
  </si>
  <si>
    <t>DEBATE</t>
  </si>
  <si>
    <t>Cipher 10Infinity Pvt. Ltd.</t>
  </si>
  <si>
    <t>Mr. Harshit Kumar Singh</t>
  </si>
  <si>
    <t>kajalk1211r@gmail.com</t>
  </si>
  <si>
    <t>20-09-2024 - 09-10-2024</t>
  </si>
  <si>
    <t>U74999KA2021PTC150938</t>
  </si>
  <si>
    <t>https://drive.google.com/drive/folders/1MajOswCv4uNd-PnAc_O7fkcdZ0WH-qUc</t>
  </si>
  <si>
    <t>OTHERS</t>
  </si>
  <si>
    <t>23-08-2021</t>
  </si>
  <si>
    <t>30-08-2021</t>
  </si>
  <si>
    <t>https://docs.google.com/document/d/1MVKyCV-0ibFZGKj1dWUFgkP5GPKMqYvq/edit?usp=drive_link&amp;ouid=104602613420684160217&amp;rtpof=true&amp;sd=true</t>
  </si>
  <si>
    <t>Cipher 10Infinity Pvt. Ltd. is a technology and engineering startup focused on developing advanced electromechanical systems, intelligent automation solutions, and innovative manufacturing technologies. The company leverages engineering excellence and research-driven development to create products that address industrial and technological challenges.</t>
  </si>
  <si>
    <t>Evergreat Yota Machinery and Automation Private Limited</t>
  </si>
  <si>
    <t>Mr. Kamal Batra</t>
  </si>
  <si>
    <t>Workshop On Investment Basics &amp; Depository Operation</t>
  </si>
  <si>
    <t xml:space="preserve">1st </t>
  </si>
  <si>
    <t>Investment Basics &amp; Depository Operation</t>
  </si>
  <si>
    <t>14-10-2024</t>
  </si>
  <si>
    <t>U28190UP2025PTC216881</t>
  </si>
  <si>
    <t>https://evergreat.co.in</t>
  </si>
  <si>
    <t>INC25EJH084490</t>
  </si>
  <si>
    <t>JHARKHAND</t>
  </si>
  <si>
    <t>https://drive.google.com/file/d/1x76rvME8of_XtI-ZdPNY-VIdAa3ZiETq/view?usp=drive_link</t>
  </si>
  <si>
    <t>LOHARDAGA</t>
  </si>
  <si>
    <t>KARRN KUMAR</t>
  </si>
  <si>
    <t>karrnkumar123@gmail.com</t>
  </si>
  <si>
    <t>https://drive.google.com/drive/folders/1If4h7zA44xSEeh0MC5tR3nUomZR6V5DK</t>
  </si>
  <si>
    <t>Industrial Visit at HCL, Noida</t>
  </si>
  <si>
    <t>industry visit</t>
  </si>
  <si>
    <t>18-10-2024</t>
  </si>
  <si>
    <t>17-02-2025</t>
  </si>
  <si>
    <t>23-02-2025</t>
  </si>
  <si>
    <t>Evergreat Yota Machinery and Automation Private Limited specializes in industrial machinery, manufacturing equipment, and automation solutions for modern production environments. The company focuses on enhancing industrial productivity, operational efficiency, and technological advancement through innovative machinery and automation systems.</t>
  </si>
  <si>
    <t>Industry/Corporate connects</t>
  </si>
  <si>
    <t>Protovilla LLP</t>
  </si>
  <si>
    <t>DECLAMATION</t>
  </si>
  <si>
    <t>Mr. Jeevesh Gupta</t>
  </si>
  <si>
    <t>ABA-3975</t>
  </si>
  <si>
    <t>https://docs.google.com/document/d/1G3Ldw01QOEuEBT4CX8SLMy1BuULYcJ-6/edit?usp=drive_link&amp;ouid=104602613420684160217&amp;rtpof=true&amp;sd=true</t>
  </si>
  <si>
    <t>INC25EBR119918</t>
  </si>
  <si>
    <t>BIHAR</t>
  </si>
  <si>
    <t>Seminar on “Basics of Intellectual Property Rights and its Importance for Innovators and Entrepreneurs”</t>
  </si>
  <si>
    <r>
      <rPr>
        <rFont val="Calibri"/>
        <color rgb="FF1155CC"/>
        <sz val="11.0"/>
        <u/>
      </rPr>
      <t>protovillallp@gmail.com</t>
    </r>
  </si>
  <si>
    <t>MADHEPURA</t>
  </si>
  <si>
    <t>keshav Sarraf</t>
  </si>
  <si>
    <t>Basics of Intellectual Property Rights and its Importance for Innovators and Entrepreneurs</t>
  </si>
  <si>
    <t>keshavsaraff1213014@gmail.com</t>
  </si>
  <si>
    <t>24-10-2024</t>
  </si>
  <si>
    <t>https://drive.google.com/drive/folders/127atmC4e-km6tPnHPtv3WUF1p5W3fsx3</t>
  </si>
  <si>
    <t>https://docs.google.com/document/d/17O8QWH-Jsg1KKjaZasyx-UcJtsFWmlFY/edit?usp=drive_link&amp;ouid=104602613420684160217&amp;rtpof=true&amp;sd=true</t>
  </si>
  <si>
    <t>27-01-2021</t>
  </si>
  <si>
    <t>31-01-2022</t>
  </si>
  <si>
    <t>Protovilla LLP is a product development and manufacturing venture dedicated to transforming innovative ideas into functional prototypes and scalable solutions. The company supports engineering innovation through design, fabrication, testing, and technology-driven product development services.</t>
  </si>
  <si>
    <t>Expert talk on “Design Thinking for Sustainable Innovation” to celebrate National Innovation Day</t>
  </si>
  <si>
    <t>“Design Thinking for Sustainable Innovation</t>
  </si>
  <si>
    <t>AAW-5631</t>
  </si>
  <si>
    <r>
      <rPr>
        <rFont val="Calibri"/>
        <color rgb="FF1155CC"/>
        <sz val="11.0"/>
        <u/>
      </rPr>
      <t>https://mydigitaldudes.com/</t>
    </r>
  </si>
  <si>
    <t>INC25EBR119343</t>
  </si>
  <si>
    <t>https://docs.google.com/document/d/1LKdsCpWC9xNF3cnBj72xvzRqtbeCTJLH/edit?usp=drive_link&amp;ouid=104602613420684160217&amp;rtpof=true&amp;sd=true</t>
  </si>
  <si>
    <t>Expert Talk on “Enriching the Engineering Education System in India” to celebrate National Education Day</t>
  </si>
  <si>
    <t>Enriching the Engineering Education System in India</t>
  </si>
  <si>
    <t>INC25EUP117924</t>
  </si>
  <si>
    <t>admin@mydigitaldudes.in</t>
  </si>
  <si>
    <t>Kirti Kushwaha</t>
  </si>
  <si>
    <t>kirtikushwaharesearchscholar@gmail.com</t>
  </si>
  <si>
    <t>https://drive.google.com/drive/folders/1BqlRmec46tHk2aqc3ZnOQvFSxtM7LPsT</t>
  </si>
  <si>
    <t>MyDigitalDudes Technology LLP is a digital transformation and technology solutions company that provides software development, web technologies, digital marketing, and IT consulting services. The company helps businesses strengthen their digital presence and accelerate growth through innovative technology-driven solutions.</t>
  </si>
  <si>
    <t>MECHRO TECHNOLOGY LLP</t>
  </si>
  <si>
    <t>Mr. Yash Kumar</t>
  </si>
  <si>
    <t>AAZ-7373</t>
  </si>
  <si>
    <t>Workshop on “Entrepreneurship and Innovation as a Career Opportunity"</t>
  </si>
  <si>
    <t>https://mechro.tech</t>
  </si>
  <si>
    <t>Entrepreneurship and Innovation as a Career Opportunity</t>
  </si>
  <si>
    <t>INC25EAS081867</t>
  </si>
  <si>
    <t>https://docs.google.com/document/d/18S-R4d0jgNa4BOrQd-mWdy-EF2a-ejld/edit?usp=drive_link&amp;ouid=104602613420684160217&amp;rtpof=true&amp;sd=true</t>
  </si>
  <si>
    <t>ASSAM</t>
  </si>
  <si>
    <t>yashkr33@gmail.com</t>
  </si>
  <si>
    <t>BARPETA</t>
  </si>
  <si>
    <t>Krishnav Talukdar</t>
  </si>
  <si>
    <t>talukdarkrishnav9@gmail.com</t>
  </si>
  <si>
    <t>Workshop on “Problem Solving and Ideation”</t>
  </si>
  <si>
    <t>https://drive.google.com/drive/folders/1x3AIuM3wSwCA5GSEnsKNC9wlVkIkr7FE</t>
  </si>
  <si>
    <t>Problem Solving and Ideation</t>
  </si>
  <si>
    <t>Mechro Technology LLP is an innovation-focused technology company providing software development, digital solutions, and IT services to businesses and organizations. The company combines technical expertise with customer-centric innovation to deliver scalable and efficient technology solutions.</t>
  </si>
  <si>
    <t>Intelligentia Labs Private Limited</t>
  </si>
  <si>
    <t>Mr. Dev Khanduja</t>
  </si>
  <si>
    <t>U20299HP2022PTC009740</t>
  </si>
  <si>
    <t>inventojoy.in</t>
  </si>
  <si>
    <t>https://docs.google.com/document/d/1uSTZAj8VEHUC5FzWSdCH-gThsHlqepJK/edit?usp=drive_link&amp;ouid=104602613420684160217&amp;rtpof=true&amp;sd=true</t>
  </si>
  <si>
    <t>Signature of Director/Principal</t>
  </si>
  <si>
    <t xml:space="preserve"> Expert Talk on “Industrial Waste Management for Sustainable Pollution Control” to celebrate National Pollution Control Day</t>
  </si>
  <si>
    <t>Industrial Waste Management for Sustainable Pollution Control</t>
  </si>
  <si>
    <t>INC25EUP084913</t>
  </si>
  <si>
    <t>29-12-2022</t>
  </si>
  <si>
    <t>Kuldeep Sharma</t>
  </si>
  <si>
    <t>Intelligentia Labs Private Limited develops sustainable biomaterials and advanced manufacturing solutions that promote environmental responsibility and resource efficiency. The company focuses on creating innovative alternatives to conventional materials while supporting sustainable industrial practices and green technology adoption.</t>
  </si>
  <si>
    <t>pyreign@gmail.com</t>
  </si>
  <si>
    <t>Seal of the Institute/College</t>
  </si>
  <si>
    <t>https://drive.google.com/drive/folders/14d1CZS4O5vFN0jEM3jqU0yDkrY-74K7e</t>
  </si>
  <si>
    <t>THE FORWARD MOVE LLP</t>
  </si>
  <si>
    <t>ACV-1907</t>
  </si>
  <si>
    <t>Battery Manufacturing</t>
  </si>
  <si>
    <t>Workshop on “Motivational Session by Successful Entrepreneur”</t>
  </si>
  <si>
    <t>Motivational Session by Successful Entrepreneur</t>
  </si>
  <si>
    <t>ushrishti55@gmail.com</t>
  </si>
  <si>
    <t>15-02-2026</t>
  </si>
  <si>
    <t>The Forward Move LLP is a clean-energy startup focused on battery technologies and next-generation energy storage solutions. The company works toward enabling sustainable energy adoption by developing innovative systems that improve energy efficiency, reliability, and accessibility for future mobility and power applications.</t>
  </si>
  <si>
    <t>https://docs.google.com/document/d/1CVEwgljCtlcRthEVGeTCsD6MykTQiTQV/edit?usp=drive_link&amp;ouid=104602613420684160217&amp;rtpof=true&amp;sd=true</t>
  </si>
  <si>
    <t>Hardvanta Technologies LLP</t>
  </si>
  <si>
    <t>Mr. Abhishek Patel</t>
  </si>
  <si>
    <t>ACX-5064</t>
  </si>
  <si>
    <t>IOT, DeepTech</t>
  </si>
  <si>
    <t>abhishekpatelrk9@gmail.com</t>
  </si>
  <si>
    <t>INC25EUP084966</t>
  </si>
  <si>
    <t>21-04-2026</t>
  </si>
  <si>
    <t>25-04-2026</t>
  </si>
  <si>
    <t>Hardvanta Technologies LLP develops IoT, embedded systems, and deep-tech solutions that enable intelligent automation and connected infrastructure. The company focuses on creating innovative technologies that enhance operational efficiency, data-driven decision-making, and digital transformation across industries.</t>
  </si>
  <si>
    <t>Hospate Pvt. Ltd.</t>
  </si>
  <si>
    <t>Mr. Alok Kumar Singh</t>
  </si>
  <si>
    <t>U62099UP2025PTC238145</t>
  </si>
  <si>
    <t>MedTech</t>
  </si>
  <si>
    <t>almostalok@gmail.com</t>
  </si>
  <si>
    <t>INC25EUP069146</t>
  </si>
  <si>
    <t>19-12-2025</t>
  </si>
  <si>
    <t>MUKUL GAUTAM</t>
  </si>
  <si>
    <t>Hospate Pvt. Ltd. is a healthcare technology startup developing digital solutions that improve healthcare accessibility, patient engagement, and service delivery. The company leverages technology to connect patients, healthcare providers, and medical services through efficient and user-centric healthcare platforms.</t>
  </si>
  <si>
    <t>mukulqwertygautam@gmail.com</t>
  </si>
  <si>
    <t>Samaaroh Pvt. Ltd</t>
  </si>
  <si>
    <t>https://docs.google.com/document/d/1UXUKCR0duyC9pt07ZF_5cwmFnm4YI1It/edit?usp=drive_link&amp;ouid=104602613420684160217&amp;rtpof=true&amp;sd=true</t>
  </si>
  <si>
    <t>Mr. Gagan Sahu</t>
  </si>
  <si>
    <t>https://drive.google.com/drive/folders/1qiLTLaQkfKvB5mOZvHzfFFWwvYX52-e4</t>
  </si>
  <si>
    <t>U82300UP2025PTC238199</t>
  </si>
  <si>
    <t>Saas</t>
  </si>
  <si>
    <t xml:space="preserve"> Workshop on “Achieving Problem-Solution Fit and Product-Market Fit”</t>
  </si>
  <si>
    <t>Sahugagan302@gmail.com</t>
  </si>
  <si>
    <t>Samaaroh Pvt. Ltd. is a SaaS-based platform focused on simplifying event management, registrations, attendee engagement, and digital event operations. The company provides technology-driven solutions that help organizations efficiently plan, manage, and enhance event experiences.</t>
  </si>
  <si>
    <t>Orbitron Labs LLP</t>
  </si>
  <si>
    <t>https://docs.google.com/document/d/1GQfNUsLFACApLnKLMKqth938SAB3cXpA/edit?usp=drive_link&amp;ouid=104602613420684160217&amp;rtpof=true&amp;sd=true</t>
  </si>
  <si>
    <t>Mr. Anubhav Tripathi</t>
  </si>
  <si>
    <t>ACU - 7390</t>
  </si>
  <si>
    <t>INC25EUP076106</t>
  </si>
  <si>
    <t>Expert talk on “Process of Innovation Development, Technology Readiness Level (TRL); Commercialization of Lab Technologies &amp; Tech-Transfer”</t>
  </si>
  <si>
    <t>Process of Innovation Development, Technology Readiness Level (TRL); Commercialization of Lab Technologies &amp; Tech-Transfer</t>
  </si>
  <si>
    <r>
      <rPr>
        <rFont val="Calibri"/>
        <color rgb="FF1155CC"/>
        <sz val="11.0"/>
        <u/>
      </rPr>
      <t>https://www.orbitronlabs.in/</t>
    </r>
  </si>
  <si>
    <t>NEELAM SARANGI</t>
  </si>
  <si>
    <t>neelamsarangi19june1971@gmail.com</t>
  </si>
  <si>
    <t>https://drive.google.com/drive/folders/1oaBYpFRDYKV8LIBQyYTXHJnYtYGZT3N5</t>
  </si>
  <si>
    <t>Er.tripathianubhav@gmail.com</t>
  </si>
  <si>
    <t>Workshop on “Effective Sales and Marketing Strategies for Entrepreneurs /Startups”</t>
  </si>
  <si>
    <t>21-01-2026</t>
  </si>
  <si>
    <t>Effective Sales and Marketing Strategies for Entrepreneurs /Startups</t>
  </si>
  <si>
    <t>29-01-2026</t>
  </si>
  <si>
    <t>Orbitron Labs LLP is an AI and software engineering company focused on developing intelligent, scalable, and technology-driven digital solutions. The company provides services in artificial intelligence, business process automation, custom software development, and the creation of robust software systems tailored to evolving business needs. Through innovation-driven engineering and practical technology solutions, Orbitron Labs aims to help organizations streamline operations, improve efficiency, and achieve sustainable digital growth.</t>
  </si>
  <si>
    <t>LacNova Private Limited</t>
  </si>
  <si>
    <t>INC25EUP094563</t>
  </si>
  <si>
    <t>Mr. Sanjay Pratap Rao</t>
  </si>
  <si>
    <t>Niharika Talwar</t>
  </si>
  <si>
    <t>Ecofriendly Electronics</t>
  </si>
  <si>
    <t>niharika@marsallime.com</t>
  </si>
  <si>
    <t>https://drive.google.com/drive/folders/1PsH0hpFhYTCmYQquJ0RYwhvEnxlfBiG6</t>
  </si>
  <si>
    <t>Workshop on Innovation &amp; Entrepreneurship</t>
  </si>
  <si>
    <t>Innovation &amp; Entrepreneurship</t>
  </si>
  <si>
    <r>
      <rPr>
        <rFont val="Calibri"/>
        <color rgb="FF1155CC"/>
        <sz val="11.0"/>
        <u/>
      </rPr>
      <t>raosanjay111@gmail.com</t>
    </r>
  </si>
  <si>
    <t>24-Feb-25 25-Feb-25</t>
  </si>
  <si>
    <t xml:space="preserve"> Workshop on “Prototype &amp; Process Design and Development”</t>
  </si>
  <si>
    <t>Re-Viable Energy Solution LLP</t>
  </si>
  <si>
    <t>Dr. Piyush Kumar Pathak</t>
  </si>
  <si>
    <t>INC25EMP092578</t>
  </si>
  <si>
    <t>ACV-4606</t>
  </si>
  <si>
    <t>Nisha Niranjan</t>
  </si>
  <si>
    <t>Sustainable &amp; Affordable Kichen waste solution</t>
  </si>
  <si>
    <t>nishaniranjan909@gmail.com</t>
  </si>
  <si>
    <t>Workshop on “Business Model Canvas"</t>
  </si>
  <si>
    <t>https://drive.google.com/drive/folders/1tSytCT15QR-uqq95fvdpUkZTavk3zcoo</t>
  </si>
  <si>
    <t>93055 24824</t>
  </si>
  <si>
    <t>piyuspathakmaya@gmail.com</t>
  </si>
  <si>
    <t>17-02-2026</t>
  </si>
  <si>
    <t>23-02-2026</t>
  </si>
  <si>
    <t>Re-Viable Energy Solution LLP is a clean-energy startup dedicated to developing sustainable energy technologies and renewable power solutions. The company focuses on improving energy efficiency, promoting green energy adoption, and supporting the transition toward environmentally responsible and resilient energy systems.</t>
  </si>
  <si>
    <t>KlevraX Pvt. Ltd.</t>
  </si>
  <si>
    <t>Mr. Yogesh Mehta</t>
  </si>
  <si>
    <t>U74999UP2025PTC232184</t>
  </si>
  <si>
    <t>AI, Health Tech</t>
  </si>
  <si>
    <r>
      <rPr>
        <rFont val="Calibri"/>
        <color rgb="FF1155CC"/>
        <sz val="11.0"/>
        <u/>
      </rPr>
      <t>https://klevrax.com/</t>
    </r>
  </si>
  <si>
    <t>Workshop on “Raising Capital and Managing Finance for Startups”</t>
  </si>
  <si>
    <t>Raising Capital and Managing Finance for Startups</t>
  </si>
  <si>
    <t>INC25ETN068934</t>
  </si>
  <si>
    <t>SALEM</t>
  </si>
  <si>
    <t>Nithyananth Kalaiyarasan</t>
  </si>
  <si>
    <t>airvultureaerospace@gmail.com</t>
  </si>
  <si>
    <t>https://drive.google.com/drive/folders/1eca-gf_oh-uryhkpj4nE9eNfHc31-Fqw</t>
  </si>
  <si>
    <t>mehtay393@gmail.com</t>
  </si>
  <si>
    <t>16-12-2025</t>
  </si>
  <si>
    <t>22-12-2025</t>
  </si>
  <si>
    <t>KlevraX Pvt. Ltd. is a technology-focused startup developing innovative digital solutions that help businesses improve operational efficiency and customer engagement. By leveraging emerging technologies and data-driven approaches, the company aims to accelerate digital transformation and create scalable technology-enabled products and services.</t>
  </si>
  <si>
    <t>Celebration of World Creativity and Innovation Day</t>
  </si>
  <si>
    <t>HEXPRS LLP</t>
  </si>
  <si>
    <t>Mr. Harshit Dubey</t>
  </si>
  <si>
    <t>ACT-8440</t>
  </si>
  <si>
    <t>Agritech</t>
  </si>
  <si>
    <r>
      <rPr>
        <rFont val="Calibri"/>
        <color rgb="FF1155CC"/>
        <sz val="11.0"/>
        <u/>
      </rPr>
      <t>https://fertobot-gamma.vercel.app/</t>
    </r>
  </si>
  <si>
    <t>INC25EDL116341</t>
  </si>
  <si>
    <t>NORTH WEST</t>
  </si>
  <si>
    <t>Pavan Kumar Tiwari</t>
  </si>
  <si>
    <t>Discover more with Design Registrations: Master class on Patents and Design Registration</t>
  </si>
  <si>
    <t>Master class on Patents and Design Registration</t>
  </si>
  <si>
    <t>curexpress24@gmail.com</t>
  </si>
  <si>
    <t>https://drive.google.com/drive/folders/1_DAm9QzWTO_lNtOxgdX65LuDrUeI1jhZ</t>
  </si>
  <si>
    <t>harshitdubey670@gmail.com</t>
  </si>
  <si>
    <t>HEXPRS LLP is a technology and innovation startup focused on developing next-generation digital solutions and intelligent platforms for modern business applications. The company combines technology, automation, and user-centric design to create efficient, scalable, and impactful solutions for diverse industries.</t>
  </si>
  <si>
    <t>ServaSetu Service Partners Pvt. Ltd.</t>
  </si>
  <si>
    <t>Mr. Aniket Anand</t>
  </si>
  <si>
    <t>U81100UP2026PTC246756</t>
  </si>
  <si>
    <t>Services</t>
  </si>
  <si>
    <t>Copy That! Copyrights Uncovered: Masterclass on Copyrights</t>
  </si>
  <si>
    <t xml:space="preserve"> Masterclass on Copyrights</t>
  </si>
  <si>
    <r>
      <rPr>
        <rFont val="Calibri"/>
        <color rgb="FF1155CC"/>
        <sz val="11.0"/>
        <u/>
      </rPr>
      <t>https://servasetu.com/</t>
    </r>
  </si>
  <si>
    <t>INC25EUP114698</t>
  </si>
  <si>
    <t>Praveen Chandra Jha</t>
  </si>
  <si>
    <t>https://drive.google.com/drive/folders/1RRv7gLPkfj_d4y5cWDw7K0LT1D73Bewg</t>
  </si>
  <si>
    <t>Mark the Spot: Trademarks Talk</t>
  </si>
  <si>
    <t>Trademarks Talk</t>
  </si>
  <si>
    <t>aniketanandaks_ece23@its.edu.in</t>
  </si>
  <si>
    <t>17-04-2026</t>
  </si>
  <si>
    <t>DIPP269315</t>
  </si>
  <si>
    <t>INC25EUP117672</t>
  </si>
  <si>
    <t>R/STARTUP/UP/LKO/2026/000044193</t>
  </si>
  <si>
    <t>ServaSetu Service Partners Pvt. Ltd. is a service aggregation platform that connects customers with verified professionals across home maintenance, repair, and on-demand services. The company leverages technology to simplify service discovery, improve service quality, and create a trusted ecosystem for customers and service providers.</t>
  </si>
  <si>
    <t>Monarch Dynamics Pvt. Ltd.</t>
  </si>
  <si>
    <t>Mr. Udbhav Vasud</t>
  </si>
  <si>
    <t>Drone</t>
  </si>
  <si>
    <t>Significance of IP Protection and Commercialization</t>
  </si>
  <si>
    <t>IP Protection and Commercialization</t>
  </si>
  <si>
    <t>uvashud@gmail.com</t>
  </si>
  <si>
    <t>Upright care india Private Limited</t>
  </si>
  <si>
    <t>INC25EUP071671</t>
  </si>
  <si>
    <t>U86900DL2024PTC437288</t>
  </si>
  <si>
    <t>Health Tech &amp; Social Impact</t>
  </si>
  <si>
    <t>Patent to Product (Srujanta Se Samruddhi)</t>
  </si>
  <si>
    <t>Pritam Kumar Gupta</t>
  </si>
  <si>
    <t>manimittal1945@gmail.com</t>
  </si>
  <si>
    <t>workwithpritam0@gmail.com</t>
  </si>
  <si>
    <t>30-09-2025</t>
  </si>
  <si>
    <t>https://drive.google.com/drive/folders/1iJcJzy-O2FK8sB9bGaloOLkUa5-3wW3e</t>
  </si>
  <si>
    <t>Upright Care India Private Limited is a health-tech and social impact startup focused on improving healthcare accessibility and well-being through technology-enabled solutions. The company develops innovative healthcare services and support systems that empower individuals and communities to achieve better health outcomes.</t>
  </si>
  <si>
    <t>VN Organics Pvt. Ltd.</t>
  </si>
  <si>
    <t>Ms. Nisha Niranjan</t>
  </si>
  <si>
    <t>U01100MP2020PTC051499</t>
  </si>
  <si>
    <t>Expert Talk on Cross-Industry Innovation and Design Thinking</t>
  </si>
  <si>
    <t>Cross-Industry Innovation and Design Thinking</t>
  </si>
  <si>
    <t>vnorganicsvn@gmail.com</t>
  </si>
  <si>
    <t>29-06-2026</t>
  </si>
  <si>
    <t>15-02-2025</t>
  </si>
  <si>
    <t>VN Organics Pvt. Ltd. develops nutrition-focused food products and nutraceutical solutions derived from sustainable agricultural practices. The company specializes in mushroom-based and health-oriented products that promote wellness, nutritional security, and value addition in the agri-food ecosystem.</t>
  </si>
  <si>
    <t>Bundelkhand Agro Innovations Pvt. Ltd. (ABROSAA)</t>
  </si>
  <si>
    <t>INC25EUP103380</t>
  </si>
  <si>
    <t>Ms. Shivani Bundela</t>
  </si>
  <si>
    <t>U01100UP2021PTC155003</t>
  </si>
  <si>
    <t>Workshop on “Intellectual Property Rights (IPRs) and IP Management for Startups”</t>
  </si>
  <si>
    <t>PRIYANJALI AYURVED INDUSTRIES</t>
  </si>
  <si>
    <t>Intellectual Property Rights (IPRs) and IP Management for Startups</t>
  </si>
  <si>
    <t>https://abrosaa.com/</t>
  </si>
  <si>
    <t>Priyanjali.Industries@gmail.com</t>
  </si>
  <si>
    <t>https://drive.google.com/drive/folders/1_9GpIg4aPeNWMkHsGQC6a8Xc6yXUQQe2</t>
  </si>
  <si>
    <t>Workshop on “How to Plan for Startups and Legal &amp; Ethical Steps”</t>
  </si>
  <si>
    <t>How to Plan for Startups and Legal &amp; Ethical Steps</t>
  </si>
  <si>
    <t>INC25EUP088679</t>
  </si>
  <si>
    <t>LUCKNOW</t>
  </si>
  <si>
    <t>Ratan Singh</t>
  </si>
  <si>
    <t>info@blendmest.in</t>
  </si>
  <si>
    <t>shivanibundela11@gmail.com</t>
  </si>
  <si>
    <t>https://drive.google.com/drive/folders/1rKXuJ9AQaY40W-MoVgt3nPs0xybE3iQU</t>
  </si>
  <si>
    <t>Awareness Camp on CM YUVA Scheme</t>
  </si>
  <si>
    <t>Highlighted the benefits of CM YUVA Scheme</t>
  </si>
  <si>
    <t>27-10-2021</t>
  </si>
  <si>
    <t>Entrepreneurship Awareness Programme for SC/ST Youths</t>
  </si>
  <si>
    <t>Highlighted the benefits of SC and ST youngsters  towards entrepreneuship</t>
  </si>
  <si>
    <t>Bundelkhand Agro Innovations Pvt. Ltd., operating under the brand ABROSAA, is a food innovation company dedicated to reviving indigenous superfoods and promoting sustainable nutrition. The company transforms traditional agricultural produce into value-added food products, empowering farmers while delivering healthy and innovative food solutions to consumers.</t>
  </si>
  <si>
    <t>HindGrow Hussain Pvt. Ltd.</t>
  </si>
  <si>
    <t>INC25ETN067264</t>
  </si>
  <si>
    <t>Dr Ajaz Hussian</t>
  </si>
  <si>
    <t>Samsung Solve for Tomorrow</t>
  </si>
  <si>
    <t>COIMBATORE</t>
  </si>
  <si>
    <t>Fostered students toward STEM - Based solutions for societal challenges</t>
  </si>
  <si>
    <t>Rittish G</t>
  </si>
  <si>
    <t>U46596UP2023PTC182376</t>
  </si>
  <si>
    <t>Bio &amp; DeepTech</t>
  </si>
  <si>
    <t>rittish.g2023eee@sece.ac.in</t>
  </si>
  <si>
    <t>http://hindgrow.hussain.com/</t>
  </si>
  <si>
    <t>https://drive.google.com/drive/folders/1yRZKDtoF1uuFc1kQcvQ0e2giYi0qW5kn</t>
  </si>
  <si>
    <t>TechTrix'25</t>
  </si>
  <si>
    <t>A mega event which comprised of 15 subevents, all together focused on building and encouraging the entrepreneurship culture</t>
  </si>
  <si>
    <t>13th and 14th May 2025</t>
  </si>
  <si>
    <t>1670+</t>
  </si>
  <si>
    <t>INC25EMP120939</t>
  </si>
  <si>
    <t>E-CELL ORIENTATION SESSION</t>
  </si>
  <si>
    <t>Rohit Ramani</t>
  </si>
  <si>
    <t>18-09-25</t>
  </si>
  <si>
    <t>rohitramani925@gmail.com</t>
  </si>
  <si>
    <t>https://drive.google.com/drive/folders/1zrMYb-RKclhigWH7ikv-fx1Jgqlay82V</t>
  </si>
  <si>
    <t>18-05-2023</t>
  </si>
  <si>
    <t xml:space="preserve">HindGrow Hussain Pvt. Ltd. is a deep-tech biomedical startup dedicated to advancing the next generation of cost-effective and biocompatible medical devices, particularly in the field of dental and orthopedic care. Our core innovation lies in the research-driven design, development, and manufacturing of zirconia-based bone graft substitutes, dental implants, and supportive biomaterials tailored for high performance, safety, and long-term patient compatibility. Leveraging cutting-edge material science, our proprietary nanocomposite formulations are engineered for enhanced mechanical strength, bioactivity, and osseointegration. We integrate advanced simulation tools and rigorous in vitro validation to meet global regulatory standards such as ISO 13485 and CDSCO norms. Our product pipeline addresses critical gaps in affordability and accessibility of high-quality graft materials in India and emerging markets. </t>
  </si>
  <si>
    <t>ONLINE SEMINAR - COLLABED WITH GARDGURU &amp; E-CELL - IIT Hyderabad</t>
  </si>
  <si>
    <t>Online</t>
  </si>
  <si>
    <t>21-09-25</t>
  </si>
  <si>
    <t>FOUNDATION DAY - DECODE YOUR ROADMAP</t>
  </si>
  <si>
    <t>13-10-25</t>
  </si>
  <si>
    <t>INC25EDL099933</t>
  </si>
  <si>
    <t>NEW DELHI</t>
  </si>
  <si>
    <t>SALMAN ANSARI</t>
  </si>
  <si>
    <t>ENTREPRENEURSHIP &amp; INNOVATION AS CAREER OPPORTUNITY</t>
  </si>
  <si>
    <t>salmanansariah_ce23@its.edu.in</t>
  </si>
  <si>
    <t>https://drive.google.com/drive/folders/1jHUy-64YFPND5Eyp_x3sal0ZQfFq3hbh</t>
  </si>
  <si>
    <t>14-10-25</t>
  </si>
  <si>
    <t>KICKSTART YOUR ENTREPRENURIAL JOURNEY</t>
  </si>
  <si>
    <t>FINDING NEW INNOVATIVE IDEAS</t>
  </si>
  <si>
    <t>INC25EUP070610</t>
  </si>
  <si>
    <t>SHAFALI DUTTA</t>
  </si>
  <si>
    <t>shafali.dutta30@gmail.com</t>
  </si>
  <si>
    <t>https://drive.google.com/drive/folders/1qpOuR_B-4linMb6Ut7gHd0YalFlt0KjE</t>
  </si>
  <si>
    <t>AI &amp; ITS EMERGING TRENDS IN STARTUP ECOSYSTEM</t>
  </si>
  <si>
    <t>HOW TO APPROACH CALL FOR APPLICATIONS</t>
  </si>
  <si>
    <t>INC25EUP090358</t>
  </si>
  <si>
    <t>INNOVATION &amp; EVOLUTION IN CYBERSEC</t>
  </si>
  <si>
    <t>Sharad Kumar Maheshwari</t>
  </si>
  <si>
    <t>vedaxotechsolutions@gmail.com</t>
  </si>
  <si>
    <t>13/11/2025</t>
  </si>
  <si>
    <t>https://drive.google.com/drive/folders/1syrzrVQYib420OwMo6cHwHKv-is9jqfQ</t>
  </si>
  <si>
    <t>NEWGEN DEMO DAY</t>
  </si>
  <si>
    <t>INC25EUP081805</t>
  </si>
  <si>
    <t>SHREY KUMAR SRIVASTAV</t>
  </si>
  <si>
    <t>shreysrivastav@gmail.com</t>
  </si>
  <si>
    <t>https://drive.google.com/drive/folders/1hkL6lWeOlF0jbKa_1PJFhZgDr1XYmeiS</t>
  </si>
  <si>
    <t>COLLABORATIVE SESSION (NFED - IDFC)</t>
  </si>
  <si>
    <t>22/12/25</t>
  </si>
  <si>
    <t>INC25EUP117241</t>
  </si>
  <si>
    <t>FACULTY WORKSHOP</t>
  </si>
  <si>
    <t>MAHOBA</t>
  </si>
  <si>
    <t>Shruti Chaurasiya</t>
  </si>
  <si>
    <t>Shrutichaurasiyakr@gmail.com</t>
  </si>
  <si>
    <t>https://drive.google.com/drive/folders/1iXSQCjcaR0qjsUWTR4XpE9SWgcyYvuS9</t>
  </si>
  <si>
    <t>24/12/25</t>
  </si>
  <si>
    <t>BUILD FOR BHARAT : OPPORTUNITIES IN THE NEXT DECADE</t>
  </si>
  <si>
    <t>16/01/26</t>
  </si>
  <si>
    <t>INC25EUP083154</t>
  </si>
  <si>
    <t xml:space="preserve">INDIA AI IMPACT | PRE INDIA SUMMIT </t>
  </si>
  <si>
    <t>Sukhman Kaur</t>
  </si>
  <si>
    <t>Satyasukh45@gmail.com</t>
  </si>
  <si>
    <t>https://drive.google.com/drive/folders/1d4WAv9EmGwx3ClAtjdWuawoYG5j23HY3</t>
  </si>
  <si>
    <t>INCUBATION VISIT BY A.I.M.T</t>
  </si>
  <si>
    <t>23/02/2026</t>
  </si>
  <si>
    <t>INC25EUP084915</t>
  </si>
  <si>
    <t>E-CELL-ITSEC INTER DEPARTMENT MEET</t>
  </si>
  <si>
    <t>Suryansh Chandel</t>
  </si>
  <si>
    <t>27/02/2026</t>
  </si>
  <si>
    <t>suryanshchandel75@gmail.com</t>
  </si>
  <si>
    <t>https://drive.google.com/drive/folders/1xKfVKJL7NrrcUAKC6j-KQds76E3B0YFu</t>
  </si>
  <si>
    <t>HOW TO APPROACH HACKATHONS</t>
  </si>
  <si>
    <t>BUILDING THE ENGINE OF APPLICATIONS : BACKEND DEV AND DATABASE CONNECTIVITY DAY 1</t>
  </si>
  <si>
    <t>16/03/2026</t>
  </si>
  <si>
    <t>INC25EUP089978</t>
  </si>
  <si>
    <t>Swasti Panwar</t>
  </si>
  <si>
    <t>Swastipanwar_bca23_26@its.edu.in</t>
  </si>
  <si>
    <t>https://drive.google.com/drive/folders/1lWYLfM8q01jzhR7tStgcTWRRw8n_UnKy</t>
  </si>
  <si>
    <t>BUILDING THE ENGINE OF APPLICATIONS : BACKEND DEV AND DATABASE CONNECTIVITY DAY 2</t>
  </si>
  <si>
    <t>19/03/2026</t>
  </si>
  <si>
    <t>HACK THE BEGINNING'26</t>
  </si>
  <si>
    <t>10/04/26 &amp; 11/04/2026</t>
  </si>
  <si>
    <t>LOGO DESIGNING COMPETITION</t>
  </si>
  <si>
    <t>21/04/2026</t>
  </si>
  <si>
    <t>INC25EUP090180</t>
  </si>
  <si>
    <t>INCUBATION VISIT BY I.T.S CPS</t>
  </si>
  <si>
    <t>25/05/2026</t>
  </si>
  <si>
    <t>MSME DAY VISIT</t>
  </si>
  <si>
    <t>INC25EUP111994</t>
  </si>
  <si>
    <t>VINOD SWAPNIL</t>
  </si>
  <si>
    <t>stlsamrat2024@gmail.com</t>
  </si>
  <si>
    <t>FACULTY SENSITIZATION WORKSHOP</t>
  </si>
  <si>
    <t>https://drive.google.com/drive/folders/1LIhmoYuVPprKAgRUIS_quFT7BC_FSV_5</t>
  </si>
  <si>
    <t>E-CELL-ITSEC INTER DEPARTMENT MEET 2.0</t>
  </si>
  <si>
    <t>22/07/2026</t>
  </si>
  <si>
    <t>INC25EUP095728</t>
  </si>
  <si>
    <t>Vishal Dixit</t>
  </si>
  <si>
    <t>Vishal.2327csit1066@kiet.edu</t>
  </si>
  <si>
    <t>https://drive.google.com/drive/folders/1RsdadSJIqHMaBmRtGLP3Z5DsHgY1XgHp</t>
  </si>
  <si>
    <t>INC25EUP120652</t>
  </si>
  <si>
    <t>MSME Summary Sheet</t>
  </si>
  <si>
    <t>Yogendra Singh</t>
  </si>
  <si>
    <t>Sr. No</t>
  </si>
  <si>
    <t>yogendrasingh739303@gmail.com</t>
  </si>
  <si>
    <t>https://drive.google.com/drive/folders/1tvvNAlWb7dAppvPiyn6PLPJS8icWOdoN</t>
  </si>
  <si>
    <t>MSME Hackathons</t>
  </si>
  <si>
    <t>Total No of Idea Received</t>
  </si>
  <si>
    <t>Total No of Idea Selectd</t>
  </si>
  <si>
    <t>Project Name</t>
  </si>
  <si>
    <t>Incubatee Name</t>
  </si>
  <si>
    <t>Mentor</t>
  </si>
  <si>
    <t>Sanctioned Grant</t>
  </si>
  <si>
    <t>MSME IDEA HACKATHON</t>
  </si>
  <si>
    <t>Low Cost Table Top Laser Cutting Machine</t>
  </si>
  <si>
    <t>Mr. Joyti Prakash</t>
  </si>
  <si>
    <t>Mr. Manvendra Yadav</t>
  </si>
  <si>
    <t>2015-16</t>
  </si>
  <si>
    <t>Colour Remark</t>
  </si>
  <si>
    <t>Pneumatic Based Rice Threashing and winnowing Machine</t>
  </si>
  <si>
    <t xml:space="preserve">                            Double Ideas and Both Different</t>
  </si>
  <si>
    <t>Dr. Sanjay Yadav</t>
  </si>
  <si>
    <t>Exercise Cum Pedal Power Washing Machine</t>
  </si>
  <si>
    <t>Mr. Khalid Azaz</t>
  </si>
  <si>
    <t>Easy Wait</t>
  </si>
  <si>
    <t>Mr. Aashish Agarwal</t>
  </si>
  <si>
    <t>Dr.Aashish Kumar</t>
  </si>
  <si>
    <t xml:space="preserve">Double Ideas and Both Same </t>
  </si>
  <si>
    <t>Sign Language Assistant</t>
  </si>
  <si>
    <t>Mr. Vishal Goyal</t>
  </si>
  <si>
    <t>Ms. Bhumika Pathak</t>
  </si>
  <si>
    <t>2016-17</t>
  </si>
  <si>
    <t>Animatronic Wireless Hand</t>
  </si>
  <si>
    <t>Mr. Tarun Panwar</t>
  </si>
  <si>
    <t>Dr. Leena Arya</t>
  </si>
  <si>
    <t>Self Adjusting Knee Ankel foot orthosis Caliper</t>
  </si>
  <si>
    <t>Mr. Anish Khan (External)</t>
  </si>
  <si>
    <t>Solid Agro Fertilizer</t>
  </si>
  <si>
    <t>Mr. Shahnawaz Sami</t>
  </si>
  <si>
    <t>Msme Idea Hackathon 2022</t>
  </si>
  <si>
    <t>Continuously Variable Generator with Electro-Mechanical Synchronization</t>
  </si>
  <si>
    <t>Mr. Mahip Singh</t>
  </si>
  <si>
    <t>2022-23</t>
  </si>
  <si>
    <t>Msme Idea Hackathon 2.0 (Theme Based)</t>
  </si>
  <si>
    <t>E V Acceleration Enhancer</t>
  </si>
  <si>
    <t>Md. Samiruddin Ansari</t>
  </si>
  <si>
    <t>2023-24</t>
  </si>
  <si>
    <t>Msme Idea Hackathon 3.0 (Women)</t>
  </si>
  <si>
    <t>Kesar Aeroponics farming with automati wnvironment control system</t>
  </si>
  <si>
    <t>Ms. Rachna Verma(External)</t>
  </si>
  <si>
    <t>Mr. Shubham Verma</t>
  </si>
  <si>
    <t>2024-25</t>
  </si>
  <si>
    <t>Revolutionizing Environmental Footprint Reduction and Equipment Monitoring using wind turbine</t>
  </si>
  <si>
    <t>Ms. Aruna Malik (External)</t>
  </si>
  <si>
    <t>Mr. Dhruv Mehta(Assistant Professor – TU Delft (Netherlands) )</t>
  </si>
  <si>
    <t>Entreprise Security Automation</t>
  </si>
  <si>
    <t>Ms. Priya Sah Deo</t>
  </si>
  <si>
    <t>Msme Idea Hackathon 4.0</t>
  </si>
  <si>
    <t>Waste to Farm Sustainable System</t>
  </si>
  <si>
    <t>Ms. Varsha (External)</t>
  </si>
  <si>
    <t>Dr. Gaurav Sharma(Assistant Professor)
Mr. Upendra Kumar Agarwal</t>
  </si>
  <si>
    <t>2025-26</t>
  </si>
  <si>
    <t>IoT-Driven Energy and Efficiency Optimization for MSMEs</t>
  </si>
  <si>
    <t>Mr. Aviral Gupta (External)</t>
  </si>
  <si>
    <t>Mr. Himanshu Tripathi</t>
  </si>
  <si>
    <t>Msme Idea Hackathon 5.0</t>
  </si>
  <si>
    <t>Result Not Deleared</t>
  </si>
  <si>
    <t>TOTAL</t>
  </si>
  <si>
    <t>Patent Details for Verification_NIRF2026</t>
  </si>
  <si>
    <r>
      <rPr>
        <rFont val="Calibri"/>
        <b/>
        <color rgb="FF000000"/>
        <sz val="14.0"/>
      </rPr>
      <t xml:space="preserve">Note: Provide your Institution’s Patent details (Only Utility Patents) Discipline-wise as applied for NIRF Ranking each in Separate List/Table (Only Published &amp; Granted during 2022 – 2024 year-wise) strictly in this provided format, and clearly write/mention the Discipline &amp; Institute ID above the List/Table as prescribed. </t>
    </r>
    <r>
      <rPr>
        <rFont val="Calibri"/>
        <b/>
        <color rgb="FFFF0000"/>
        <sz val="14.0"/>
      </rPr>
      <t>Details of the Design, Trademarks, or Copyrights, and only Filed Patents must be avoided. Those details should not be entered or provided in the list below as those won't be considered for the ranking.</t>
    </r>
    <r>
      <rPr>
        <rFont val="Calibri"/>
        <b/>
        <color rgb="FF000000"/>
        <sz val="14.0"/>
      </rPr>
      <t xml:space="preserve"> Patent details must be submitted along with all the source proofs (attached) like screenshots, pdf, image file from databases like InPASS, WIPO, USPTO, Espacenet, Derwent Innovation, etc. and direct URL/Website links, etc.</t>
    </r>
  </si>
  <si>
    <r>
      <rPr>
        <rFont val="Calibri"/>
        <b/>
        <color rgb="FF000000"/>
        <sz val="12.0"/>
      </rPr>
      <t xml:space="preserve">Discipline Name applied for NIRF2026 Ranking: </t>
    </r>
    <r>
      <rPr>
        <rFont val="Calibri"/>
        <b/>
        <color rgb="FFFF0000"/>
        <sz val="12.0"/>
      </rPr>
      <t>e.g. IR_OVERALL / IR_ENGINEERING / IR_MEDICAL / IR_PHARMACY / IR_DENTAL</t>
    </r>
  </si>
  <si>
    <r>
      <rPr>
        <rFont val="Calibri"/>
        <b/>
        <color rgb="FF000000"/>
        <sz val="12.0"/>
      </rPr>
      <t xml:space="preserve">Institute ID: </t>
    </r>
    <r>
      <rPr>
        <rFont val="Calibri"/>
        <b/>
        <color rgb="FFFF0000"/>
        <sz val="12.0"/>
      </rPr>
      <t>e.g. C-00000 / U-00000</t>
    </r>
  </si>
  <si>
    <t xml:space="preserve">Provide below the Year-wise Count of Submitted Patent Data by the Institute (2022 to 2024) for NIRF2026 as applied in Discipline-specific: </t>
  </si>
  <si>
    <t>Published_2022</t>
  </si>
  <si>
    <t>Published_2023</t>
  </si>
  <si>
    <t>Published_2024</t>
  </si>
  <si>
    <t>Granted_2022</t>
  </si>
  <si>
    <t>Granted_2023</t>
  </si>
  <si>
    <t>Granted_2024</t>
  </si>
  <si>
    <t>Total Published (2018-2020)</t>
  </si>
  <si>
    <t>Total Granted (2022-2024)</t>
  </si>
  <si>
    <t>Patent Details with proofs (Attach screenshots, pdf, image file, etc.):</t>
  </si>
  <si>
    <t>Sl. No.</t>
  </si>
  <si>
    <t>Patent Application No.</t>
  </si>
  <si>
    <t>Status of Patent (Published / Granted)</t>
  </si>
  <si>
    <t>Inventor/s Name</t>
  </si>
  <si>
    <t>Title of the Patent</t>
  </si>
  <si>
    <t>Applicant/s Name</t>
  </si>
  <si>
    <r>
      <rPr>
        <rFont val="Calibri"/>
        <b/>
        <color rgb="FF000000"/>
        <sz val="11.0"/>
      </rPr>
      <t>Patent Filed Date (</t>
    </r>
    <r>
      <rPr>
        <rFont val="Calibri"/>
        <b/>
        <color rgb="FF000000"/>
        <sz val="10.0"/>
      </rPr>
      <t xml:space="preserve">DD/MM/YYYY) </t>
    </r>
  </si>
  <si>
    <r>
      <rPr>
        <rFont val="Calibri"/>
        <b/>
        <color rgb="FF000000"/>
        <sz val="11.0"/>
      </rPr>
      <t>Patent Published Date / Granted Date (</t>
    </r>
    <r>
      <rPr>
        <rFont val="Calibri"/>
        <b/>
        <color rgb="FF000000"/>
        <sz val="11.0"/>
      </rPr>
      <t>DD/MM/YYYY)</t>
    </r>
  </si>
  <si>
    <t>Patent Publication Number / Patent Granted Number</t>
  </si>
  <si>
    <t>Assignee/s Name (Institute Affiliation/s at time of Appication)</t>
  </si>
  <si>
    <t>Here, attach Source Proof Screenshots/URL/ Website Links, etc.</t>
  </si>
  <si>
    <t>Granted</t>
  </si>
  <si>
    <t xml:space="preserve">Harshit Kumar Singh </t>
  </si>
  <si>
    <t>CIPHER GENERATOR</t>
  </si>
  <si>
    <t>https://drive.google.com/file/d/1_bmtoIDDAlUAL3o5peOgT4KEveE2RaRu/view?usp=sharing</t>
  </si>
  <si>
    <t xml:space="preserve">Mahip Singh, 
Dr. Anuj Kumar Sharma, 
Dr. Amit Rai Dixit </t>
  </si>
  <si>
    <t>METHOD AND DEVICE FOR OPTIMIZING CUTTING FLUID IN METAL CUTTING OPERATIONS</t>
  </si>
  <si>
    <t>ITS Engineering College
IIT(ISM) Dhanbad</t>
  </si>
  <si>
    <t>26/07/21</t>
  </si>
  <si>
    <t>https://drive.google.com/file/d/1ekmxdf-AWFLTnc3qxyiY4cdPEsrFEN1a/view?usp=sharing</t>
  </si>
  <si>
    <t>Published</t>
  </si>
  <si>
    <t>Dr. Praveen Chandra Jha, 
Manish Pandey, 
Mayank Senger</t>
  </si>
  <si>
    <t xml:space="preserve">METHOD FOR MAKING BIODEGRADABLE SHELLAC AND SYNTHETIC RESIN BASED MOULDED PRODUCTS AND PCB BASE  </t>
  </si>
  <si>
    <t>ITS Engineering College
Dr. Praveen Chandra Jha</t>
  </si>
  <si>
    <t>30-12-2022</t>
  </si>
  <si>
    <t>https://drive.google.com/file/d/1DqDh7EGqIxF_y58rmIYmBVyR0E_FITGj/view?usp=sharing</t>
  </si>
  <si>
    <t>Harshit Kumar Singh, 
Mr. Manvendra Yadav, 
Ms. Nidhi Sharma</t>
  </si>
  <si>
    <t>THREE-DIMENSIONAL (3D) SOLAR PANEL UNIT BASED ON CONCENTRATOR PHOTOVOLTAICS (CPV)</t>
  </si>
  <si>
    <t>CIPHER10INFINITY INDUSTRIES PRIVATE LIMITED</t>
  </si>
  <si>
    <t>22-10-2024</t>
  </si>
  <si>
    <t>https://drive.google.com/file/d/1B4aj-gUu1t4hD6WsGp33KA-frn_T527G/view?usp=sharing</t>
  </si>
  <si>
    <t>Dr. Praveen Chandra Jha, 
Mr Nitesh Kumar Jha, 
Mr. Yash Kumar</t>
  </si>
  <si>
    <t xml:space="preserve">DEVELOPMENT OF ELECTRICALLY INSULATING BIODEGRADABLE SHELLAC BASED FIBERS AND METHOD THEREOF  </t>
  </si>
  <si>
    <t>https://drive.google.com/file/d/1FOS33NhNMOVrkS_Q1txJcVGmZuYJpaV-/view?usp=sharing</t>
  </si>
  <si>
    <t>Mr. Brijesh Kumar, Mr Abhishek Pal, Mr Akash</t>
  </si>
  <si>
    <t xml:space="preserve">HYBRID VEHICLE WASHING SYSTEM </t>
  </si>
  <si>
    <t>ITS Engineering College
 Mr. Brijesh Kumar</t>
  </si>
  <si>
    <t>https://drive.google.com/file/d/1eWRDlO5ELDcC2UuuONOQa6i-MEQ_oSdn/view?usp=sharing</t>
  </si>
  <si>
    <t xml:space="preserve">Published </t>
  </si>
  <si>
    <t>Mr. Agha Asim Husain, 
Mr. Manvendra Yadav, 
Dr.Mayank garg, 
Mr. Shaswat Pandey, Ms. Divya Verma</t>
  </si>
  <si>
    <t xml:space="preserve">AI BASED SYSTEM TO EVADE STRAY LIVESTOCK’S </t>
  </si>
  <si>
    <t>ITS Engineering College, Mr. Agha Asim Husain,
 Mr. Manvendra Yadav, Dr.Mayank Garg</t>
  </si>
  <si>
    <t>https://drive.google.com/file/d/11O-NHISnvaigBPAbsBDZtmxp5o-gUMsN/view?usp=sharing</t>
  </si>
  <si>
    <t>Mr. Manvendra Yadav, 
Dr.Mayank Garg, 
Dr. Akant Kumar Singh, Mr. Ashirwad Pal</t>
  </si>
  <si>
    <t>DESERT AIR-COOLER CUM AIR CONDITIONER</t>
  </si>
  <si>
    <t>ITS Engineering College, Dr.Mayank Garg,
Mr. Manvendra Yadav, Dr. Akant Kumar Singh</t>
  </si>
  <si>
    <t>https://drive.google.com/file/d/1syzbC-85Vqb8QUbawxDK8NLOsYBPKslb/view?usp=sharing</t>
  </si>
  <si>
    <t>HIGH POWER DENSITY MODULAR BLDC MOTOR CONTROLLER</t>
  </si>
  <si>
    <t>I.T.S Engineering College
Harshit Kumar Singh</t>
  </si>
  <si>
    <t>https://drive.google.com/file/d/1W-ULrTsEqQqf1Ti1RTuXCikLn7n47ZTn/view?usp=sharing</t>
  </si>
  <si>
    <t>MODULAR BRUSHLESS DIRECT CURRENT (BLDC) ELECTRIC MOTOR</t>
  </si>
  <si>
    <t>https://drive.google.com/file/d/1xtdxut7Z8Mri-rMBFxWS1kllEXQDT8uk/view?usp=sharing</t>
  </si>
  <si>
    <t>Mohammad Ayub Khan , 
Mr Manvendar Yadav, 
Mr. Suraj Singh, 
Devraj Singh</t>
  </si>
  <si>
    <t>MID-DAY MEAL AUTOMATED REPORTING AND</t>
  </si>
  <si>
    <t>I.T.S Engineering College, Mohammad Ayub Khan,
Mr. Manvendar Yadav, 
Mr. Suraj Singh</t>
  </si>
  <si>
    <t>10-02-2023</t>
  </si>
  <si>
    <t>https://drive.google.com/file/d/1LIKQdDXYw7cQjSeCZT2drgH8vFSTfmu9/view?usp=sharing</t>
  </si>
  <si>
    <t>Muskan Sachdeva
Afreen Ali
Arshdeep Singh Baidwan</t>
  </si>
  <si>
    <t>A SMART TOOTHBRUSH</t>
  </si>
  <si>
    <t xml:space="preserve">Santosh Deemed Universlty
I.T.S Engineering College
</t>
  </si>
  <si>
    <t>20/03/2023</t>
  </si>
  <si>
    <t>27-09-2024</t>
  </si>
  <si>
    <t>https://drive.google.com/file/d/1OQN_eCpdInbV1Wgwq9BKgyw-EOWAyS-u/view?usp=sharing</t>
  </si>
  <si>
    <t>Jayant Singh Rajput
Chetan Dixit</t>
  </si>
  <si>
    <t>DATUM SURFACE TABLE</t>
  </si>
  <si>
    <t>I.T.S Engineering College
Jayant Singh Rajput
Chetan Dixit</t>
  </si>
  <si>
    <t>09-02-2023</t>
  </si>
  <si>
    <t>19-07-2024</t>
  </si>
  <si>
    <t>https://drive.google.com/file/d/1EGazggjCkH9egakjhtaKyox0Ckng7yyR/view?usp=sharing</t>
  </si>
  <si>
    <t>Mohammad Ayub Khan
Mr. Suraj Singh
Asin Suhail</t>
  </si>
  <si>
    <t>MOBILE ROBOT USING LIDAR AND NAVIGATION CAMERA</t>
  </si>
  <si>
    <t>I.T.S Engineering College
Mohammad Ayub Khan</t>
  </si>
  <si>
    <t>13-10-2023</t>
  </si>
  <si>
    <t>https://drive.google.com/file/d/1SZlKHOitOH2mbegaXzwk9KLgaUEja03T/view?usp=sharing</t>
  </si>
  <si>
    <t>Dr. Praveen Chandra Jha
Chandan Kumar
Raghunandan Kumar
Prabhat Kumar Mishra</t>
  </si>
  <si>
    <t>METHOD FOR DEVELOPMENT OF BOIDEGRADABLE SHELLAC BASED DIELECTRIC SUBSTRATE FOR FLEXIBLE SENSORS</t>
  </si>
  <si>
    <t>I.T.S Engineering College
Dr. Praveen Chandra Jha</t>
  </si>
  <si>
    <t>https://drive.google.com/file/d/1kQUPtHMLeVx9Rq2zjSwzCBDbDpCnVOD9/view?usp=sharing</t>
  </si>
  <si>
    <t>Amber Shamsh
Madav Dixit
Aungkar Bhagat</t>
  </si>
  <si>
    <t>PLASTIC SAND COMPOSITE BRICK</t>
  </si>
  <si>
    <t>I.T.S Engineering College
Amber Shamsh
Madav Dixit
Aungkar Bhagat</t>
  </si>
  <si>
    <t>https://drive.google.com/file/d/1TPDWzq-UGGyAp2k9uGDaTboNRMGaKzLw/view?usp=sharing</t>
  </si>
  <si>
    <t>Ainul Hasan
Dr. setu Garg</t>
  </si>
  <si>
    <t>IOT BASED HEALTH MONITORING SYSTEM</t>
  </si>
  <si>
    <t>I.T.S Engineering College
Ainul Hasan
Dr. setu Garg</t>
  </si>
  <si>
    <t>https://drive.google.com/file/d/1VC8R38Rl8BVQkJavaFZmPzlhrI35HjIZ/view?usp=sharing</t>
  </si>
  <si>
    <t>Devraj Singh
Pragati Tripathi
Dr. Monika Jain</t>
  </si>
  <si>
    <t>IOT BASED SMART MIRROR FOR MULTI-DIMENSIONAL APPLICATIONS</t>
  </si>
  <si>
    <t>I.T.S Engineering College Devraj Singh
Pragati Tripathi</t>
  </si>
  <si>
    <t>12-01-2024</t>
  </si>
  <si>
    <t>https://drive.google.com/file/d/1o1aJCMG7l3kRp1ajgVe3VQsr2_M-pSqp/view?usp=sharing</t>
  </si>
  <si>
    <t>Mohammad Ayub Khan , 
Mr. Suraj Singh
Gagan Sahu</t>
  </si>
  <si>
    <t>SMART MACHINE BOX</t>
  </si>
  <si>
    <t xml:space="preserve">I.T.S Engineering College
Suraj Singh
</t>
  </si>
  <si>
    <t>https://drive.google.com/file/d/1t1T3OXWZJHb3oHfM5bzZj-8S0WKbaBhR/view?usp=sharing</t>
  </si>
  <si>
    <t>Shubham Kumar
Upendra K Agarwal
Aadarsh</t>
  </si>
  <si>
    <t>VERTICAL MOP ROBOT</t>
  </si>
  <si>
    <t>I.T.S Engineering College
Shubham Kumar
Upendra K Agarwal</t>
  </si>
  <si>
    <t>https://drive.google.com/file/d/1QTNzjFxRT0T8gNCS7W9QEql163b7tyBd/view?usp=sharing</t>
  </si>
  <si>
    <t>Mr. Agha Asim Hussain
Shashwat Pandy
Aman Pratap Singh</t>
  </si>
  <si>
    <t>FACIAL RECOGNITION BASED ATTENDANCE MANAGEMENT SYSTEM</t>
  </si>
  <si>
    <t>I.T.S Engineering College
Mr. Agha Asim Hussain
Shashwat Pandy</t>
  </si>
  <si>
    <t>https://drive.google.com/file/d/1kIMUqSIkN1_RF0Yn-YdMy2UgiG7VoUas/view?usp=sharing</t>
  </si>
  <si>
    <t>Shivendra Kumar
Chetan Dixit</t>
  </si>
  <si>
    <t>INTEGRATED FIXED RATIO DIET MIXING AND CUTTING MACHINE</t>
  </si>
  <si>
    <t>I.T.S Engineering College
Shivendra Kumar
Chetan Dixit</t>
  </si>
  <si>
    <t>https://drive.google.com/file/d/1-9ZwbgETTFaBIeLBz5lQvnhJtw34o_af/view?usp=sharing</t>
  </si>
  <si>
    <t>Md Samiruddin Ansari
Manish Pandy 
Dr. Praveen Chandra Jha</t>
  </si>
  <si>
    <t>AUTOMATIC MILLED RAW RICE AGE FINDER MACHINE</t>
  </si>
  <si>
    <t>I.T.S Engineering College 
Md Samiruddin Ansari
Manish Pandy</t>
  </si>
  <si>
    <t xml:space="preserve">Chetan Dixit
Deepanjan          Suraj Kumar
Ashwin Yadav      </t>
  </si>
  <si>
    <t>KNEE AND ANKLE CONTINUOUS PASSIVE MOTION (CPM) MACHINE</t>
  </si>
  <si>
    <t>Chetan Dixit
Deepanjan                     Suraj Kumar
Ashwin Yadav                 I.T.S Engineering college</t>
  </si>
  <si>
    <t>09-02-2024</t>
  </si>
  <si>
    <t>https://drive.google.com/file/d/1ukz9-EnijJsmrl2W2HUkAwPeB0zzyaBV/view?usp=sharing</t>
  </si>
  <si>
    <t>202411056840</t>
  </si>
  <si>
    <t>1 . Maneesh Kumar Shivhare
2 . Proff. Samsher
3 . Dr. Anil Kumar</t>
  </si>
  <si>
    <t>SOLAR STILL APPARATUS</t>
  </si>
  <si>
    <t>1 . I.T.S. Engineering College
2 . Maneesh Kumar Shivhare
3 . Proff. Samsher
4 . Dr. Anil Kumar</t>
  </si>
  <si>
    <t>26-07-2024</t>
  </si>
  <si>
    <t>https://drive.google.com/file/d/1Caxin2tUN8VPtyN1qVYjDCTZ4wkASWNn/view?usp=sharing</t>
  </si>
  <si>
    <t>Institution's Innovation Council ( IIC)</t>
  </si>
  <si>
    <t>S. No</t>
  </si>
  <si>
    <t>Name of Guest</t>
  </si>
  <si>
    <t>Designation, Company name</t>
  </si>
  <si>
    <t>Mobile No.</t>
  </si>
  <si>
    <t>Mr. Rachit Kumar</t>
  </si>
  <si>
    <t>CEO &amp; Founder
BIZFINN Pvt. Ltd.</t>
  </si>
  <si>
    <t>rachit.kumar13@gmail.com</t>
  </si>
  <si>
    <t>Mr. Alankar Dwivedi</t>
  </si>
  <si>
    <t>Founder &amp; CEO, RND Groups Pvt. Ltd</t>
  </si>
  <si>
    <t>alankar0008@gmail.com</t>
  </si>
  <si>
    <t>Mrs. Renu Shah</t>
  </si>
  <si>
    <t xml:space="preserve">CEO &amp; Co-founder, SHEE &amp; STEP Pvt. Limited </t>
  </si>
  <si>
    <t>renu@shaktipreneurs.org</t>
  </si>
  <si>
    <t xml:space="preserve">Mr. Rahul Pandey </t>
  </si>
  <si>
    <t xml:space="preserve">CEO &amp; Founder, PULPY DIVE Pvt. Limited </t>
  </si>
  <si>
    <t>reachpandeyrahul@gmail.com</t>
  </si>
  <si>
    <t xml:space="preserve">Mr. Ganesh Jha </t>
  </si>
  <si>
    <t xml:space="preserve">CEO &amp; Co Founder, 
Finifii Fintech Pvt. Ltd
</t>
  </si>
  <si>
    <t>gj@finofii.com</t>
  </si>
  <si>
    <t xml:space="preserve">Mr. Sumit Verma </t>
  </si>
  <si>
    <t xml:space="preserve">Founder &amp; Managing Director, RJ Solar Pvt. Limited </t>
  </si>
  <si>
    <t>sumit116kr@gmail.com</t>
  </si>
  <si>
    <t>Mr. Dev Pratap</t>
  </si>
  <si>
    <t>Founder &amp; Director Aqua Synthesis Pvt. Limited</t>
  </si>
  <si>
    <t>dev@aquasynthesis.co</t>
  </si>
  <si>
    <t>Mr. Dharamraj</t>
  </si>
  <si>
    <t xml:space="preserve">Chief Technical Officer
STEAMEDU, Anveshan Foundation Incubation Center. Delhi
</t>
  </si>
  <si>
    <t>steamedulearning@gmail.com</t>
  </si>
  <si>
    <t>Prof. Vijita Singh Aggarwal</t>
  </si>
  <si>
    <t xml:space="preserve"> Director, International Affairs,
Guru Gobind Singh Indraprastha University, Delhi
</t>
  </si>
  <si>
    <t>vijitasaggarwal@gmail.com</t>
  </si>
  <si>
    <t>Mr. Arunabh Singh</t>
  </si>
  <si>
    <t xml:space="preserve">Co-Founder
BIOCRUST PRIVATE Ltd. 
Head QHSE-PIPECARE Group
</t>
  </si>
  <si>
    <t>arunabh.singh@outlook.com</t>
  </si>
  <si>
    <t>Ms. Jaya Nitesh</t>
  </si>
  <si>
    <t xml:space="preserve">
Business Development Manager, Sofcon India Pvt.Ltd.
</t>
  </si>
  <si>
    <t>bdm@sofcontraining.com</t>
  </si>
  <si>
    <t>Mr. Vivek Singh</t>
  </si>
  <si>
    <t xml:space="preserve">Founder &amp; CEO
VS Energy Harmonization &amp; Automation Pvt. Ltd
</t>
  </si>
  <si>
    <t>viveksinghiec@gmail.com</t>
  </si>
  <si>
    <t>Ms. Manasi Bansal</t>
  </si>
  <si>
    <t xml:space="preserve">Director &amp; Co-founder, 
Raahee Wellness Services Pvt. Limited
</t>
  </si>
  <si>
    <t>mansi@raahee.in</t>
  </si>
  <si>
    <t>Dr. Rishi Raj Singh</t>
  </si>
  <si>
    <t>Director General, All India MSME Federation, Ahmadabad</t>
  </si>
  <si>
    <t>rrsingh004@gmail.com</t>
  </si>
  <si>
    <t>Dr. K.K. Goyal</t>
  </si>
  <si>
    <t>Director, MSME &amp; Startup, All India Forum of MSME</t>
  </si>
  <si>
    <t>kkgoyalsisi@gmail.com</t>
  </si>
  <si>
    <t>Dr. V.K. Arora</t>
  </si>
  <si>
    <t>Incubator, Advisor, IGDTUW, DST, GOI</t>
  </si>
  <si>
    <t>vkarora27@gmail.com</t>
  </si>
  <si>
    <t>Mrs. Poja Kumar</t>
  </si>
  <si>
    <t>Founder &amp; Director, Innove Intellects LLP</t>
  </si>
  <si>
    <t>pooja@innoveintellects.com</t>
  </si>
  <si>
    <t>Prof. Arjun J. Chaudhuri</t>
  </si>
  <si>
    <t>Advocate and Corporate Consultant</t>
  </si>
  <si>
    <t>arjunjchaudhuri1978@gmail.com</t>
  </si>
  <si>
    <t>Mr. Vipul Mehta (B.Tech-IIT D, PGDM-IIM K)</t>
  </si>
  <si>
    <t xml:space="preserve">Co founder, SUN Photonics Pvt. Ltd.            </t>
  </si>
  <si>
    <t>vipulmehta817@outlook.com</t>
  </si>
  <si>
    <t>Dr. Arvind Kumar Pandey</t>
  </si>
  <si>
    <t xml:space="preserve">Director, Buddha Institute of Technology, Gida, Gorakhpur </t>
  </si>
  <si>
    <t>Mr. Arun Mishra</t>
  </si>
  <si>
    <t>CEO, BizBrolly Solutions</t>
  </si>
  <si>
    <t>arun@BizBrolly.com</t>
  </si>
  <si>
    <t>Ravi Gupta</t>
  </si>
  <si>
    <t>Mr. Ravi Gupta, Consultant ,        Institute for Industrial Development (IID) New Delhi</t>
  </si>
  <si>
    <t>skillmantra@gmail.com</t>
  </si>
  <si>
    <t>Mr. Sushant Sharma</t>
  </si>
  <si>
    <t>Founders Genie Pvt Ltd</t>
  </si>
  <si>
    <t>sushantbiz@yahoo.com</t>
  </si>
  <si>
    <t>Mr. Satish Kumar</t>
  </si>
  <si>
    <t>Chief Manager ( Retd), PNB</t>
  </si>
  <si>
    <t>skshervan@gmail.com</t>
  </si>
  <si>
    <t>Dr. KK Goyel</t>
  </si>
  <si>
    <t xml:space="preserve">Director ( Rtd),MSME </t>
  </si>
  <si>
    <t>Dr. R. R. Singh</t>
  </si>
  <si>
    <t xml:space="preserve">Director ( Rtd),NIESBUD </t>
  </si>
  <si>
    <t>Dr.V.K Arora</t>
  </si>
  <si>
    <t>CEO, Anveshan Foundation, Delhi</t>
  </si>
  <si>
    <t>Mr. Amit Ganeti</t>
  </si>
  <si>
    <t xml:space="preserve">Head, PRPA Division, IMERYS Pvt. Ltd. </t>
  </si>
  <si>
    <t>amitganeti@gmail.com</t>
  </si>
  <si>
    <t>Mr. Alok Pandey</t>
  </si>
  <si>
    <t xml:space="preserve">CEO at Atal Incubation Centre, 
   IIT Delhi,
</t>
  </si>
  <si>
    <t>ceo@aic-iitd.in</t>
  </si>
  <si>
    <t>Mr. Abhishek Kumar</t>
  </si>
  <si>
    <t>Dy GM, SIDBI</t>
  </si>
  <si>
    <t>abhishekkumar@sidbi.in</t>
  </si>
  <si>
    <t>Mr. Vivek Kumar Singh</t>
  </si>
  <si>
    <t>CEO, Innovant International Pvt Ltd</t>
  </si>
  <si>
    <t>vivek@innovant.co.in</t>
  </si>
  <si>
    <t>Mr. Manish Shivhare</t>
  </si>
  <si>
    <t>Director- Merecc Pvt. Ltd</t>
  </si>
  <si>
    <t xml:space="preserve">Founder &amp; CEO
VS Energy Harmonization &amp; Automation Pvt. Ltd. 
</t>
  </si>
  <si>
    <t>Mr. Alok Kumar</t>
  </si>
  <si>
    <t>Soft Skill Development, Trainer</t>
  </si>
  <si>
    <t>makinglifeinteresting@gmail.com</t>
  </si>
  <si>
    <t>Mr. Prabhat Chandra Sinha</t>
  </si>
  <si>
    <t xml:space="preserve">Chartered Engineer, 
Industry Expert,
Professor of Practice
</t>
  </si>
  <si>
    <t>prabhatchsinha@gmail.com</t>
  </si>
  <si>
    <t>Mr. Chirag Choudhary</t>
  </si>
  <si>
    <t>CEO, JAGMAG Light Pvt Ltd.</t>
  </si>
  <si>
    <t xml:space="preserve">Mr. Mukul Jain, </t>
  </si>
  <si>
    <t>Entrepreneur. Innovation Ambassador, MIC</t>
  </si>
  <si>
    <t>mukuljain2@gmail.com</t>
  </si>
  <si>
    <t>Dr. R K Lal</t>
  </si>
  <si>
    <t>Dy Director ( Retd), Institute of Engineering and Rural Technology, Allahabad</t>
  </si>
  <si>
    <t>rklal1008@reddifmail.com</t>
  </si>
  <si>
    <t>Mr. Rahul Sharma</t>
  </si>
  <si>
    <t>Chartered Accountant</t>
  </si>
  <si>
    <t xml:space="preserve">Director, Possible Group of Comp </t>
  </si>
  <si>
    <t>vivekgupta17@gmail.com</t>
  </si>
  <si>
    <t>Mr. Dewansh Poddar</t>
  </si>
  <si>
    <t>FIIT, IIT Delhi</t>
  </si>
  <si>
    <t>Director, Jagmag Light</t>
  </si>
  <si>
    <t>Mr. Gaurav Kumar</t>
  </si>
  <si>
    <t>CEO Big O Health Pvt. Ltd</t>
  </si>
  <si>
    <t>gaurav@bigohealth.com</t>
  </si>
  <si>
    <t>Mr. Sachin Sharma</t>
  </si>
  <si>
    <t>Manager, Thinktechno Engineering Solutions Pvt Ltd.</t>
  </si>
  <si>
    <t>incubationmanager@upidnoida.ac.in</t>
  </si>
  <si>
    <t>Mr. Rama Raman</t>
  </si>
  <si>
    <t xml:space="preserve">Co founder, EONMED Pvt. Ltd.            </t>
  </si>
  <si>
    <t>raman@eonmed.in</t>
  </si>
  <si>
    <t>Theme</t>
  </si>
  <si>
    <t>Proposal</t>
  </si>
  <si>
    <t>INC24DUP046386</t>
  </si>
  <si>
    <t>Poorvi</t>
  </si>
  <si>
    <t>Frontier Technology in MSME</t>
  </si>
  <si>
    <t>INC24DUP046386.pdf</t>
  </si>
  <si>
    <t>akshitarajput9696@gmail.com</t>
  </si>
  <si>
    <t>INC24DUP059014</t>
  </si>
  <si>
    <t>Export enhancement and/or Indigenisation</t>
  </si>
  <si>
    <t>INC24DUP059014.pdf</t>
  </si>
  <si>
    <t>INC24DUP060109</t>
  </si>
  <si>
    <t>Akansha singh</t>
  </si>
  <si>
    <t>Sustainable Development</t>
  </si>
  <si>
    <t>INC24DUP060109.pdf</t>
  </si>
  <si>
    <t>2023204321.akansha@dr.sharda.ac.in</t>
  </si>
  <si>
    <t>INC24DUP061212</t>
  </si>
  <si>
    <t>Anjali Singh</t>
  </si>
  <si>
    <t>INC24DUP061212.pdf</t>
  </si>
  <si>
    <t>anjali895720@gmail.com</t>
  </si>
  <si>
    <t>INC24DUP061251</t>
  </si>
  <si>
    <t>INC24DUP061251.pdf</t>
  </si>
  <si>
    <t>INC24DUK061264</t>
  </si>
  <si>
    <t>DEHRADUN</t>
  </si>
  <si>
    <t>Prince</t>
  </si>
  <si>
    <t>INC24DUK061264.pdf</t>
  </si>
  <si>
    <t>princekminati@gmail.com</t>
  </si>
  <si>
    <t>INC24DUK062979</t>
  </si>
  <si>
    <t>NAINITAL</t>
  </si>
  <si>
    <t>Pankaj Pandey</t>
  </si>
  <si>
    <t>INC24DUK062979.pdf</t>
  </si>
  <si>
    <t>pankupandey2007@gmail.com</t>
  </si>
  <si>
    <t>INC24DUP063897</t>
  </si>
  <si>
    <t>Vipul Singh Parmar</t>
  </si>
  <si>
    <t>INC24DUP063897.pdf</t>
  </si>
  <si>
    <t>support@nimbusgaming.me</t>
  </si>
  <si>
    <t>INC24DUP066632</t>
  </si>
  <si>
    <t>Ayushman Pandey</t>
  </si>
  <si>
    <t>INC24DUP066632.pdf</t>
  </si>
  <si>
    <t>ayushmanindia2003@gmail.com</t>
  </si>
  <si>
    <t>INC24DUP038049</t>
  </si>
  <si>
    <t>PM Vishwakarma – 18 Trades</t>
  </si>
  <si>
    <t>INC24DUP038049.pdf</t>
  </si>
  <si>
    <t>nehanandini01@gmail.com</t>
  </si>
  <si>
    <t>INC24DUP038061</t>
  </si>
  <si>
    <t>BAHRAICH</t>
  </si>
  <si>
    <t>Firdaus khan</t>
  </si>
  <si>
    <t>INC24DUP038061.pdf</t>
  </si>
  <si>
    <t>imfotmarketing@gmail.com</t>
  </si>
  <si>
    <t>INC24DUP040927</t>
  </si>
  <si>
    <t>Anupam Kumari</t>
  </si>
  <si>
    <t>INC24DUP040927.pdf</t>
  </si>
  <si>
    <t>markguru88@gmail.com</t>
  </si>
  <si>
    <t>INC24DCG047822</t>
  </si>
  <si>
    <t>CHHATTISGARH</t>
  </si>
  <si>
    <t>RAIGARH</t>
  </si>
  <si>
    <t>Ashok Kumar Patel</t>
  </si>
  <si>
    <t>INC24DCG047822.pdf</t>
  </si>
  <si>
    <t>ashokrig365@gmail.com</t>
  </si>
  <si>
    <t>INC24DDL048447</t>
  </si>
  <si>
    <t>Velika Gupta</t>
  </si>
  <si>
    <t>INC24DDL048447.pdf</t>
  </si>
  <si>
    <t>velikagupta15@gmail.com</t>
  </si>
  <si>
    <t>INC24DUP048471</t>
  </si>
  <si>
    <t>Shivani Garg</t>
  </si>
  <si>
    <t>INC24DUP048471.pdf</t>
  </si>
  <si>
    <t>shivanigrg9@gmail.com</t>
  </si>
  <si>
    <t>INC24DUP054312</t>
  </si>
  <si>
    <t>Shubham Prajapati</t>
  </si>
  <si>
    <t>INC24DUP054312.pdf</t>
  </si>
  <si>
    <t>mishra.rudra057@gmail.com</t>
  </si>
  <si>
    <t>INC24DUP054319</t>
  </si>
  <si>
    <t>Abhishek Kumar</t>
  </si>
  <si>
    <t>INC24DUP054319.pdf</t>
  </si>
  <si>
    <t>abhisingh8888@outlook.com</t>
  </si>
  <si>
    <t>INC24DUP054338</t>
  </si>
  <si>
    <t>Siddhant Kumar Singh</t>
  </si>
  <si>
    <t>INC24DUP054338.pdf</t>
  </si>
  <si>
    <t>siddhantkumarsinghpks_cse22@its.edu.in</t>
  </si>
  <si>
    <t>INC24DUP054353</t>
  </si>
  <si>
    <t>INC24DUP054353.pdf</t>
  </si>
  <si>
    <t>INC24DUP056719</t>
  </si>
  <si>
    <t>FARRUKHABAD</t>
  </si>
  <si>
    <t>Abhishek Kumar Sagar</t>
  </si>
  <si>
    <t>INC24DUP056719.pdf</t>
  </si>
  <si>
    <t>Abhisheksagar7714@Gmail.Com</t>
  </si>
  <si>
    <t>INC24DUK059211</t>
  </si>
  <si>
    <t>INC24DUK059211.pdf</t>
  </si>
  <si>
    <t>INC24DUK060263</t>
  </si>
  <si>
    <t>INC24DUK060263.pdf</t>
  </si>
  <si>
    <t>INC24DJH060782</t>
  </si>
  <si>
    <t>JAMTARA</t>
  </si>
  <si>
    <t>Sonam kumari</t>
  </si>
  <si>
    <t>INC24DJH060782.pdf</t>
  </si>
  <si>
    <t>sonam.singh.geog@gmail.com</t>
  </si>
  <si>
    <t>INC24DUK061857</t>
  </si>
  <si>
    <t>Shahnoor</t>
  </si>
  <si>
    <t>INC24DUK061857.pdf</t>
  </si>
  <si>
    <t>shahansari0687@gmail.com</t>
  </si>
  <si>
    <t>INC24DUK062386</t>
  </si>
  <si>
    <t>Rajvinder Kaur</t>
  </si>
  <si>
    <t>INC24DUK062386.pdf</t>
  </si>
  <si>
    <t>kaur171104@gmail.com</t>
  </si>
  <si>
    <t>INC24DUK062401</t>
  </si>
  <si>
    <t>INC24DUK062401.pdf</t>
  </si>
  <si>
    <t>INC24DUP064510</t>
  </si>
  <si>
    <t>INC24DUP064510.pdf</t>
  </si>
  <si>
    <t>shubhangmishra5@gmail.com</t>
  </si>
  <si>
    <t>INC24DUK065025</t>
  </si>
  <si>
    <t>ALMORA</t>
  </si>
  <si>
    <t>DEEPAK SINGH NEGI</t>
  </si>
  <si>
    <t>INC24DUK065025.pdf</t>
  </si>
  <si>
    <t>sentyboyuk@gmail.com</t>
  </si>
  <si>
    <t>INC24DUP066361</t>
  </si>
  <si>
    <t>INC24DUP066361.pdf</t>
  </si>
  <si>
    <t>pushpendrauks_cse23@its.edu.in</t>
  </si>
  <si>
    <t>INC24DUP038968</t>
  </si>
  <si>
    <t>Abdul Akib</t>
  </si>
  <si>
    <t>INC24DUP038968.pdf</t>
  </si>
  <si>
    <t>INC24DUP045128</t>
  </si>
  <si>
    <t>MUZAFFARNAGAR</t>
  </si>
  <si>
    <t>Rishabh Chawla</t>
  </si>
  <si>
    <t>INC24DUP045128.pdf</t>
  </si>
  <si>
    <t>rishabh2314117@akgec.ac.in</t>
  </si>
  <si>
    <t>INC24DUP048013</t>
  </si>
  <si>
    <t>BHADOHI</t>
  </si>
  <si>
    <t>Pradeep Kumar Yadav</t>
  </si>
  <si>
    <t>INC24DUP048013.pdf</t>
  </si>
  <si>
    <t>pk270060@gmail.com</t>
  </si>
  <si>
    <t>INC24DUP054686</t>
  </si>
  <si>
    <t>UTSAV JOHARI</t>
  </si>
  <si>
    <t>INC24DUP054686.pdf</t>
  </si>
  <si>
    <t>utsavjohari1729@gmail.com</t>
  </si>
  <si>
    <t>INC24DUP056415</t>
  </si>
  <si>
    <t>Adarsh Singh</t>
  </si>
  <si>
    <t>INC24DUP056415.pdf</t>
  </si>
  <si>
    <t>adarsh.this.side@gmail.com</t>
  </si>
  <si>
    <t>INC24DUP058326</t>
  </si>
  <si>
    <t>Rahul kumar</t>
  </si>
  <si>
    <t>INC24DUP058326.pdf</t>
  </si>
  <si>
    <t>rahulkrgupta18032003@gmail.com</t>
  </si>
  <si>
    <t>INC24DUP061055</t>
  </si>
  <si>
    <t>Divyanshu Kumar</t>
  </si>
  <si>
    <t>INC24DUP061055.pdf</t>
  </si>
  <si>
    <t>singhsandeep7025@gmail.com</t>
  </si>
  <si>
    <t>INC24DKR061570</t>
  </si>
  <si>
    <t>KARNATAKA</t>
  </si>
  <si>
    <t>BENGALURU (URBAN)</t>
  </si>
  <si>
    <t>Ritu Bahuguna</t>
  </si>
  <si>
    <t>INC24DKR061570.pdf</t>
  </si>
  <si>
    <t>ritubahuguna24@gmail.com</t>
  </si>
  <si>
    <t>INC24DUP061599</t>
  </si>
  <si>
    <t>RAMPUR</t>
  </si>
  <si>
    <t>Vishal Mourya</t>
  </si>
  <si>
    <t>INC24DUP061599.pdf</t>
  </si>
  <si>
    <t>veermourya8@gmail.com</t>
  </si>
  <si>
    <t>INC24DDL062099</t>
  </si>
  <si>
    <t>NORTH</t>
  </si>
  <si>
    <t>Bhuvi Sachdeva</t>
  </si>
  <si>
    <t>INC24DDL062099.pdf</t>
  </si>
  <si>
    <t>bhuvisachdeva73@gmail.com</t>
  </si>
  <si>
    <t>INC24DUP062123</t>
  </si>
  <si>
    <t>GORAKHPUR</t>
  </si>
  <si>
    <t>Vidit Kumar Singh</t>
  </si>
  <si>
    <t>INC24DUP062123.pdf</t>
  </si>
  <si>
    <t>viditsingh35343@gmail.com</t>
  </si>
  <si>
    <t>INC24DUP062163</t>
  </si>
  <si>
    <t>SHIVANI BUNDELA</t>
  </si>
  <si>
    <t>INC24DUP062163.pdf</t>
  </si>
  <si>
    <t>shivaniBundela11@gmail.com</t>
  </si>
  <si>
    <t>INC24DUP062819</t>
  </si>
  <si>
    <t>INC24DUP062819.pdf</t>
  </si>
  <si>
    <t>vipulsingh44519@gmail.com</t>
  </si>
  <si>
    <t>INC24DDL064062</t>
  </si>
  <si>
    <t>NORTH EAST</t>
  </si>
  <si>
    <t>PRATEEK</t>
  </si>
  <si>
    <t>INC24DDL064062.pdf</t>
  </si>
  <si>
    <t>PRATEEK.PRMR@GMAIL.COM</t>
  </si>
  <si>
    <t>INC24DUP064562</t>
  </si>
  <si>
    <t>BAREILLY</t>
  </si>
  <si>
    <t>Shubham Verma</t>
  </si>
  <si>
    <t>INC24DUP064562.pdf</t>
  </si>
  <si>
    <t>shubhamverma2112@gmail.com</t>
  </si>
  <si>
    <t>INC24DUP065227</t>
  </si>
  <si>
    <t>HAMIRPUR</t>
  </si>
  <si>
    <t>Aman Kumar</t>
  </si>
  <si>
    <t>INC24DUP065227.pdf</t>
  </si>
  <si>
    <t>amandhuriya.nextaltration@gmail.com</t>
  </si>
  <si>
    <t>INC24DUP066543</t>
  </si>
  <si>
    <t>Meemansha Priyadarshini</t>
  </si>
  <si>
    <t>INC24DUP066543.pdf</t>
  </si>
  <si>
    <t>meemp21@gmail.com</t>
  </si>
  <si>
    <t>INC24DUP038405</t>
  </si>
  <si>
    <t>Badal Kumar Deo</t>
  </si>
  <si>
    <t>INC24DUP038405.pdf</t>
  </si>
  <si>
    <t>badaldeo6@gmail.com</t>
  </si>
  <si>
    <t>INC24DUP039156</t>
  </si>
  <si>
    <t>BALLIA</t>
  </si>
  <si>
    <t>CA. Shailesh Kumar Verma</t>
  </si>
  <si>
    <t>INC24DUP039156.pdf</t>
  </si>
  <si>
    <t>fcashailesh@icai.org</t>
  </si>
  <si>
    <t>INC24DUP039179</t>
  </si>
  <si>
    <t>ALIGARH</t>
  </si>
  <si>
    <t>Lakshya Agrawal</t>
  </si>
  <si>
    <t>INC24DUP039179.pdf</t>
  </si>
  <si>
    <t>lakshyaagrawal775@gmail.com</t>
  </si>
  <si>
    <t>INC24DUP040269</t>
  </si>
  <si>
    <t>Tanusha Chaudhary</t>
  </si>
  <si>
    <t>INC24DUP040269.pdf</t>
  </si>
  <si>
    <t>tanusha.infi@gmail.com</t>
  </si>
  <si>
    <t>INC24DUP040283</t>
  </si>
  <si>
    <t>Kasganj</t>
  </si>
  <si>
    <t>MOHAMMAD HAROON</t>
  </si>
  <si>
    <t>INC24DUP040283.pdf</t>
  </si>
  <si>
    <t>Msabbu24@gmail.com</t>
  </si>
  <si>
    <t>INC24DUP043454</t>
  </si>
  <si>
    <t>Aadarsh Mallick</t>
  </si>
  <si>
    <t>INC24DUP043454.PDF</t>
  </si>
  <si>
    <t>aadarsham_aiml21@its.edu.in</t>
  </si>
  <si>
    <t>INC24DUP044123</t>
  </si>
  <si>
    <t>Abhay Namdev</t>
  </si>
  <si>
    <t>INC24DUP044123.pdf</t>
  </si>
  <si>
    <t>onlyforwork.abhay@gmail.com</t>
  </si>
  <si>
    <t>INC24DUK053463</t>
  </si>
  <si>
    <t>Rohit Singh Jyala</t>
  </si>
  <si>
    <t>INC24DUK053463.pdf</t>
  </si>
  <si>
    <t>kissankarma@gmail.com</t>
  </si>
  <si>
    <t>INC24DUP054446</t>
  </si>
  <si>
    <t>INC24DUP054446.pdf</t>
  </si>
  <si>
    <t>INC24DMP058248</t>
  </si>
  <si>
    <t>INC24DMP058248.pdf</t>
  </si>
  <si>
    <t>INC24DUP060927</t>
  </si>
  <si>
    <t>INC24DUP060927.pdf</t>
  </si>
  <si>
    <t>INC24DDL064337</t>
  </si>
  <si>
    <t>VARSHA</t>
  </si>
  <si>
    <t>INC24DDL064337.pdf</t>
  </si>
  <si>
    <t>vk5217620@gmail.com</t>
  </si>
  <si>
    <t>INC24DUP039013</t>
  </si>
  <si>
    <t>Lokendra Singh</t>
  </si>
  <si>
    <t>INC24DUP039013.pdf</t>
  </si>
  <si>
    <t>lokendrasingh.rapcl@gmail.com</t>
  </si>
  <si>
    <t>INC24DUP050030</t>
  </si>
  <si>
    <t>Krishna Garg</t>
  </si>
  <si>
    <t>INC24DUP050030.pdf</t>
  </si>
  <si>
    <t>krishnagarg13092005@gmail.com</t>
  </si>
  <si>
    <t>INC24DUP054207</t>
  </si>
  <si>
    <t>Garima sharma</t>
  </si>
  <si>
    <t>INC24DUP054207.pdf</t>
  </si>
  <si>
    <t>garima140401@gmail.com</t>
  </si>
  <si>
    <t>INC24DUP057438</t>
  </si>
  <si>
    <t>INC24DUP057438.pdf</t>
  </si>
  <si>
    <t>Ayushsachanp@gmail.com</t>
  </si>
  <si>
    <t>INC24DUP058576</t>
  </si>
  <si>
    <t>KANNAUJ</t>
  </si>
  <si>
    <t>Sumit Batham</t>
  </si>
  <si>
    <t>INC24DUP058576.pdf</t>
  </si>
  <si>
    <t>sumitkashyap2127@gmail.com</t>
  </si>
  <si>
    <t>INC24DUP058587</t>
  </si>
  <si>
    <t>INC24DUP058587.pdf</t>
  </si>
  <si>
    <t>INC24DUP058588</t>
  </si>
  <si>
    <t>Dhwaj Agarwal</t>
  </si>
  <si>
    <t>INC24DUP058588.pdf</t>
  </si>
  <si>
    <t>dhwajagarwal195@gmail.com</t>
  </si>
  <si>
    <t>INC24DUP062457</t>
  </si>
  <si>
    <t>Devraj Singh</t>
  </si>
  <si>
    <t>INC24DUP062457.pdf</t>
  </si>
  <si>
    <t>devrajs9199@gmail.com</t>
  </si>
  <si>
    <t>INC24DUP062489</t>
  </si>
  <si>
    <t>Arpit Asthana</t>
  </si>
  <si>
    <t>INC24DUP062489.pdf</t>
  </si>
  <si>
    <t>arpit.asthana12@gmail.com</t>
  </si>
  <si>
    <t>INC24DUP063169</t>
  </si>
  <si>
    <t>Mohd Waseem</t>
  </si>
  <si>
    <t>INC24DUP063169.pdf</t>
  </si>
  <si>
    <t>waseem.stlyeward@gmail.com</t>
  </si>
  <si>
    <t>INC24DUP064358</t>
  </si>
  <si>
    <t>ARPIT GUPTA</t>
  </si>
  <si>
    <t>INC24DUP064358.pdf</t>
  </si>
  <si>
    <t>arpit10072005@gmail.com</t>
  </si>
  <si>
    <t>INC24DUP065418</t>
  </si>
  <si>
    <t>ASHWANI KUMAR RAI</t>
  </si>
  <si>
    <t>INC24DUP065418.pdf</t>
  </si>
  <si>
    <t>RAI.ASHWANI.262@GMAIL.COM</t>
  </si>
  <si>
    <t>INC24DUP066756</t>
  </si>
  <si>
    <t>MORADABAD</t>
  </si>
  <si>
    <t>aakash kumar</t>
  </si>
  <si>
    <t>INC24DUP066756.pdf</t>
  </si>
  <si>
    <t>akashchauhan51345@gmail.com</t>
  </si>
  <si>
    <t>INC24DBR066802</t>
  </si>
  <si>
    <t>GAYA</t>
  </si>
  <si>
    <t>Ayush Sharma</t>
  </si>
  <si>
    <t>INC24DBR066802.pdf</t>
  </si>
  <si>
    <t>krayashop11@gmail.com</t>
  </si>
  <si>
    <t>INC24DHP037930</t>
  </si>
  <si>
    <t>HIMACHAL PRADESH</t>
  </si>
  <si>
    <t>SIRMAUR</t>
  </si>
  <si>
    <t>Ashray Mangal</t>
  </si>
  <si>
    <t>INC24DHP037930.pdf</t>
  </si>
  <si>
    <t>reachashray@gmail.com</t>
  </si>
  <si>
    <t>INC24DHR048249</t>
  </si>
  <si>
    <t>HARYANA</t>
  </si>
  <si>
    <t>REWARI</t>
  </si>
  <si>
    <t>Shalu Rawat</t>
  </si>
  <si>
    <t>INC24DHR048249.pdf</t>
  </si>
  <si>
    <t>shaluricky143786@gmail.com</t>
  </si>
  <si>
    <t>INC24DUP048817</t>
  </si>
  <si>
    <t>Himaly</t>
  </si>
  <si>
    <t>INC24DUP048817.pdf</t>
  </si>
  <si>
    <t>himalyaaarya@gmail.com</t>
  </si>
  <si>
    <t>INC24DUP056585</t>
  </si>
  <si>
    <t>PILIBHIT</t>
  </si>
  <si>
    <t>Aviral Gupta</t>
  </si>
  <si>
    <t>INC24DUP056585.pdf</t>
  </si>
  <si>
    <t>anotheragacc@gmail.com</t>
  </si>
  <si>
    <t>INC24DUP060223</t>
  </si>
  <si>
    <t>ATUL ANAND</t>
  </si>
  <si>
    <t>INC24DUP060223.pdf</t>
  </si>
  <si>
    <t>vvlogistics@vvlogistics.net</t>
  </si>
  <si>
    <t>INC24DUP060649</t>
  </si>
  <si>
    <t>RAMA SHANKER VERMA</t>
  </si>
  <si>
    <t>INC24DUP060649.pdf</t>
  </si>
  <si>
    <t>info@skillsahead.net</t>
  </si>
  <si>
    <t>INC24DUP061196</t>
  </si>
  <si>
    <t>dilip jadaun</t>
  </si>
  <si>
    <t>INC24DUP061196.pdf</t>
  </si>
  <si>
    <t>jadaundilip7@gmail.com</t>
  </si>
  <si>
    <t>INC24DUP062313</t>
  </si>
  <si>
    <t>INC24DUP062313.pdf</t>
  </si>
  <si>
    <t>shivanshsethns_cse21@its.edu.in</t>
  </si>
  <si>
    <t>INC24DUP062961</t>
  </si>
  <si>
    <t>Adarsh Bhatnagar</t>
  </si>
  <si>
    <t>INC24DUP062961.pdf</t>
  </si>
  <si>
    <t>adarshb.best@gmail.com</t>
  </si>
  <si>
    <t>INC24DUP064175</t>
  </si>
  <si>
    <t>INC24DUP064175.pdf</t>
  </si>
  <si>
    <t>INC24DDL064182</t>
  </si>
  <si>
    <t>INC24DDL064182.pdf</t>
  </si>
  <si>
    <t>INC24DUK064183</t>
  </si>
  <si>
    <t>Ashish kumar</t>
  </si>
  <si>
    <t>INC24DUK064183.pdf</t>
  </si>
  <si>
    <t>ashuashi2213@gmail.com</t>
  </si>
  <si>
    <t>INC24DGJ064210</t>
  </si>
  <si>
    <t>INC24DGJ064210.pdf</t>
  </si>
  <si>
    <t>INC24DUP065630</t>
  </si>
  <si>
    <t>INC24DUP065630.pdf</t>
  </si>
  <si>
    <t>ankitmishrasm_ece22@its.edu.in</t>
  </si>
  <si>
    <t>INC24DUP038864</t>
  </si>
  <si>
    <t>SHRI AMAN GARG</t>
  </si>
  <si>
    <t>INC24DUP038864.pdf</t>
  </si>
  <si>
    <t>Gargaman309@gmail.com</t>
  </si>
  <si>
    <t>INC24DUP038889</t>
  </si>
  <si>
    <t>Sushil Kesarwani</t>
  </si>
  <si>
    <t>INC24DUP038889.pdf</t>
  </si>
  <si>
    <t>sushilkesharwani810@gmail.com</t>
  </si>
  <si>
    <t>INC24DUP040198</t>
  </si>
  <si>
    <t>Saksham Dubey</t>
  </si>
  <si>
    <t>INC24DUP040198.pdf</t>
  </si>
  <si>
    <t>sakshamdubey69@gmail.com</t>
  </si>
  <si>
    <t>INC24DDL047280</t>
  </si>
  <si>
    <t>RAMESH KUMAR</t>
  </si>
  <si>
    <t>INC24DDL047280.pdf</t>
  </si>
  <si>
    <t>rameshguptar0404@gmail.com</t>
  </si>
  <si>
    <t>INC24DUP053240</t>
  </si>
  <si>
    <t>Megha garg</t>
  </si>
  <si>
    <t>INC24DUP053240.pdf</t>
  </si>
  <si>
    <t>megha_bds19_23_gn@its.edu.in</t>
  </si>
  <si>
    <t>INC24DUP059816</t>
  </si>
  <si>
    <t>Priyanshu kumar Gupta</t>
  </si>
  <si>
    <t>INC24DUP059816.pdf</t>
  </si>
  <si>
    <t>Priyanshuguptagupta077@gmail.com</t>
  </si>
  <si>
    <t>INC24DUP063951</t>
  </si>
  <si>
    <t>Jagdish chandra</t>
  </si>
  <si>
    <t>INC24DUP063951.pdf</t>
  </si>
  <si>
    <t>lovepjm777@gmail.com</t>
  </si>
  <si>
    <t>INC24DUP064678</t>
  </si>
  <si>
    <t>INC24DUP064678.pdf</t>
  </si>
  <si>
    <t>INC24DUP065310</t>
  </si>
  <si>
    <t>INC24DUP065310.pdf</t>
  </si>
  <si>
    <t>INC24DUP065340</t>
  </si>
  <si>
    <t>Archana Jangid</t>
  </si>
  <si>
    <t>INC24DUP065340.pdf</t>
  </si>
  <si>
    <t>aktr087@gmail.com</t>
  </si>
  <si>
    <t>INC24DDL066115</t>
  </si>
  <si>
    <t>DHRUV UPRETI</t>
  </si>
  <si>
    <t>INC24DDL066115.pdf</t>
  </si>
  <si>
    <t>dhruvupreti4@gmail.com</t>
  </si>
  <si>
    <t>INC24DUK066123</t>
  </si>
  <si>
    <t>UTTAR KASHI</t>
  </si>
  <si>
    <t>kush prasad dimri</t>
  </si>
  <si>
    <t>INC24DUK066123.pdf</t>
  </si>
  <si>
    <t>kushdimri99@gmail.com</t>
  </si>
  <si>
    <t>INC24DUP045224</t>
  </si>
  <si>
    <t>INC24DUP045224.pdf</t>
  </si>
  <si>
    <t>INC24DUP050993</t>
  </si>
  <si>
    <t>JAUNPUR</t>
  </si>
  <si>
    <t>PRAGYA</t>
  </si>
  <si>
    <t>INC24DUP050993.pdf</t>
  </si>
  <si>
    <t>acumen.vertue@gmail.com</t>
  </si>
  <si>
    <t>INC24DRJ055888</t>
  </si>
  <si>
    <t>Jaipur Gramin</t>
  </si>
  <si>
    <t>Srishti Saini</t>
  </si>
  <si>
    <t>INC24DRJ055888.pdf</t>
  </si>
  <si>
    <t>srishtichandel06@gmail.com</t>
  </si>
  <si>
    <t>INC24DJH057710</t>
  </si>
  <si>
    <t>DEOGHAR</t>
  </si>
  <si>
    <t>INC24DJH057710.pdf</t>
  </si>
  <si>
    <t>akansha.singh.richa@gmail.com</t>
  </si>
  <si>
    <t>INC24DUP059320</t>
  </si>
  <si>
    <t>RAHUL KANDU</t>
  </si>
  <si>
    <t>INC24DUP059320.pdf</t>
  </si>
  <si>
    <t>everhaconsumer@gmail.com</t>
  </si>
  <si>
    <t>INC24DUP060615</t>
  </si>
  <si>
    <t>Prabhat kumar Mishra</t>
  </si>
  <si>
    <t>INC24DUP060615.pdf</t>
  </si>
  <si>
    <t>prabhatkumarmishradkm_ece22@its.edu.in</t>
  </si>
  <si>
    <t>INC24DUP061331</t>
  </si>
  <si>
    <t>INC24DUP061331.pdf</t>
  </si>
  <si>
    <t>INC24DUP061919</t>
  </si>
  <si>
    <t>INC24DUP061919.pdf</t>
  </si>
  <si>
    <t>INC24DUP061954</t>
  </si>
  <si>
    <t>Anand Maurya</t>
  </si>
  <si>
    <t>INC24DUP061954.pdf</t>
  </si>
  <si>
    <t>anandmaurya40me@gmail.com</t>
  </si>
  <si>
    <t>INC24DUP062675</t>
  </si>
  <si>
    <t>Aryan Choudhary</t>
  </si>
  <si>
    <t>INC24DUP062675.pdf</t>
  </si>
  <si>
    <t>praveencjha.ash@its.edu.in</t>
  </si>
  <si>
    <t>INC24DUP063477</t>
  </si>
  <si>
    <t>jagdish chandra</t>
  </si>
  <si>
    <t>INC24DUP063477.pdf</t>
  </si>
  <si>
    <t>jagdishcnmt@gmail.com</t>
  </si>
  <si>
    <t>INC24DUP066308</t>
  </si>
  <si>
    <t>VISHAL SINGH</t>
  </si>
  <si>
    <t>INC24DUP066308.pdf</t>
  </si>
  <si>
    <t>C08HARMUKH@GMAIL.COM</t>
  </si>
  <si>
    <t>INC24DUP066873</t>
  </si>
  <si>
    <t>ARCHANA JANGID</t>
  </si>
  <si>
    <t>INC24DUP066873.pdf</t>
  </si>
  <si>
    <t>tri.abhi023@gmail.com</t>
  </si>
  <si>
    <t>Jurry Members Details</t>
  </si>
  <si>
    <t>S.NO</t>
  </si>
  <si>
    <t>Organistion</t>
  </si>
  <si>
    <t>Position</t>
  </si>
  <si>
    <t>Address</t>
  </si>
  <si>
    <t>Phone Number</t>
  </si>
  <si>
    <t>Saurabh Singh</t>
  </si>
  <si>
    <t>Moon Beverages Ltd. (Coca-Cola India Fbo)</t>
  </si>
  <si>
    <t>Marketing Manager</t>
  </si>
  <si>
    <t>Plot No - 2b/1, Near Ecotech-3, Udyog Kendra, Kasna-201310</t>
  </si>
  <si>
    <t>+918802240258</t>
  </si>
  <si>
    <t>Imran Yusuf</t>
  </si>
  <si>
    <t>Stpi</t>
  </si>
  <si>
    <t>Coo</t>
  </si>
  <si>
    <t>Ganga Software Technology Complex, near Botanical Garden, Sector 29, Noida, Uttar Pradesh 201303</t>
  </si>
  <si>
    <t>+919718647808</t>
  </si>
  <si>
    <t>Mydigitaldudes Technology Llp</t>
  </si>
  <si>
    <t>Founder</t>
  </si>
  <si>
    <t xml:space="preserve">Plot 46, Knowledge Park 3, Navrachna Cabins 07, Greater Noida Uttar Pradesh </t>
  </si>
  <si>
    <t>+918802414439</t>
  </si>
  <si>
    <t>Purnendu Shekhar Pandey</t>
  </si>
  <si>
    <t>Glbcri</t>
  </si>
  <si>
    <t>General Manager</t>
  </si>
  <si>
    <t>GLBCRI, Knowledge Park 3, Greater Noida</t>
  </si>
  <si>
    <t>+919639196239</t>
  </si>
  <si>
    <t>Evergreat Yota Machinery &amp; Automation Pvt Ltd</t>
  </si>
  <si>
    <t>Director</t>
  </si>
  <si>
    <t xml:space="preserve">Plot 46, Knowledge Park 3, Navrachna Cabins 06, Greater Noida Uttar Pradesh </t>
  </si>
  <si>
    <t>+919811580597</t>
  </si>
  <si>
    <t>Sachin Sharma</t>
  </si>
  <si>
    <t>UPID Noida</t>
  </si>
  <si>
    <t>Incubation Manager</t>
  </si>
  <si>
    <t>C-22, C Block, Phase 2, Industrial Area, Sector 62, Noida, Uttar Pradesh 201301</t>
  </si>
  <si>
    <t>+919999403939</t>
  </si>
  <si>
    <t>Jeevesh Gupta</t>
  </si>
  <si>
    <t>Rupee Funda Financial Services</t>
  </si>
  <si>
    <t>DR Tower, Plot Number 271, Second Floor, Uttam Nagar, New Delhi - 110059 Near Nawada Metro Station</t>
  </si>
  <si>
    <t>+919999249941</t>
  </si>
  <si>
    <t>Nikunj Kaushik</t>
  </si>
  <si>
    <t>Hackitise Labs Private Limited</t>
  </si>
  <si>
    <t>+919990764234</t>
  </si>
  <si>
    <t>Anshuman Singh</t>
  </si>
  <si>
    <t xml:space="preserve">IIT Roorkee </t>
  </si>
  <si>
    <t>Head CSR</t>
  </si>
  <si>
    <t>Plot No. 20, Knowledge Park II, Greater Noida, Uttar Pradesh 201310, India</t>
  </si>
  <si>
    <t>+917048905197</t>
  </si>
  <si>
    <t>UPROI Digital Pvt. Ltd</t>
  </si>
  <si>
    <t xml:space="preserve">Plot 46, Knowledge Park 3, Navrachna Cabins 04, Greater Noida Uttar Pradesh </t>
  </si>
  <si>
    <t>+919958750086</t>
  </si>
  <si>
    <t>VN Organics Pvt Ltd</t>
  </si>
  <si>
    <t>CEO</t>
  </si>
  <si>
    <t>45XQ+Q48 VN ORGANICS PRIVATE LIMITED, ITM University Sithouli, Gwalior, Madhya Pradesh 475001</t>
  </si>
  <si>
    <t>+918878868783</t>
  </si>
  <si>
    <t>Ashish Mishra</t>
  </si>
  <si>
    <t>Rcpl</t>
  </si>
  <si>
    <t>Technical Trainer</t>
  </si>
  <si>
    <t>113 166 III floor, Nadari Market Building, next to RK Devi Hospital, Chat Chauraha, Swaroop Nagar, Kanpur, Uttar Pradesh</t>
  </si>
  <si>
    <t>+919354046214</t>
  </si>
  <si>
    <t>Rajeev Kumar Gupta</t>
  </si>
  <si>
    <t>Training Manager</t>
  </si>
  <si>
    <t>+919935195558</t>
  </si>
  <si>
    <t>Kunal Gupte</t>
  </si>
  <si>
    <t>Technical Trainig Specialist</t>
  </si>
  <si>
    <t>+917043133985</t>
  </si>
  <si>
    <t xml:space="preserve">School Details with Participents </t>
  </si>
  <si>
    <t xml:space="preserve">School </t>
  </si>
  <si>
    <t xml:space="preserve">Team </t>
  </si>
  <si>
    <t>Participants</t>
  </si>
  <si>
    <t xml:space="preserve">Govt Sarvodaya Co-Ed Sr Sec School Possangipur </t>
  </si>
  <si>
    <t>B-1, Gurudwara Marg, Block B, Possangipur, Janakpuri, Delhi, 110058</t>
  </si>
  <si>
    <t>Greenway Modern School</t>
  </si>
  <si>
    <t>Between Pockets A &amp; D, Dilshad Garden, New Delhi, Delhi 110095</t>
  </si>
  <si>
    <t>M.G.S</t>
  </si>
  <si>
    <t xml:space="preserve"> Block C, C Block, Preet Vihar, New Delhi, Delhi, 110031</t>
  </si>
  <si>
    <t>Pragyan School</t>
  </si>
  <si>
    <t>Block E, Chandila, Gamma 1, Greater Noida, Uttar Pradesh 201310</t>
  </si>
  <si>
    <t>Uma Maheshwari Public School</t>
  </si>
  <si>
    <t>Aminabad Village, Sector 1, Greater Noida</t>
  </si>
  <si>
    <t>Alpine Public School</t>
  </si>
  <si>
    <t xml:space="preserve"> Plot No-NS-79 Sector, Zeta I, Greater Noida, Uttar Pradesh 201310</t>
  </si>
  <si>
    <t>Kulachi Hansraj Model School</t>
  </si>
  <si>
    <t>ASHOK VIHAR, PHASE -ASHOK VIHAR, PHASE - III
DELHI - 110052 III</t>
  </si>
  <si>
    <t>Fr. Angel School,Greater Noida</t>
  </si>
  <si>
    <t>Pocket F, Sector Beta- II, Greater Noida, Uttar Pradesh</t>
  </si>
  <si>
    <t>Ml Khanna Dav Public School New Delhi</t>
  </si>
  <si>
    <t>H3Q8+M99, Sector 6 Dwarka, Dwarka, New Delhi, Delhi, 110075</t>
  </si>
  <si>
    <t>Delhi World School</t>
  </si>
  <si>
    <t>12/2, Knowledge Park III, Opp. Sharda University, Greater Noida</t>
  </si>
  <si>
    <t>Kausalya Public School</t>
  </si>
  <si>
    <t>HS-34, P-2, Sector, Pi I &amp; II, Greater Noida, Uttar Pradesh 201308</t>
  </si>
  <si>
    <t xml:space="preserve">Sbic Salarpur </t>
  </si>
  <si>
    <t>Swatantra Bharat Inter College , Salarpur , Hapur, Uttar Pradesh</t>
  </si>
  <si>
    <t>Total</t>
  </si>
  <si>
    <t>TECHTRIX'25</t>
  </si>
  <si>
    <t>I.T.S ENGINEERING COLLEGE</t>
  </si>
  <si>
    <t>Hack The Isuee(24 hr Hackathon)</t>
  </si>
  <si>
    <t>S NO</t>
  </si>
  <si>
    <t>Lead Name</t>
  </si>
  <si>
    <t>Member1 Name</t>
  </si>
  <si>
    <t>Member2 Name</t>
  </si>
  <si>
    <t>College Name</t>
  </si>
  <si>
    <t>Total Members Present</t>
  </si>
  <si>
    <t>Milind Singh</t>
  </si>
  <si>
    <t>Aalekh Mukesh Gangwal</t>
  </si>
  <si>
    <t>Mayank</t>
  </si>
  <si>
    <t>Govt Sarvodaya Co-Ed Sr Sec School Possangipur B-1 Janakpuri New Delhi-58</t>
  </si>
  <si>
    <t>Veerang Singh Dagar</t>
  </si>
  <si>
    <t>Swarit Sharma</t>
  </si>
  <si>
    <t>Adil</t>
  </si>
  <si>
    <t>ROBO SUMO</t>
  </si>
  <si>
    <t>Govt Sarvodaya Co-Ed Sr Sec School Possangipur B-1 Janakpuri New Delhi- 58</t>
  </si>
  <si>
    <t>Ronit</t>
  </si>
  <si>
    <t>Yatharth</t>
  </si>
  <si>
    <t>Sarthak</t>
  </si>
  <si>
    <t>Daksh Srivastava</t>
  </si>
  <si>
    <t>Ayan Agarwal</t>
  </si>
  <si>
    <t>Manan Singhal</t>
  </si>
  <si>
    <t>Adhyann</t>
  </si>
  <si>
    <t/>
  </si>
  <si>
    <t>Manya Agrawal</t>
  </si>
  <si>
    <t>Naman Agrawal</t>
  </si>
  <si>
    <t>Gaurvanshi</t>
  </si>
  <si>
    <t>Yana</t>
  </si>
  <si>
    <t>ROBO WAR</t>
  </si>
  <si>
    <t>Team Lead Name</t>
  </si>
  <si>
    <t>Member 1 Name</t>
  </si>
  <si>
    <t>Member 2 Name</t>
  </si>
  <si>
    <t>Naman Agarwal</t>
  </si>
  <si>
    <t>Divyansh Sachdev</t>
  </si>
  <si>
    <t>Tejas Kharkar</t>
  </si>
  <si>
    <t>Manmohan Singh</t>
  </si>
  <si>
    <t>DRONE RACE</t>
  </si>
  <si>
    <t>S.No</t>
  </si>
  <si>
    <t>MLILIND SINGH</t>
  </si>
  <si>
    <t>MAYANK</t>
  </si>
  <si>
    <t>Govt Sarvodaya Co- ed Sr Sec School Possangipur B-1 Janakpuri New Delhi-58</t>
  </si>
  <si>
    <t>ADHYANN</t>
  </si>
  <si>
    <t xml:space="preserve">TOTAL </t>
  </si>
  <si>
    <t>Junior Ideathon</t>
  </si>
  <si>
    <t>Govt Sarvodaya Co-Ed Sr. Sec. School Possangipur B-1 Janakpuri New Delhi 110058</t>
  </si>
  <si>
    <t>Aarav Lamba</t>
  </si>
  <si>
    <t>Avni Nautiyal</t>
  </si>
  <si>
    <t>Saksham Bhatt</t>
  </si>
  <si>
    <t>Fr. Agnel School,Greater Noida</t>
  </si>
  <si>
    <t>Rupesh Kumar Jha</t>
  </si>
  <si>
    <t>ML KHANNA DAV PUBLIC SCHOOL NEW DELHI</t>
  </si>
  <si>
    <t>Geetika Suri</t>
  </si>
  <si>
    <t>-</t>
  </si>
  <si>
    <t>THE IDEANIUM</t>
  </si>
  <si>
    <t>Divyanshu Pramod Patil</t>
  </si>
  <si>
    <t>Nirvikar Kishor Patil</t>
  </si>
  <si>
    <t>R.C Patel Secondary School,Shirpur</t>
  </si>
  <si>
    <t>FarmBliss</t>
  </si>
  <si>
    <t>Anshika Loonga</t>
  </si>
  <si>
    <t>Vedika Sharma</t>
  </si>
  <si>
    <t xml:space="preserve">Pragyan Public school </t>
  </si>
  <si>
    <t>VEDANSH SINGH</t>
  </si>
  <si>
    <t>KRISHANG KUMAR</t>
  </si>
  <si>
    <t>DHAIRYA SINGH</t>
  </si>
  <si>
    <t>AHANA BHATI</t>
  </si>
  <si>
    <t>ANANYA SINGH</t>
  </si>
  <si>
    <t>ASHITA SHARMA</t>
  </si>
  <si>
    <t>ARYAK SAHAI</t>
  </si>
  <si>
    <t>VATSAL GARG</t>
  </si>
  <si>
    <t>SHAMBHAVI  SRIVASTAVA</t>
  </si>
  <si>
    <t xml:space="preserve">PRATHAM TRIPATHI </t>
  </si>
  <si>
    <t>NATIK CHAUHAN</t>
  </si>
  <si>
    <t>Naksh Sharma</t>
  </si>
  <si>
    <t>Anmol Tomar</t>
  </si>
  <si>
    <t>Krish Chaudhary</t>
  </si>
  <si>
    <t>Aman</t>
  </si>
  <si>
    <t>Ashu</t>
  </si>
  <si>
    <t>Kausalya Public school</t>
  </si>
  <si>
    <t>Tushar</t>
  </si>
  <si>
    <t>Badal</t>
  </si>
  <si>
    <t xml:space="preserve">SBIC Salarpur </t>
  </si>
  <si>
    <t>Project Exhibition</t>
  </si>
  <si>
    <t>Member 3 Name</t>
  </si>
  <si>
    <t>Member 4 Name</t>
  </si>
  <si>
    <t>Govt Sarvodaya Co-ed Sr Sec School Possangipur B-1 Janakpuri New Delhi-58</t>
  </si>
  <si>
    <t>ML KHANNA DAV PUBLIC SCHOOL</t>
  </si>
  <si>
    <t>S No</t>
  </si>
  <si>
    <t>Member 1</t>
  </si>
  <si>
    <t>Member 2</t>
  </si>
  <si>
    <t>Rupesh Jha</t>
  </si>
  <si>
    <t>ROBO RACE</t>
  </si>
  <si>
    <t>Govt Sarvodaya Co-ed Sr Sec School</t>
  </si>
  <si>
    <t>ADITYA</t>
  </si>
  <si>
    <t>ANANT</t>
  </si>
  <si>
    <t>DISHA</t>
  </si>
  <si>
    <t>LAKSHIT</t>
  </si>
  <si>
    <t>SHAURYA</t>
  </si>
  <si>
    <t>MANAS SINGHAL</t>
  </si>
  <si>
    <t>TANMAY SHARMA</t>
  </si>
  <si>
    <t>ANKUSH SINGH</t>
  </si>
  <si>
    <t>AYAN AGARWAL</t>
  </si>
  <si>
    <t>DAKSH SRIVASTAV</t>
  </si>
  <si>
    <t>KUMAR RAGHUVASHAM</t>
  </si>
  <si>
    <t>SARTHAK</t>
  </si>
  <si>
    <t>RONIT</t>
  </si>
  <si>
    <t>YATHARTH</t>
  </si>
  <si>
    <t>NAMAN AGARWAL</t>
  </si>
  <si>
    <t>ALPINE PUBLIC SCHOOL</t>
  </si>
  <si>
    <t>Name of Event</t>
  </si>
  <si>
    <t>Name of Participants</t>
  </si>
  <si>
    <t>Brief about event/Project</t>
  </si>
  <si>
    <t>Position Achieved</t>
  </si>
  <si>
    <t>Level</t>
  </si>
  <si>
    <t>St Robo Race event in G.B Nagar Zone of AKTU Zonal Level Event - Technical, Literary and Management Fest at Skyline Institute of Technology Gr.Noida.</t>
  </si>
  <si>
    <t>Mr.SuhailIrshad Rather -ECE 
Mr.AbhishekJaiswal- ECE
Mr.TusharVerma- ECE
Mr.Ravindra Singh ECE</t>
  </si>
  <si>
    <t>Technical Festival</t>
  </si>
  <si>
    <t>First Position</t>
  </si>
  <si>
    <t>State Level</t>
  </si>
  <si>
    <t>First and second prize in the Inter college Robo race competition held at Galgotias College of Engineering and Technology on 19 FEB 2018</t>
  </si>
  <si>
    <t>TusharVerma ECE 
Ravindra Singh ECE
Vishal ECE</t>
  </si>
  <si>
    <t>2nd Position</t>
  </si>
  <si>
    <t>10-11 March 2018</t>
  </si>
  <si>
    <t>INFOTSAV (ROBO SOCCER, Whooz Troop And ROBO Race) 2K19@ ABV-IIITM, Gwalior</t>
  </si>
  <si>
    <t>AdityaBaronia- ECE Sameer- ECE Satyam - ECE 
Rahul Raj- ECE</t>
  </si>
  <si>
    <t>National Level</t>
  </si>
  <si>
    <t>8-9 Feb 2019</t>
  </si>
  <si>
    <t>Grid Tech 2019</t>
  </si>
  <si>
    <t>Harshit kumarsingh</t>
  </si>
  <si>
    <t>The generator is based on the concept of changing the relative angular velocity between the rotor and the stator in the generator so the power development can increase as E.M.F is directly proportional to the angular velocity (omega) of the generator so as we increase the omega the E.M.F of the system also increases and so the overall power which is developed by the generator also increase .Without effecting or contradicting the conservation of energy and lower the effect of centrifugal force on the system.</t>
  </si>
  <si>
    <t>National</t>
  </si>
  <si>
    <t>April 3-5 2019</t>
  </si>
  <si>
    <t>IIT Mandi Robo-Games</t>
  </si>
  <si>
    <t>1.Md SulemanAkhtar
2. Syed Faisal Hussain
3. Syed Yusuf Amin
4. Jeevesh Gupta
5. Mayank Raj</t>
  </si>
  <si>
    <t>Design and construct a wired or wireless (remote controlled) robot capable of fighting a
tournament against other bot(s). Each team has to come up with a CAD model of a robot. With
mighty armours, nifty axes and more innovative weapons, these merciless mercenaries shall be
ready to manufacture and fight for the glory of their makers, upholders of the dignity of the club.</t>
  </si>
  <si>
    <t>5-7 Dec 2019</t>
  </si>
  <si>
    <t>KAPPTeC Kalam Annual Project and Poster Technical Competition – 2019</t>
  </si>
  <si>
    <t>1. Harshit Kumar
2. AbhinandanYadav
3. AnutKatiyar
4. Deepak</t>
  </si>
  <si>
    <t>Exhibition of innovative projects at AKTU Lucknow</t>
  </si>
  <si>
    <t>Cognizance 2019, IIT Roorkee</t>
  </si>
  <si>
    <t>1. Mayank Raj
2. Syed Faisal Hussain
3. Syed Yusuf Amin
4. Jeevesh Gupta
5. MdSulemanAkhtar</t>
  </si>
  <si>
    <t>Armageddon is a combat robotics championship, where two custom-built machines use varied methods of destroying or disabling the other. Armageddon promises to be an ultimate battlefield where the bots fight for life, and in the end it is going to be “Survival Of The Fittest’’. Here at Armageddon, we bring forth Darwin's Theory Of Natural Selection being applied to the non-living. When all the bots perish into the grave it would be one bot that stands up to all the challenges to become the ultimate combat bot.</t>
  </si>
  <si>
    <t>March 15-17 2019</t>
  </si>
  <si>
    <t>National Level Engineering Project Competition, Pune</t>
  </si>
  <si>
    <t>IEPC invite all the engineering students to participate with want, dedication and vigour and facilitate the event fulfill its dreams for college students Scientists and Engineers are the drivers of progress; innovation is that the key to unlocking a stronger world.All folks are social beings coming across issues day by day which necessitates the event of solutions. Science and technology has been the backbone of our evolution into a civilized society. Asian nation is not any alien to issues of power, roads and public health among several others. during this regard, innovative bright minds of our nation can ought to become pivotal to change.</t>
  </si>
  <si>
    <t>International</t>
  </si>
  <si>
    <t>Smart India Hackathon</t>
  </si>
  <si>
    <t>1. Abhishek Kumar Yadav
2. KAJAL SHARMA
3. MahboobAlam
4. Adarsh Mishra
5. Shashank Kumar
6. Shriyansh S Mishra</t>
  </si>
  <si>
    <t>Hardware- Security and Surveillance</t>
  </si>
  <si>
    <t>Consolation Prize</t>
  </si>
  <si>
    <t>2-3 March 2019</t>
  </si>
  <si>
    <t>1. Sumankumar
2. AnikeshSrivastava
3. VaibhavTyagi
4. AaradhyaAgrawal
5. Ritiksharma
6. Yogitasengar</t>
  </si>
  <si>
    <t>Health based app</t>
  </si>
  <si>
    <t>Dr. Kalam StartupParikrama-Edition 25</t>
  </si>
  <si>
    <t>Hariohmkumar
Swati jaiswal</t>
  </si>
  <si>
    <t>Kalam- Centre for Innovation and Incubation of startup (K-CIIS) intends to create an ecosystem for promoting innovations and start-ups for students and alumni of Dr. A.P.J. Abdul Kalam Technical University, Lucknow. They are developing an end-to- end mentorship and incubation model for potential start-ups. Their motive is to build avenues of partnership and integration with other organizations and agencies in each of these aspects. K-CIIS also presents a platform and a unique opportunity for startups to not only fuel their entrepreneurial journeys with funding, but also build a community of potential investors, customers, business partners and fellow entrepreneurs around them. This will provide Uttar Pradesh a boost for nurturing the startup culture and also mentor budding young entrepreneurs from across the nation.</t>
  </si>
  <si>
    <t>HimalyanStartup Trek 2019, IIT Mandi</t>
  </si>
  <si>
    <t>HST is the annual flagship event organized by Catalyst that aims to bring together stakeholders of Indian startup ecosystem. HST 2018 had a footfall of 200 including 40 startups that got an opportunity to meet the investors. Around 35 eminent speakers included investors, industry experts and government officials who deliberated on a range ofstartup related issues.</t>
  </si>
  <si>
    <t>Incubation Support</t>
  </si>
  <si>
    <t>Dr. Kalam StartupParikrama-Edition 29</t>
  </si>
  <si>
    <t>1. AkarshPandey 2. KeshavKashyap</t>
  </si>
  <si>
    <t>Dr. Kalam StartupParikrama-Edition 30</t>
  </si>
  <si>
    <t>Akash Bhati</t>
  </si>
  <si>
    <t>Dr. Abdul Kalam Technical, literay and Managament Fest 2019</t>
  </si>
  <si>
    <t>1.Harshit kumarsingh 2.Jeevesh Gupta 3.Syed Yusuf Amin 4.Syed Faisal Husain</t>
  </si>
  <si>
    <t>Technical festival final round at AKTU Lucknow of Robowars.</t>
  </si>
  <si>
    <t>30-31 January 2019</t>
  </si>
  <si>
    <t>1.Suhail Irshad Rather 2.Abhishek Kumar Jaiswal 3.Ravindra Singh 4.Tushar Verma</t>
  </si>
  <si>
    <t>Technical festival final round at AKTU Lucknow of Roborace</t>
  </si>
  <si>
    <t>Sharda Hackathon</t>
  </si>
  <si>
    <t>Team 1
1.Mayank Raj
2.Nidhi Sharma
3.keshav kashyup
4.Harshit Kumar Singh</t>
  </si>
  <si>
    <t>Sharda Hackathon is a 24hr event which started with problem statement and students were given 24hrs at stretch to make working prototype. With theme focused on current problem that are faced by Indian society.</t>
  </si>
  <si>
    <t>state</t>
  </si>
  <si>
    <t>24-26 June 2020</t>
  </si>
  <si>
    <t>Galgotia College</t>
  </si>
  <si>
    <t>Team 1
1.Tushar verma
2.Aakash Goyal
3.Ravindra Singh
4.Sagar Kumar Thakur
5. Rishav Kumar</t>
  </si>
  <si>
    <t>Robo Race</t>
  </si>
  <si>
    <t>1st and 2nd</t>
  </si>
  <si>
    <t>Inter college</t>
  </si>
  <si>
    <t>7-8 Feb 2020</t>
  </si>
  <si>
    <t>IIMT College</t>
  </si>
  <si>
    <t>1.Suhail Irshad
2.Abhishek Jaiswal
3.Sanjay Adhikari
4.Abhishek Kumar
5.Vishal Kumar</t>
  </si>
  <si>
    <t>Inter College</t>
  </si>
  <si>
    <t>Aniketkumar Sharma
AnkurShrama
AmandeepPrajapati
KunalYadav
Raghav Mishra
Anushka Gupta</t>
  </si>
  <si>
    <t>Smart India Hackathon 2020 is a nationwide initiative to provide students a platform to solve some of the pressing problems we face in our daily lives, and thus inculcate a culture of product innovation and a mindset of problem solving. The last edition of the Hackathon saw over 5 million+ students from various colleges compete for the top prize at 65+ locations. In SIH 2020, the students would have the opportunity to work on challenges faced within various Ministries, Departments, Industries, PSUs and NGOs to create world class solutions for some of the top organizations including industries in the world, thus helping the Private sector hire the best minds from across the nation.
App Development on Food Processing Problem</t>
  </si>
  <si>
    <t>Finalist</t>
  </si>
  <si>
    <t>4-5 April 2020</t>
  </si>
  <si>
    <t>NASA Human Exploration Challenge, Virtual Level</t>
  </si>
  <si>
    <t>Md. Yusuf (TL)
KeshavKashyap
Harshit Kumar
Jeevesh Gupta
Nidhi Sharma
AyushiAgarawal</t>
  </si>
  <si>
    <t>NASA Human Exploration Rover Challenge features an engineering design challenge to engage students worldwide in the next phase of human space exploration. The annual event is a more complex follow-up to the successful NASA’s Great Moonbuggy Race. The competition challenges high school and college students to create a vehicle designed to traverse the simulated surface of another world.</t>
  </si>
  <si>
    <t>Among 4 in India</t>
  </si>
  <si>
    <t>International Level</t>
  </si>
  <si>
    <t>Ideathon 2024</t>
  </si>
  <si>
    <t>Pushpendra Kumar
Subhang Mishra
Divyanshu Kumar
Nisha Sharma 
Sandeev Yadav
Priyanshu Kumar Gupta</t>
  </si>
  <si>
    <t>Ideathon 2024 was a state level idea pitching competition in which students, innovators and faculty members presented their ideas. The event was conducted at BHABHA Hall, I.T.S Engineering College, Greater Noida and winners were successfully graced with recognition and the event experienced high participation and energy from the audience.</t>
  </si>
  <si>
    <t>Winners (Top 3)</t>
  </si>
  <si>
    <t>TechTrix’25</t>
  </si>
  <si>
    <t>Anubhav Tripathi
Azaz Khan
Deepak Kumar Prajapati
Krishan Raj Singh
Deepak Kumar
Salman Ansari
Kunal Singh
Amarjeet Singh
Priyanshi Tripathi
Divya Verma
Anket Srivastava
Suraj Kumar Srivsatava</t>
  </si>
  <si>
    <t>TechTrix'25 was a 2 day national level fest focused on entrepreneurship development. It was organized by E - Cell-ITSEC , NFED and I. T. S Engineering College. It hosted many chief guests as well like the Minister of IT &amp; Electronics, IAS Neha Jain and more. We organized 14 subevents in this. Hackathon, B-Plan Competition, Ideathon, Project and Poster Exhibition, Quick Challenge, Robo War, Robo Race, Robo Sumo, Drone Race, Crack OCode, Structural Design and more.</t>
  </si>
  <si>
    <t>Winners from various contests among 14 subevents.</t>
  </si>
  <si>
    <t>1.SAMBHAWNA BAJPEI
2.MIHIR KUMAR SINHA
3.PRAMOD KUMAR PANDEY
4.SAKSHI SHARMA
5.RISHABH VERMA</t>
  </si>
  <si>
    <t>Smart India Hackathon is a nationwide innovation competition organized by the Government of India to crowdsource technology-driven solutions for real-world problems faced by ministries, departments, industries, and social organizations. Launched in 2017, it brings together thousands of students from engineering, management, and other disciplines to collaborate intensively over a 36-hour (Software Edition) or extended hardware prototyping cycle (Hardware Edition). Participants work in teams to design, develop, and demonstrate scalable, feasible, and impactful solutions across domains such as AI, IoT, cybersecurity, agriculture, healthcare, smart automation, and sustainability. Beyond prize money, SIH functions as a pre-incubation and talent discovery platform, fostering industry–academia collaboration, startup creation, and product-oriented innovation aligned with national priorities.</t>
  </si>
  <si>
    <t>Finalists (Top 4)</t>
  </si>
  <si>
    <t>December 8th and 9th</t>
  </si>
  <si>
    <t>AKTU Zonals</t>
  </si>
  <si>
    <t>Deepak Kumar Prajapati
Abhishek Patel
Adarsh Kumar
Ayush Shakya</t>
  </si>
  <si>
    <t>AKTU Zonals is a zonal-level technical and innovation competition organized under Dr. A.P.J. Abdul Kalam Technical University (AKTU) to promote project-based learning, research aptitude, and entrepreneurial thinking among students. Conducted across different regional zones of the university, it serves as a competitive platform where student teams present working prototypes, research models, and technology-driven solutions evaluated by academic and industry experts. The event typically spans domains such as core engineering, emerging technologies, management innovations, and interdisciplinary applications, with shortlisted teams advancing to higher university-level rounds. AKTU Zonals strengthens inter-college collaboration, enhances practical exposure, and aligns student innovation efforts with real-world industrial and societal challenges.</t>
  </si>
  <si>
    <t>Winners - Robo War</t>
  </si>
  <si>
    <t>Zonal Level</t>
  </si>
  <si>
    <t>14th and 15th December 2024</t>
  </si>
  <si>
    <t>AKTU Literacy and Technical Fest</t>
  </si>
  <si>
    <t>AKTU Literary and Technical Fest is a university-level annual festival organized under Dr. A.P.J. Abdul Kalam Technical University (AKTU) that integrates technical excellence with literary and creative expression. The fest serves as a multidisciplinary platform where students from affiliated colleges participate in competitive and showcase-based events spanning coding contests, robotics, project exhibitions, technical paper presentations, debates, poetry, quiz competitions, and cultural performances. It aims to cultivate innovation, communication skills, leadership, and holistic personality development beyond the conventional academic curriculum. By fostering peer learning, inter-college networking, and industry–academia engagement, the festival reinforces AKTU’s emphasis on practical exposure, creativity, and comprehensive student development.</t>
  </si>
  <si>
    <t>Winners - Robo War and Robo B-Plan Competition</t>
  </si>
  <si>
    <t>27th and 28th November 2024</t>
  </si>
  <si>
    <t>VytoFlow TechFest</t>
  </si>
  <si>
    <t>Vytoflow Techfest is a dynamic technical festival designed to foster innovation, creativity, and competitive spirit among students across engineering and technology domains. The fest serves as a platform for participants to demonstrate practical problem-solving skills through events such as hackathons, coding challenges, robotics competitions, technical quizzes, project exhibitions, and expert-led workshops. Vytoflow emphasizes hands-on learning, interdisciplinary collaboration, and exposure to emerging technologies including AI, IoT, automation, and software development. By integrating competition with knowledge exchange and networking opportunities, the techfest cultivates technical proficiency, teamwork, and an innovation-driven mindset among aspiring engineers and technologists.</t>
  </si>
  <si>
    <t>Winner</t>
  </si>
  <si>
    <t>26th and 27th Nov 2025</t>
  </si>
  <si>
    <t>AKTU State Fest</t>
  </si>
  <si>
    <t>Shubham Kumar
Shashwat Pandey
Gautam Negi</t>
  </si>
  <si>
    <t>3rd Position</t>
  </si>
  <si>
    <t>Innovative prototype and exhibition event in AKTU Zonal Level Event - Technical, Literary and Management Fest at GNIOT Gr.Noida.</t>
  </si>
  <si>
    <t>Samiruddin Ansari
Gagan Sahu</t>
  </si>
  <si>
    <t>Zonal</t>
  </si>
  <si>
    <t>Robo War event in AKTU Zonal Level Event - Technical, Literary and Management Fest at GNIOT Gr.Noida.</t>
  </si>
  <si>
    <t>Shubham Kumar
Shashwat Pandey
Gautam Negi
Samiruddin Ansari</t>
  </si>
  <si>
    <t>1st Postion</t>
  </si>
  <si>
    <t>Robo Race event in AKTU Zonal Level Event - Technical, Literary and Management Fest at GNIOT Gr.Noida.</t>
  </si>
  <si>
    <t>Utkarsh Sriwastava
Avinash A V Roy</t>
  </si>
  <si>
    <t>Innovation and entrepreneuship Jeopardy event in AKTU Zonal Level Event - Technical, Literary and Management Fest at GNIOT Gr.Noida.</t>
  </si>
  <si>
    <t>Nikunj Kaushik
Shivansh Seth</t>
  </si>
  <si>
    <t>DETAILS OF GUESTS INVITED FOR ITSEC- NFED &amp; E-CELL-ITSEC INITIATIVES</t>
  </si>
  <si>
    <t>Date of Event</t>
  </si>
  <si>
    <t>Background of Guest</t>
  </si>
  <si>
    <t>Contact No of Guest</t>
  </si>
  <si>
    <t>Email - ID of Guest</t>
  </si>
  <si>
    <t>Social Media Handle of Guest</t>
  </si>
  <si>
    <t>Objective of Event</t>
  </si>
  <si>
    <t>Post Event Post Link</t>
  </si>
  <si>
    <t>Mr. Aashirvad Rastogi</t>
  </si>
  <si>
    <t>18th Sept 2025</t>
  </si>
  <si>
    <t>E-CELL-ITSEC Orientation Day</t>
  </si>
  <si>
    <t>I.T.S Alumini and Founder of DigiPoint Technologies Pvt. Ltd</t>
  </si>
  <si>
    <t>https://www.linkedin.com/in/ashirwadrastogi/?skipRedirect=true</t>
  </si>
  <si>
    <t>To sensitize the newly joined E-Cell members about the initiatives, our history and what they are gonna explore.</t>
  </si>
  <si>
    <t>https://www.linkedin.com/feed/update/urn:li:activity:7375892935055196161/?utm_source=share&amp;utm_medium=member_desktop&amp;rcm=ACoAABqZ21YB1p9PaudK87UBRvY19NLgCfo7dAg</t>
  </si>
  <si>
    <t>14th October 2025</t>
  </si>
  <si>
    <t>CEO &amp; Founder - VS Energy HARMONISATION &amp; AUTOMATION PRIVATE LIMITED,</t>
  </si>
  <si>
    <t>https://www.linkedin.com/in/vivek-singh-612a8152/</t>
  </si>
  <si>
    <t>https://www.linkedin.com/posts/e-cell-itsec_iic-itsengineeringcollege-entrepreneurship-activity-7383832009187487746-NYMT?utm_source=share&amp;utm_medium=member_desktop&amp;rcm=ACoAAFKVhWUBh-qDXOjaZMuRSlwjFkHviJqbnTY</t>
  </si>
  <si>
    <t>8th November 2025</t>
  </si>
  <si>
    <t>I.T.S Alumini , CEO &amp; Founder - CyberKida PRIVATE LIMITED,</t>
  </si>
  <si>
    <t>https://www.linkedin.com/in/dilip-jadaun-8955a2195/</t>
  </si>
  <si>
    <t>https://www.linkedin.com/feed/update/urn:li:activity:7393192828413116416</t>
  </si>
  <si>
    <t>Mr. Manveen Chadha</t>
  </si>
  <si>
    <t>11th November 2025</t>
  </si>
  <si>
    <r>
      <t xml:space="preserve">Additional Director (Startups and Innovation) – </t>
    </r>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ASSOCHAM (The Associated Chambers of Commerce and Industry of India)</t>
    </r>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000000"/>
        <sz val="11.0"/>
      </rPr>
      <t xml:space="preserve"> and Ex–AVP Incubation, on “Finding New Innovative Ideas.”</t>
    </r>
  </si>
  <si>
    <t>https://www.linkedin.com/in/manveen-chadha-48304167/</t>
  </si>
  <si>
    <t>https://www.instagram.com/p/DQ_lXQxkSfm/?img_index=1</t>
  </si>
  <si>
    <t>12th November 2025</t>
  </si>
  <si>
    <t>CEO &amp; FOUNDER - INDUSAI PVT LTD.</t>
  </si>
  <si>
    <t>https://www.linkedin.com/in/vivekgupta668/</t>
  </si>
  <si>
    <t>https://www.instagram.com/p/DQ_uYRYDbDF/?img_index=1</t>
  </si>
  <si>
    <t>Mr. Anshuman Singh Chauhan</t>
  </si>
  <si>
    <t>13th November 2025</t>
  </si>
  <si>
    <r>
      <t xml:space="preserve">Head – CSR, </t>
    </r>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Indian Institute of Technology, Roorkee</t>
    </r>
  </si>
  <si>
    <t>https://www.linkedin.com/in/anshumanchauhan/</t>
  </si>
  <si>
    <r>
      <rPr>
        <color rgb="FF1155CC"/>
        <u/>
      </rPr>
      <t>https://www.linkedin.com/posts/e-cell-itsec_postevent-skilldevelopment-careergrowth-activity-7396570424777560064-yaTh?utm_source=share&amp;utm_medium=member_desktop&amp;rcm=ACoAABqZ21YB1p9PaudK87UBRvY19NLgCfo7dAg</t>
    </r>
    <r>
      <rPr>
        <color rgb="FF000000"/>
      </rPr>
      <t xml:space="preserve"> and </t>
    </r>
    <r>
      <rPr>
        <color rgb="FF1155CC"/>
        <u/>
      </rPr>
      <t>https://www.instagram.com/p/DREy4L-gHz8/?utm_source=ig_web_copy_link&amp;igsh=MzRlODBiNWFlZA==</t>
    </r>
  </si>
  <si>
    <t xml:space="preserve">Mr. Shivansh Seth </t>
  </si>
  <si>
    <t>14th November 2025</t>
  </si>
  <si>
    <t>I.T.S Alumini &amp; CyberSec Associate @ Zaarthi</t>
  </si>
  <si>
    <t>https://www.linkedin.com/in/shibushivansh/</t>
  </si>
  <si>
    <r>
      <rPr>
        <color rgb="FF1155CC"/>
        <u/>
      </rPr>
      <t>https://www.instagram.com/p/DRPLE8DEhQ0/?utm_source=ig_web_copy_link&amp;igsh=MzRlODBiNWFlZA==</t>
    </r>
    <r>
      <rPr/>
      <t xml:space="preserve"> and </t>
    </r>
    <r>
      <rPr>
        <color rgb="FF1155CC"/>
        <u/>
      </rPr>
      <t>https://www.linkedin.com/posts/e-cell-itsec_postevent-itsengineering-cybersecurity-activity-7396875637744951296-GsFL?utm_source=share&amp;utm_medium=member_desktop&amp;rcm=ACoAABqZ21YB1p9PaudK87UBRvY19NLgCfo7dAg</t>
    </r>
  </si>
  <si>
    <t>Mr. Vasav Krishna</t>
  </si>
  <si>
    <t>8th Oct 2025</t>
  </si>
  <si>
    <t>AI Innovation Meetup</t>
  </si>
  <si>
    <t>SIIC | Head of AI/ML Domain, IIT Kanpur</t>
  </si>
  <si>
    <t>https://www.linkedin.com/in/vasav-krishna-11b500110/</t>
  </si>
  <si>
    <t>https://www.linkedin.com/feed/update/urn:li:activity:7381946676124622848</t>
  </si>
  <si>
    <t>Mr. Prasad Shetty</t>
  </si>
  <si>
    <t>16th Nov 2025</t>
  </si>
  <si>
    <t>Incubation Visit</t>
  </si>
  <si>
    <r>
      <t xml:space="preserve">Senior Vice President at </t>
    </r>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Society for Innovation &amp; Entrepreneurship -SINE IIT Bombay</t>
    </r>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000000"/>
        <sz val="11.0"/>
      </rPr>
      <t xml:space="preserve"> and Vice President at </t>
    </r>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Indian STEPs and Business Incubators Association (ISBA)</t>
    </r>
  </si>
  <si>
    <t>https://www.linkedin.com/in/prasad-shetty-3233872b/</t>
  </si>
  <si>
    <t>https://www.linkedin.com/feed/update/urn:li:activity:7396230227112116224</t>
  </si>
  <si>
    <t>Mr. Hari Tiwati</t>
  </si>
  <si>
    <r>
      <t xml:space="preserve">Manager – Portfolio, </t>
    </r>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Society for Innovation &amp; Entrepreneurship -SINE IIT Bombay</t>
    </r>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000000"/>
        <sz val="11.0"/>
      </rPr>
      <t>,</t>
    </r>
  </si>
  <si>
    <t>https://www.linkedin.com/in/hari-tiwari-a16854a4/</t>
  </si>
  <si>
    <t>Prof. S. B. Sareen</t>
  </si>
  <si>
    <t>5th Dec 2025</t>
  </si>
  <si>
    <t>NewGen Demo Day</t>
  </si>
  <si>
    <t>https://www.linkedin.com/feed/update/urn:li:activity:7404373745923977217</t>
  </si>
  <si>
    <t>Dr. Naveen Vasishtha</t>
  </si>
  <si>
    <t>5th Dec 2026</t>
  </si>
  <si>
    <t>24th Dec 2025</t>
  </si>
  <si>
    <t>Faculty Sensitization Workshop</t>
  </si>
  <si>
    <r>
      <t xml:space="preserve">Additional Director (Startups and Innovation) – </t>
    </r>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ASSOCHAM (The Associated Chambers of Commerce and Industry of India)</t>
    </r>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000000"/>
        <sz val="11.0"/>
      </rPr>
      <t xml:space="preserve"> and Ex–AVP Incubation, on “Finding New Innovative Ideas.”</t>
    </r>
  </si>
  <si>
    <t>https://www.linkedin.com/feed/update/urn:li:activity:7409633812223209472</t>
  </si>
  <si>
    <t>Dr. Manvendra Yadav</t>
  </si>
  <si>
    <t>16th Jan 2026</t>
  </si>
  <si>
    <t xml:space="preserve">Build For Bharat </t>
  </si>
  <si>
    <r>
      <t xml:space="preserve">COO, </t>
    </r>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Atal Incubation Centre - EMPI</t>
    </r>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000000"/>
        <sz val="11.0"/>
      </rPr>
      <t>,</t>
    </r>
  </si>
  <si>
    <t>https://www.linkedin.com/in/dr-manvendra-yadav-19616624/</t>
  </si>
  <si>
    <t>https://www.linkedin.com/feed/update/urn:li:activity:7418147331184721920</t>
  </si>
  <si>
    <t>Dr. Dipan Sahu</t>
  </si>
  <si>
    <t>04th Feb 2026</t>
  </si>
  <si>
    <t>AI SUMMIT</t>
  </si>
  <si>
    <t>Assistant Innovation Director, Ministry of Education’s Innovation Cell</t>
  </si>
  <si>
    <t>https://www.linkedin.com/in/deepansahu/</t>
  </si>
  <si>
    <t>https://www.linkedin.com/feed/update/urn:li:activity:7425414165982240768</t>
  </si>
  <si>
    <t>04th Feb 2027</t>
  </si>
  <si>
    <t>CEO &amp; FOUNDER - INDUS AI PVT. LTD.</t>
  </si>
  <si>
    <t>Mr. Rajat Jain</t>
  </si>
  <si>
    <t>04th Feb 2028</t>
  </si>
  <si>
    <t>Azure Data Engineer @ Trendence Inc</t>
  </si>
  <si>
    <t>https://www.linkedin.com/in/rajat-jain-59a667102/</t>
  </si>
  <si>
    <t>Mr. Chandan Jha</t>
  </si>
  <si>
    <t>13th May 2025</t>
  </si>
  <si>
    <t>Associate Vice President @GeeksforGeeks</t>
  </si>
  <si>
    <t>https://www.linkedin.com/in/chandan-jha-56a22534/</t>
  </si>
  <si>
    <r>
      <rPr>
        <color rgb="FF1155CC"/>
        <u/>
      </rPr>
      <t>https://www.instagram.com/p/DJs6S1iOSkY/?img_index=1</t>
    </r>
    <r>
      <rPr>
        <color rgb="FF000000"/>
      </rPr>
      <t xml:space="preserve"> and </t>
    </r>
    <r>
      <rPr>
        <color rgb="FF1155CC"/>
        <u/>
      </rPr>
      <t>https://www.instagram.com/p/DJtL4fUOo3U/?img_index=1</t>
    </r>
    <r>
      <rPr>
        <color rgb="FF000000"/>
      </rPr>
      <t xml:space="preserve"> </t>
    </r>
  </si>
  <si>
    <t>Mr. Sandeep Jain</t>
  </si>
  <si>
    <t>Founder @ GFG</t>
  </si>
  <si>
    <t>https://www.linkedin.com/in/sandeep-jain-/</t>
  </si>
  <si>
    <r>
      <rPr>
        <color rgb="FF1155CC"/>
        <u/>
      </rPr>
      <t>https://www.instagram.com/p/DJs6S1iOSkY/?img_index=1</t>
    </r>
    <r>
      <rPr>
        <color rgb="FF000000"/>
      </rPr>
      <t xml:space="preserve"> and </t>
    </r>
    <r>
      <rPr>
        <color rgb="FF1155CC"/>
        <u/>
      </rPr>
      <t>https://www.instagram.com/p/DJtL4fUOo3U/?img_index=1</t>
    </r>
    <r>
      <rPr>
        <color rgb="FF000000"/>
      </rPr>
      <t xml:space="preserve"> </t>
    </r>
  </si>
  <si>
    <t>Mr. Ramveer Tanwar</t>
  </si>
  <si>
    <t>Pond Man of India</t>
  </si>
  <si>
    <t>https://www.linkedin.com/in/ramveer-tanwar-pondman/</t>
  </si>
  <si>
    <r>
      <rPr>
        <color rgb="FF1155CC"/>
        <u/>
      </rPr>
      <t>https://www.instagram.com/p/DJs6S1iOSkY/?img_index=1</t>
    </r>
    <r>
      <rPr>
        <color rgb="FF000000"/>
      </rPr>
      <t xml:space="preserve"> and </t>
    </r>
    <r>
      <rPr>
        <color rgb="FF1155CC"/>
        <u/>
      </rPr>
      <t>https://www.instagram.com/p/DJtL4fUOo3U/?img_index=1</t>
    </r>
    <r>
      <rPr>
        <color rgb="FF000000"/>
      </rPr>
      <t xml:space="preserve"> </t>
    </r>
  </si>
  <si>
    <t>Ms. Neha Jain</t>
  </si>
  <si>
    <t>IAS</t>
  </si>
  <si>
    <t>https://www.linkedin.com/in/neha-jain-07519b9/</t>
  </si>
  <si>
    <r>
      <rPr>
        <color rgb="FF1155CC"/>
        <u/>
      </rPr>
      <t>https://www.instagram.com/p/DJs6S1iOSkY/?img_index=1</t>
    </r>
    <r>
      <rPr>
        <color rgb="FF000000"/>
      </rPr>
      <t xml:space="preserve"> and </t>
    </r>
    <r>
      <rPr>
        <color rgb="FF1155CC"/>
        <u/>
      </rPr>
      <t>https://www.instagram.com/p/DJtL4fUOo3U/?img_index=1</t>
    </r>
    <r>
      <rPr>
        <color rgb="FF000000"/>
      </rPr>
      <t xml:space="preserve"> </t>
    </r>
  </si>
  <si>
    <t>Mr. O.P Singh</t>
  </si>
  <si>
    <t>Sr. GM
@NSIC, Okhla</t>
  </si>
  <si>
    <t>https://www.linkedin.com/in/opsinghnsic/</t>
  </si>
  <si>
    <r>
      <rPr>
        <color rgb="FF1155CC"/>
        <u/>
      </rPr>
      <t>https://www.instagram.com/p/DJs6S1iOSkY/?img_index=1</t>
    </r>
    <r>
      <rPr>
        <color rgb="FF000000"/>
      </rPr>
      <t xml:space="preserve"> and </t>
    </r>
    <r>
      <rPr>
        <color rgb="FF1155CC"/>
        <u/>
      </rPr>
      <t>https://www.instagram.com/p/DJtL4fUOo3U/?img_index=1</t>
    </r>
    <r>
      <rPr>
        <color rgb="FF000000"/>
      </rPr>
      <t xml:space="preserve"> </t>
    </r>
  </si>
  <si>
    <t>Mr. Himanshu Chauraisa</t>
  </si>
  <si>
    <t>Co-Founder, CEO
@CoGrad</t>
  </si>
  <si>
    <t>https://www.linkedin.com/in/chaurasia-himanshu/</t>
  </si>
  <si>
    <r>
      <rPr>
        <color rgb="FF1155CC"/>
        <u/>
      </rPr>
      <t>https://www.instagram.com/p/DJs6S1iOSkY/?img_index=1</t>
    </r>
    <r>
      <rPr>
        <color rgb="FF000000"/>
      </rPr>
      <t xml:space="preserve"> and </t>
    </r>
    <r>
      <rPr>
        <color rgb="FF1155CC"/>
        <u/>
      </rPr>
      <t>https://www.instagram.com/p/DJtL4fUOo3U/?img_index=1</t>
    </r>
    <r>
      <rPr>
        <color rgb="FF000000"/>
      </rPr>
      <t xml:space="preserve"> </t>
    </r>
  </si>
  <si>
    <t>Mr. Sushil Chauhan</t>
  </si>
  <si>
    <t>Podcaster</t>
  </si>
  <si>
    <r>
      <rPr>
        <color rgb="FF1155CC"/>
        <u/>
      </rPr>
      <t>https://www.instagram.com/p/DJs6S1iOSkY/?img_index=1</t>
    </r>
    <r>
      <rPr>
        <color rgb="FF000000"/>
      </rPr>
      <t xml:space="preserve"> and </t>
    </r>
    <r>
      <rPr>
        <color rgb="FF1155CC"/>
        <u/>
      </rPr>
      <t>https://www.instagram.com/p/DJtL4fUOo3U/?img_index=1</t>
    </r>
    <r>
      <rPr>
        <color rgb="FF000000"/>
      </rPr>
      <t xml:space="preserve"> </t>
    </r>
  </si>
  <si>
    <t>Dev Khandooja</t>
  </si>
  <si>
    <t>NEWGEN PATENT STATUS</t>
  </si>
  <si>
    <t>TITLE OF INVENTION</t>
  </si>
  <si>
    <t>Patent application ID</t>
  </si>
  <si>
    <t>Filed</t>
  </si>
  <si>
    <t>Date of Filing</t>
  </si>
  <si>
    <t>Publication Date</t>
  </si>
  <si>
    <t>PRESENT STATUS</t>
  </si>
  <si>
    <t>NEWGEN FIRST YEAR</t>
  </si>
  <si>
    <t>GRANTED</t>
  </si>
  <si>
    <t>WATER RESISTANT COATING FORMULATION AND A METHOD THEREOF</t>
  </si>
  <si>
    <t>18/12/2020</t>
  </si>
  <si>
    <t>PUBLISHED</t>
  </si>
  <si>
    <t>HEART RATE MONITORING SYSTEM AND METHOD</t>
  </si>
  <si>
    <t>29/07/19</t>
  </si>
  <si>
    <t>AUTOMATIC SOLAR PANEL CLEANING DEVICE</t>
  </si>
  <si>
    <t>19-01-21</t>
  </si>
  <si>
    <t>23/09/2022</t>
  </si>
  <si>
    <t>RQ FILED</t>
  </si>
  <si>
    <t>HEALTHY POTS -AUTOMATIC GARDENING SYSTEMS</t>
  </si>
  <si>
    <t>333380-001 (Design patent)</t>
  </si>
  <si>
    <t>19-09-20</t>
  </si>
  <si>
    <t>24/09/2021</t>
  </si>
  <si>
    <t>PUBLISHED AND GRANTED</t>
  </si>
  <si>
    <t>NEWGEN SECOND YEAR</t>
  </si>
  <si>
    <t>LIQUID BOIL OVER PREVENTION SYSTEM</t>
  </si>
  <si>
    <t>CONTINOUS VARIABLE POWER GENERATION SYSTEM</t>
  </si>
  <si>
    <t>18/06/2021</t>
  </si>
  <si>
    <t>EXTENDABLE DOWN ROD</t>
  </si>
  <si>
    <t>30/07/2021</t>
  </si>
  <si>
    <t>20/08/2021</t>
  </si>
  <si>
    <t>SMART SENSE WHITEWASH DEVICE</t>
  </si>
  <si>
    <t>AN ELECTRIC VEHICLE ACCELERATION ENHANCER SYSTEM</t>
  </si>
  <si>
    <t>26/08/21</t>
  </si>
  <si>
    <t>UNDER EXAMINATION</t>
  </si>
  <si>
    <t>NEWGEN THIRD YEAR</t>
  </si>
  <si>
    <t>METHOD FOR MAKING BIODEGRADABLE SHELLAC AND SYNTHETIC RESIN BASED MOULDED PRODUCTS AND PCB BASE</t>
  </si>
  <si>
    <t>DEVELOPMENT OF ELECTRICALLY INSULATING BIODEGRADABLE SHELLAC BASED FIBERS AND METHOD THEREOF</t>
  </si>
  <si>
    <t>HYBRID VEHICLE WASHING SYSTEM</t>
  </si>
  <si>
    <t>AI BASED SYSTEM TO EVADE STRAY LIVESTOCK’S</t>
  </si>
  <si>
    <t>20/03/23</t>
  </si>
  <si>
    <t>NEWGEN FOURTH YEAR</t>
  </si>
  <si>
    <t>MICRO WIND TURBINE TREE</t>
  </si>
  <si>
    <t>FILED</t>
  </si>
  <si>
    <t>NEWGEN FIFTH YEAR</t>
  </si>
  <si>
    <t>ELEVATABLE AND ROTATABLE LAPTOP DESIGN</t>
  </si>
  <si>
    <t>423477-001 (Design patent)</t>
  </si>
  <si>
    <t>17-07-2024</t>
  </si>
  <si>
    <t>FER GERNERATED</t>
  </si>
  <si>
    <t>SMART GARDEN WATERING DEVICE</t>
  </si>
  <si>
    <t>422804-001 (Design patent)</t>
  </si>
  <si>
    <t>FRUIT &amp; VEGETABLE PLUCKER STICK WITH STORAGE BAG</t>
  </si>
  <si>
    <t>446340-001(Design Patent)</t>
  </si>
  <si>
    <t>COMPACT SMART HOUSEHOLD BIOGAS SYSTEM
 FOR KITCHEN WASTE CONVERSION AND
 SUSTAINABLE ENERGY GENERATION</t>
  </si>
  <si>
    <t>20-11-2025</t>
  </si>
  <si>
    <t>COMPACT MMWAVE SMART SWITCH SYSTEM
 INTEGRATING NON-CONTACT HEALTH
 MONITORING AND SMART HOME AUTOMATI</t>
  </si>
  <si>
    <t>REMOTE PATIENT HEALTH MONITORING
 SYSTEM USING AN OPENTHREAD WIRELESS
 MESH NETWORK AND CLOUD-BASED IO</t>
  </si>
  <si>
    <t>BIODEGRADABLE CONDUCTIVE SHELLAC-BASED
 INK FOR DISPOSABLE PRINTED ELECTRONICS</t>
  </si>
  <si>
    <t>SMART DIGITAL PEN AND DOT-MATRIX PAPER
 SYSTEM FOR REAL-TIME HANDWRITING
 DIGITIZATION</t>
  </si>
  <si>
    <t>21-11-2025</t>
  </si>
  <si>
    <t>A SMART ASSISTIVE CANE FOR AIDING MOBILITY
 AND SAFETY OF VISUALLY IMPAIRED AND ELDERLY USERS</t>
  </si>
  <si>
    <t>FILING UNDER PROCESS</t>
  </si>
  <si>
    <t>AIR STABLE NA-ION BATTERY SYSTEM FOR SAFER ENERGY</t>
  </si>
  <si>
    <t>COMFINA - AN INTEGRATED DUAL PURPOSE WATER BOTTLE WITH CLOSED LOOP ABDOMINAL HEATING MODULE</t>
  </si>
  <si>
    <t>SOLESENCE - AN AI-POWERED SUSTAINABLE FOOT POSTURE MONITORING AND CORRECTION INSIDE</t>
  </si>
  <si>
    <t>UPRYTE - AN ADAPTIVE SMART BACK POSTURE DETECTION WEARABLE DEVICE WITH AI CALIBRATION AND CONTEXT AWARE FEEDBACK</t>
  </si>
  <si>
    <t>VIBRION - ADUAL FUNCTION PORTABLE HYDRATION AND MUSCLE MASSAGE BOTTLE</t>
  </si>
  <si>
    <t>DIGIRAKSHAK</t>
  </si>
  <si>
    <t>FERTOBOT</t>
  </si>
  <si>
    <t>AIRXMEDIC</t>
  </si>
  <si>
    <t>AI BASED ADAPTIVE vr FOR DENTAL</t>
  </si>
  <si>
    <t>INDIGENIOUS KAMAAZE DRONE</t>
  </si>
  <si>
    <t>IRON LUNG – SMART RESPIRATORY TRAINING SYSTEM FOR POLLUTION EXPOSED POPULATIONS</t>
  </si>
  <si>
    <t>Remark</t>
  </si>
  <si>
    <t>Submitted PPT</t>
  </si>
  <si>
    <t>Director Email</t>
  </si>
  <si>
    <t>director.001@aktu.ac.in</t>
  </si>
  <si>
    <t>director.002@aktu.ac.in</t>
  </si>
  <si>
    <t>director.003@aktu.ac.in</t>
  </si>
  <si>
    <t>director.004@aktu.ac.in</t>
  </si>
  <si>
    <t>director.005@aktu.ac.in</t>
  </si>
  <si>
    <t>director.006@aktu.ac.in</t>
  </si>
  <si>
    <t>director.007@aktu.ac.in</t>
  </si>
  <si>
    <t>director.010@aktu.ac.in</t>
  </si>
  <si>
    <t>director.011@aktu.ac.in</t>
  </si>
  <si>
    <t>director.012@aktu.ac.in</t>
  </si>
  <si>
    <t>director.013@aktu.ac.in</t>
  </si>
  <si>
    <t>director.014@aktu.ac.in</t>
  </si>
  <si>
    <t>director.015@aktu.ac.in</t>
  </si>
  <si>
    <t>director.016@aktu.ac.in</t>
  </si>
  <si>
    <t>director.017@aktu.ac.in</t>
  </si>
  <si>
    <t>director.018@aktu.ac.in</t>
  </si>
  <si>
    <t>director.019@aktu.ac.in</t>
  </si>
  <si>
    <t>director.026@aktu.ac.in</t>
  </si>
  <si>
    <t>director.027@aktu.ac.in</t>
  </si>
  <si>
    <t>director.028@aktu.ac.in</t>
  </si>
  <si>
    <t>director.029@aktu.ac.in</t>
  </si>
  <si>
    <t>director.030@aktu.ac.in</t>
  </si>
  <si>
    <t>director.032@aktu.ac.in</t>
  </si>
  <si>
    <t>director.033@aktu.ac.in</t>
  </si>
  <si>
    <t>director.034@aktu.ac.in</t>
  </si>
  <si>
    <t>director.035@aktu.ac.in</t>
  </si>
  <si>
    <t>director.036@aktu.ac.in</t>
  </si>
  <si>
    <t>director.037@aktu.ac.in</t>
  </si>
  <si>
    <t>director.038@aktu.ac.in</t>
  </si>
  <si>
    <t>director.039@aktu.ac.in</t>
  </si>
  <si>
    <t>director.040@aktu.ac.in</t>
  </si>
  <si>
    <t>director.041@aktu.ac.in</t>
  </si>
  <si>
    <t>director.042@aktu.ac.in</t>
  </si>
  <si>
    <t>director.043@aktu.ac.in</t>
  </si>
  <si>
    <t>director.044@aktu.ac.in</t>
  </si>
  <si>
    <t>director.045@aktu.ac.in</t>
  </si>
  <si>
    <t>director.046@aktu.ac.in</t>
  </si>
  <si>
    <t>director.047@aktu.ac.in</t>
  </si>
  <si>
    <t>director.048@aktu.ac.in</t>
  </si>
  <si>
    <t>director.050@aktu.ac.in</t>
  </si>
  <si>
    <t>director.051@aktu.ac.in</t>
  </si>
  <si>
    <t>director.052@aktu.ac.in</t>
  </si>
  <si>
    <t>director.053@aktu.ac.in</t>
  </si>
  <si>
    <t>director.054@aktu.ac.in</t>
  </si>
  <si>
    <t>director.056@aktu.ac.in</t>
  </si>
  <si>
    <t>director.057@aktu.ac.in</t>
  </si>
  <si>
    <t>director.058@aktu.ac.in</t>
  </si>
  <si>
    <t>director.059@aktu.ac.in</t>
  </si>
  <si>
    <t>director.060@aktu.ac.in</t>
  </si>
  <si>
    <t>director.061@aktu.ac.in</t>
  </si>
  <si>
    <t>director.062@aktu.ac.in</t>
  </si>
  <si>
    <t>director.063@aktu.ac.in</t>
  </si>
  <si>
    <t>director.064@aktu.ac.in</t>
  </si>
  <si>
    <t>director.065@aktu.ac.in</t>
  </si>
  <si>
    <t>director.066@aktu.ac.in</t>
  </si>
  <si>
    <t>director.067@aktu.ac.in</t>
  </si>
  <si>
    <t>director.068@aktu.ac.in</t>
  </si>
  <si>
    <t>director.069@aktu.ac.in</t>
  </si>
  <si>
    <t>director.070@aktu.ac.in</t>
  </si>
  <si>
    <t>director.072@aktu.ac.in</t>
  </si>
  <si>
    <t>director.074@aktu.ac.in</t>
  </si>
  <si>
    <t>director.076@aktu.ac.in</t>
  </si>
  <si>
    <t>director.077@aktu.ac.in</t>
  </si>
  <si>
    <t>director.078@aktu.ac.in</t>
  </si>
  <si>
    <t>director.079@aktu.ac.in</t>
  </si>
  <si>
    <t>director.081@aktu.ac.in</t>
  </si>
  <si>
    <t>director.082@aktu.ac.in</t>
  </si>
  <si>
    <t>director.083@aktu.ac.in</t>
  </si>
  <si>
    <t>director.084@aktu.ac.in</t>
  </si>
  <si>
    <t>director.085@aktu.ac.in</t>
  </si>
  <si>
    <t>director.088@aktu.ac.in</t>
  </si>
  <si>
    <t>director.089@aktu.ac.in</t>
  </si>
  <si>
    <t>director.090@aktu.ac.in</t>
  </si>
  <si>
    <t>director.091@aktu.ac.in</t>
  </si>
  <si>
    <t>director.092@aktu.ac.in</t>
  </si>
  <si>
    <t>director.093@aktu.ac.in</t>
  </si>
  <si>
    <t>Keyboard &amp; Mouse</t>
  </si>
  <si>
    <t>director.094@aktu.ac.in</t>
  </si>
  <si>
    <t>director.095@aktu.ac.in</t>
  </si>
  <si>
    <t>director.096@aktu.ac.in</t>
  </si>
  <si>
    <t>director.097@aktu.ac.in</t>
  </si>
  <si>
    <t>director.098@aktu.ac.in</t>
  </si>
  <si>
    <t>director.099@aktu.ac.in</t>
  </si>
  <si>
    <t>director.1000@aktu.ac.in</t>
  </si>
  <si>
    <t>director.1001@aktu.ac.in</t>
  </si>
  <si>
    <t>director.1002@aktu.ac.in</t>
  </si>
  <si>
    <t>director.1003@aktu.ac.in</t>
  </si>
  <si>
    <t>director.1004@aktu.ac.in</t>
  </si>
  <si>
    <t>director.1005@aktu.ac.in</t>
  </si>
  <si>
    <t>director.1006@aktu.ac.in</t>
  </si>
  <si>
    <t>director.1007@aktu.ac.in</t>
  </si>
  <si>
    <t>director.1008@aktu.ac.in</t>
  </si>
  <si>
    <t>director.1009@aktu.ac.in</t>
  </si>
  <si>
    <t>director.1010@aktu.ac.in</t>
  </si>
  <si>
    <t>director.1011@aktu.ac.in</t>
  </si>
  <si>
    <t>director.1012@aktu.ac.in</t>
  </si>
  <si>
    <t>director.1013@aktu.ac.in</t>
  </si>
  <si>
    <t>director.1014@aktu.ac.in</t>
  </si>
  <si>
    <t>director.1015@aktu.ac.in</t>
  </si>
  <si>
    <t>director.1016@aktu.ac.in</t>
  </si>
  <si>
    <t>director.1017@aktu.ac.in</t>
  </si>
  <si>
    <t>director.1018@aktu.ac.in</t>
  </si>
  <si>
    <t>director.1019@aktu.ac.in</t>
  </si>
  <si>
    <t>director.1020@aktu.ac.in</t>
  </si>
  <si>
    <t>director.1021@aktu.ac.in</t>
  </si>
  <si>
    <t>director.1022@aktu.ac.in</t>
  </si>
  <si>
    <t>director.1023@aktu.ac.in</t>
  </si>
  <si>
    <t>director.1024@aktu.ac.in</t>
  </si>
  <si>
    <t>director.1025@aktu.ac.in</t>
  </si>
  <si>
    <t>director.1026@aktu.ac.in</t>
  </si>
  <si>
    <t>director.1027@aktu.ac.in</t>
  </si>
  <si>
    <t>director.1028@aktu.ac.in</t>
  </si>
  <si>
    <t>director.1029@aktu.ac.in</t>
  </si>
  <si>
    <t>director.103@aktu.ac.in</t>
  </si>
  <si>
    <t>director.1030@aktu.ac.in</t>
  </si>
  <si>
    <t>director.1031@aktu.ac.in</t>
  </si>
  <si>
    <t>director.1032@aktu.ac.in</t>
  </si>
  <si>
    <t>director.1033@aktu.ac.in</t>
  </si>
  <si>
    <t>director.1034@aktu.ac.in</t>
  </si>
  <si>
    <t>director.1035@aktu.ac.in</t>
  </si>
  <si>
    <t>director.1036@aktu.ac.in</t>
  </si>
  <si>
    <t>director.1037@aktu.ac.in</t>
  </si>
  <si>
    <t>director.1038@aktu.ac.in</t>
  </si>
  <si>
    <t>director.1039@aktu.ac.in</t>
  </si>
  <si>
    <t>director.104@aktu.ac.in</t>
  </si>
  <si>
    <t>director.1040@aktu.ac.in</t>
  </si>
  <si>
    <t>director.1041@aktu.ac.in</t>
  </si>
  <si>
    <t>director.1042@aktu.ac.in</t>
  </si>
  <si>
    <t>director.1043@aktu.ac.in</t>
  </si>
  <si>
    <t>director.1044@aktu.ac.in</t>
  </si>
  <si>
    <t>director.1045@aktu.ac.in</t>
  </si>
  <si>
    <t>director.1046@aktu.ac.in</t>
  </si>
  <si>
    <t>director.1047@aktu.ac.in</t>
  </si>
  <si>
    <t>director.1048@aktu.ac.in</t>
  </si>
  <si>
    <t>director.1049@aktu.ac.in</t>
  </si>
  <si>
    <t>director.1050@aktu.ac.in</t>
  </si>
  <si>
    <t>director.1051@aktu.ac.in</t>
  </si>
  <si>
    <t>director.1052@aktu.ac.in</t>
  </si>
  <si>
    <t>director.1053@aktu.ac.in</t>
  </si>
  <si>
    <t>director.1054@aktu.ac.in</t>
  </si>
  <si>
    <t>director.1055@aktu.ac.in</t>
  </si>
  <si>
    <t>director.1056@aktu.ac.in</t>
  </si>
  <si>
    <t>director.1057@aktu.ac.in</t>
  </si>
  <si>
    <t>director.1058@aktu.ac.in</t>
  </si>
  <si>
    <t>director.1059@aktu.ac.in</t>
  </si>
  <si>
    <t>director.106@aktu.ac.in</t>
  </si>
  <si>
    <t>director.1060@aktu.ac.in</t>
  </si>
  <si>
    <t>director.1061@aktu.ac.in</t>
  </si>
  <si>
    <t>director.1062@aktu.ac.in</t>
  </si>
  <si>
    <t>director.1063@aktu.ac.in</t>
  </si>
  <si>
    <t>director.1064@aktu.ac.in</t>
  </si>
  <si>
    <t>director.1065@aktu.ac.in</t>
  </si>
  <si>
    <t>director.1066@aktu.ac.in</t>
  </si>
  <si>
    <t>director.1067@aktu.ac.in</t>
  </si>
  <si>
    <t>director.1068@aktu.ac.in</t>
  </si>
  <si>
    <t>director.1069@aktu.ac.in</t>
  </si>
  <si>
    <t>director.107@aktu.ac.in</t>
  </si>
  <si>
    <t>director.1070@aktu.ac.in</t>
  </si>
  <si>
    <t>director.1071@aktu.ac.in</t>
  </si>
  <si>
    <t>director.1072@aktu.ac.in</t>
  </si>
  <si>
    <t>director.1073@aktu.ac.in</t>
  </si>
  <si>
    <t>director.1074@aktu.ac.in</t>
  </si>
  <si>
    <t>director.1075@aktu.ac.in</t>
  </si>
  <si>
    <t>director.1076@aktu.ac.in</t>
  </si>
  <si>
    <t>director.1077@aktu.ac.in</t>
  </si>
  <si>
    <t>director.1078@aktu.ac.in</t>
  </si>
  <si>
    <t>director.1079@aktu.ac.in</t>
  </si>
  <si>
    <t>director.108@aktu.ac.in</t>
  </si>
  <si>
    <t>director.1080@aktu.ac.in</t>
  </si>
  <si>
    <t>director.1081@aktu.ac.in</t>
  </si>
  <si>
    <t>director.1082@aktu.ac.in</t>
  </si>
  <si>
    <t>director.1083@aktu.ac.in</t>
  </si>
  <si>
    <t>director.1084@aktu.ac.in</t>
  </si>
  <si>
    <t>director.1085@aktu.ac.in</t>
  </si>
  <si>
    <t>director.1086@aktu.ac.in</t>
  </si>
  <si>
    <t>director.1087@aktu.ac.in</t>
  </si>
  <si>
    <t>director.1088@aktu.ac.in</t>
  </si>
  <si>
    <t>director.1089@aktu.ac.in</t>
  </si>
  <si>
    <t>director.109@aktu.ac.in</t>
  </si>
  <si>
    <t>director.1090@aktu.ac.in</t>
  </si>
  <si>
    <t>director.1091@aktu.ac.in</t>
  </si>
  <si>
    <t>director.1092@aktu.ac.in</t>
  </si>
  <si>
    <t>director.1093@aktu.ac.in</t>
  </si>
  <si>
    <t>director.1094@aktu.ac.in</t>
  </si>
  <si>
    <t>director.1095@aktu.ac.in</t>
  </si>
  <si>
    <t>director.1096@aktu.ac.in</t>
  </si>
  <si>
    <t>director.1097@aktu.ac.in</t>
  </si>
  <si>
    <t>director.1098@aktu.ac.in</t>
  </si>
  <si>
    <t>director.1099@aktu.ac.in</t>
  </si>
  <si>
    <t>director.110@aktu.ac.in</t>
  </si>
  <si>
    <t>director.1100@aktu.ac.in</t>
  </si>
  <si>
    <t>director.1101@aktu.ac.in</t>
  </si>
  <si>
    <t>director.1102@aktu.ac.in</t>
  </si>
  <si>
    <t>director.1103@aktu.ac.in</t>
  </si>
  <si>
    <t>director.1104@aktu.ac.in</t>
  </si>
  <si>
    <t>director.1105@aktu.ac.in</t>
  </si>
  <si>
    <t>director.1106@aktu.ac.in</t>
  </si>
  <si>
    <t>director.1107@aktu.ac.in</t>
  </si>
  <si>
    <t>director.1108@aktu.ac.in</t>
  </si>
  <si>
    <t>director.1109@aktu.ac.in</t>
  </si>
  <si>
    <t>director.1110@aktu.ac.in</t>
  </si>
  <si>
    <t>director.1111@aktu.ac.in</t>
  </si>
  <si>
    <t>director.1112@aktu.ac.in</t>
  </si>
  <si>
    <t>director.1113@aktu.ac.in</t>
  </si>
  <si>
    <t>director.1114@aktu.ac.in</t>
  </si>
  <si>
    <t>director.1115@aktu.ac.in</t>
  </si>
  <si>
    <t>director.1116@aktu.ac.in</t>
  </si>
  <si>
    <t>director.1117@aktu.ac.in</t>
  </si>
  <si>
    <t>director.1118@aktu.ac.in</t>
  </si>
  <si>
    <t>director.1119@aktu.ac.in</t>
  </si>
  <si>
    <t>director.112@aktu.ac.in</t>
  </si>
  <si>
    <t>director.1120@aktu.ac.in</t>
  </si>
  <si>
    <t>director.1121@aktu.ac.in</t>
  </si>
  <si>
    <t>director.1122@aktu.ac.in</t>
  </si>
  <si>
    <t>director.1123@aktu.ac.in</t>
  </si>
  <si>
    <t>director.1124@aktu.ac.in</t>
  </si>
  <si>
    <t>director.1125@aktu.ac.in</t>
  </si>
  <si>
    <t>director.1126@aktu.ac.in</t>
  </si>
  <si>
    <t>director.1127@aktu.ac.in</t>
  </si>
  <si>
    <t>director.1128@aktu.ac.in</t>
  </si>
  <si>
    <t>director.1129@aktu.ac.in</t>
  </si>
  <si>
    <t>director.113@aktu.ac.in</t>
  </si>
  <si>
    <t>director.1130@aktu.ac.in</t>
  </si>
  <si>
    <t>director.1131@aktu.ac.in</t>
  </si>
  <si>
    <t>director.1132@aktu.ac.in</t>
  </si>
  <si>
    <t>director.1133@aktu.ac.in</t>
  </si>
  <si>
    <t>director.1134@aktu.ac.in</t>
  </si>
  <si>
    <t>director.1135@aktu.ac.in</t>
  </si>
  <si>
    <t>director.1136@aktu.ac.in</t>
  </si>
  <si>
    <t>director.1137@aktu.ac.in</t>
  </si>
  <si>
    <t>director.1138@aktu.ac.in</t>
  </si>
  <si>
    <t>director.1139@aktu.ac.in</t>
  </si>
  <si>
    <t>director.114@aktu.ac.in</t>
  </si>
  <si>
    <t>director.1140@aktu.ac.in</t>
  </si>
  <si>
    <t>director.1141@aktu.ac.in</t>
  </si>
  <si>
    <t>director.1142@aktu.ac.in</t>
  </si>
  <si>
    <t>director.1143@aktu.ac.in</t>
  </si>
  <si>
    <t>director.1144@aktu.ac.in</t>
  </si>
  <si>
    <t>director.1145@aktu.ac.in</t>
  </si>
  <si>
    <t>director.1146@aktu.ac.in</t>
  </si>
  <si>
    <t>director.1147@aktu.ac.in</t>
  </si>
  <si>
    <t>director.1148@aktu.ac.in</t>
  </si>
  <si>
    <t>director.1149@aktu.ac.in</t>
  </si>
  <si>
    <t>director.115@aktu.ac.in</t>
  </si>
  <si>
    <t>director.1150@aktu.ac.in</t>
  </si>
  <si>
    <t>director.1151@aktu.ac.in</t>
  </si>
  <si>
    <t>director.1152@aktu.ac.in</t>
  </si>
  <si>
    <t>director.1154@aktu.ac.in</t>
  </si>
  <si>
    <t>director.1155@aktu.ac.in</t>
  </si>
  <si>
    <t>director.1156@aktu.ac.in</t>
  </si>
  <si>
    <t>director.1157@aktu.ac.in</t>
  </si>
  <si>
    <t>director.1158@aktu.ac.in</t>
  </si>
  <si>
    <t>director.1159@aktu.ac.in</t>
  </si>
  <si>
    <t>director.116@aktu.ac.in</t>
  </si>
  <si>
    <t>director.1160@aktu.ac.in</t>
  </si>
  <si>
    <t>director.1162@aktu.ac.in</t>
  </si>
  <si>
    <t>director.1166@aktu.ac.in</t>
  </si>
  <si>
    <t>director.1167@aktu.ac.in</t>
  </si>
  <si>
    <t>director.1168@aktu.ac.in</t>
  </si>
  <si>
    <t>director.1169@aktu.ac.in</t>
  </si>
  <si>
    <t>director.117@aktu.ac.in</t>
  </si>
  <si>
    <t>director.1170@aktu.ac.in</t>
  </si>
  <si>
    <t>director.1171@aktu.ac.in</t>
  </si>
  <si>
    <t>director.1172@aktu.ac.in</t>
  </si>
  <si>
    <t>director.1173@aktu.ac.in</t>
  </si>
  <si>
    <t>director.1174@aktu.ac.in</t>
  </si>
  <si>
    <t>director.1175@aktu.ac.in</t>
  </si>
  <si>
    <t>director.1176@aktu.ac.in</t>
  </si>
  <si>
    <t>director.1177@aktu.ac.in</t>
  </si>
  <si>
    <t>director.1178@aktu.ac.in</t>
  </si>
  <si>
    <t>director.1179@aktu.ac.in</t>
  </si>
  <si>
    <t>director.118@aktu.ac.in</t>
  </si>
  <si>
    <t>director.1180@aktu.ac.in</t>
  </si>
  <si>
    <t>director.1181@aktu.ac.in</t>
  </si>
  <si>
    <t>director.1182@aktu.ac.in</t>
  </si>
  <si>
    <t>director.1183@aktu.ac.in</t>
  </si>
  <si>
    <t>director.1184@aktu.ac.in</t>
  </si>
  <si>
    <t>director.1185@aktu.ac.in</t>
  </si>
  <si>
    <t>director.1186@aktu.ac.in</t>
  </si>
  <si>
    <t>director.1187@aktu.ac.in</t>
  </si>
  <si>
    <t>director.1188@aktu.ac.in</t>
  </si>
  <si>
    <t>director.1189@aktu.ac.in</t>
  </si>
  <si>
    <t>director.1190@aktu.ac.in</t>
  </si>
  <si>
    <t>director.1191@aktu.ac.in</t>
  </si>
  <si>
    <t>director.1192@aktu.ac.in</t>
  </si>
  <si>
    <t>director.1193@aktu.ac.in</t>
  </si>
  <si>
    <t>director.1194@aktu.ac.in</t>
  </si>
  <si>
    <t>director.1195@aktu.ac.in</t>
  </si>
  <si>
    <t>director.1196@aktu.ac.in</t>
  </si>
  <si>
    <t>director.1197@aktu.ac.in</t>
  </si>
  <si>
    <t>director.1198@aktu.ac.in</t>
  </si>
  <si>
    <t>director.1199@aktu.ac.in</t>
  </si>
  <si>
    <t>director.120@aktu.ac.in</t>
  </si>
  <si>
    <t>director.1200@aktu.ac.in</t>
  </si>
  <si>
    <t>director.1201@aktu.ac.in</t>
  </si>
  <si>
    <t>director.1202@aktu.ac.in</t>
  </si>
  <si>
    <t>director.1203@aktu.ac.in</t>
  </si>
  <si>
    <t>director.1204@aktu.ac.in</t>
  </si>
  <si>
    <t>director.1205@aktu.ac.in</t>
  </si>
  <si>
    <t>director.1206@aktu.ac.in</t>
  </si>
  <si>
    <t>director.1207@aktu.ac.in</t>
  </si>
  <si>
    <t>director.1208@aktu.ac.in</t>
  </si>
  <si>
    <t>director.1209@aktu.ac.in</t>
  </si>
  <si>
    <t>director.121@aktu.ac.in</t>
  </si>
  <si>
    <t>director.1210@aktu.ac.in</t>
  </si>
  <si>
    <t>director.1211@aktu.ac.in</t>
  </si>
  <si>
    <t>director.1212@aktu.ac.in</t>
  </si>
  <si>
    <t>director.1213@aktu.ac.in</t>
  </si>
  <si>
    <t>director.1214@aktu.ac.in</t>
  </si>
  <si>
    <t>director.1215@aktu.ac.in</t>
  </si>
  <si>
    <t>director.1216@aktu.ac.in</t>
  </si>
  <si>
    <t>director.122@aktu.ac.in</t>
  </si>
  <si>
    <t>director.123@aktu.ac.in</t>
  </si>
  <si>
    <t>director.124@aktu.ac.in</t>
  </si>
  <si>
    <t>director.126@aktu.ac.in</t>
  </si>
  <si>
    <t>director.127@aktu.ac.in</t>
  </si>
  <si>
    <t>director.128@aktu.ac.in</t>
  </si>
  <si>
    <t>director.129@aktu.ac.in</t>
  </si>
  <si>
    <t>Tailbaby</t>
  </si>
  <si>
    <t>director.132@aktu.ac.in</t>
  </si>
  <si>
    <t>director.133@aktu.ac.in</t>
  </si>
  <si>
    <t>director.134@aktu.ac.in</t>
  </si>
  <si>
    <t>director.135@aktu.ac.in</t>
  </si>
  <si>
    <t>director.136@aktu.ac.in</t>
  </si>
  <si>
    <t>director.138@aktu.ac.in</t>
  </si>
  <si>
    <t>director.139@aktu.ac.in</t>
  </si>
  <si>
    <t>director.140@aktu.ac.in</t>
  </si>
  <si>
    <t>Chandan sir</t>
  </si>
  <si>
    <t>director.141@aktu.ac.in</t>
  </si>
  <si>
    <t>director.142@aktu.ac.in</t>
  </si>
  <si>
    <t>director.143@aktu.ac.in</t>
  </si>
  <si>
    <t>director.144@aktu.ac.in</t>
  </si>
  <si>
    <t>director.145@aktu.ac.in</t>
  </si>
  <si>
    <t>director.146@aktu.ac.in</t>
  </si>
  <si>
    <t>director.147@aktu.ac.in</t>
  </si>
  <si>
    <t>director.148@aktu.ac.in</t>
  </si>
  <si>
    <t>director.149@aktu.ac.in</t>
  </si>
  <si>
    <t>director.150@aktu.ac.in</t>
  </si>
  <si>
    <t>director.151@aktu.ac.in</t>
  </si>
  <si>
    <t>director.152@aktu.ac.in</t>
  </si>
  <si>
    <t>director.153@aktu.ac.in</t>
  </si>
  <si>
    <t>director.154@aktu.ac.in</t>
  </si>
  <si>
    <t>director.155@aktu.ac.in</t>
  </si>
  <si>
    <t>director.157@aktu.ac.in</t>
  </si>
  <si>
    <t>director.158@aktu.ac.in</t>
  </si>
  <si>
    <t>director.159@aktu.ac.in</t>
  </si>
  <si>
    <t>director.161@aktu.ac.in</t>
  </si>
  <si>
    <t>director.162@aktu.ac.in</t>
  </si>
  <si>
    <t>director.163@aktu.ac.in</t>
  </si>
  <si>
    <t>director.164@aktu.ac.in</t>
  </si>
  <si>
    <t>director.165@aktu.ac.in</t>
  </si>
  <si>
    <t>director.166@aktu.ac.in</t>
  </si>
  <si>
    <t>director.167@aktu.ac.in</t>
  </si>
  <si>
    <t>director.168@aktu.ac.in</t>
  </si>
  <si>
    <t>director.169@aktu.ac.in</t>
  </si>
  <si>
    <t>director.170@aktu.ac.in</t>
  </si>
  <si>
    <t>Manvendra sir</t>
  </si>
  <si>
    <t>director.171@aktu.ac.in</t>
  </si>
  <si>
    <t>director.172@aktu.ac.in</t>
  </si>
  <si>
    <t>director.173@aktu.ac.in</t>
  </si>
  <si>
    <t>director.174@aktu.ac.in</t>
  </si>
  <si>
    <t>director.175@aktu.ac.in</t>
  </si>
  <si>
    <t>director.177@aktu.ac.in</t>
  </si>
  <si>
    <t>director.179@aktu.ac.in</t>
  </si>
  <si>
    <t>director.180@aktu.ac.in</t>
  </si>
  <si>
    <t>director.181@aktu.ac.in</t>
  </si>
  <si>
    <t>director.182@aktu.ac.in</t>
  </si>
  <si>
    <t>director.183@aktu.ac.in</t>
  </si>
  <si>
    <t>director.185@aktu.ac.in</t>
  </si>
  <si>
    <t>director.186@aktu.ac.in</t>
  </si>
  <si>
    <t>director.187@aktu.ac.in</t>
  </si>
  <si>
    <t>director.188@aktu.ac.in</t>
  </si>
  <si>
    <t>director.189@aktu.ac.in</t>
  </si>
  <si>
    <t>director.190@aktu.ac.in</t>
  </si>
  <si>
    <t>director.191@aktu.ac.in</t>
  </si>
  <si>
    <t>director.192@aktu.ac.in</t>
  </si>
  <si>
    <t>director.193@aktu.ac.in</t>
  </si>
  <si>
    <t>director.194@aktu.ac.in</t>
  </si>
  <si>
    <t>director.195@aktu.ac.in</t>
  </si>
  <si>
    <t>director.196@aktu.ac.in</t>
  </si>
  <si>
    <t>director.197@aktu.ac.in</t>
  </si>
  <si>
    <t>director.198@aktu.ac.in</t>
  </si>
  <si>
    <t>director.199@aktu.ac.in</t>
  </si>
  <si>
    <t>director.200@aktu.ac.in</t>
  </si>
  <si>
    <t>director.201@aktu.ac.in</t>
  </si>
  <si>
    <t>director.202@aktu.ac.in</t>
  </si>
  <si>
    <t>replacing plastic with biodegradable material</t>
  </si>
  <si>
    <t>director.203@aktu.ac.in</t>
  </si>
  <si>
    <t>director.204@aktu.ac.in</t>
  </si>
  <si>
    <t>director.205@aktu.ac.in</t>
  </si>
  <si>
    <t>director.206@aktu.ac.in</t>
  </si>
  <si>
    <t>director.207@aktu.ac.in</t>
  </si>
  <si>
    <t>director.210@aktu.ac.in</t>
  </si>
  <si>
    <t>director.211@aktu.ac.in</t>
  </si>
  <si>
    <t>director.212@aktu.ac.in</t>
  </si>
  <si>
    <t>director.214@aktu.ac.in</t>
  </si>
  <si>
    <t>director.215@aktu.ac.in</t>
  </si>
  <si>
    <t>director.216@aktu.ac.in</t>
  </si>
  <si>
    <t>director.219@aktu.ac.in</t>
  </si>
  <si>
    <t>director.220@aktu.ac.in</t>
  </si>
  <si>
    <t>director.221@aktu.ac.in</t>
  </si>
  <si>
    <t>director.222@aktu.ac.in</t>
  </si>
  <si>
    <t>director.223@aktu.ac.in</t>
  </si>
  <si>
    <t>director.224@aktu.ac.in</t>
  </si>
  <si>
    <t>director.225@aktu.ac.in</t>
  </si>
  <si>
    <t>director.226@aktu.ac.in</t>
  </si>
  <si>
    <t>director.227@aktu.ac.in</t>
  </si>
  <si>
    <t>director.228@aktu.ac.in</t>
  </si>
  <si>
    <t>director.229@aktu.ac.in</t>
  </si>
  <si>
    <t>director.230@aktu.ac.in</t>
  </si>
  <si>
    <t>director.231@aktu.ac.in</t>
  </si>
  <si>
    <t>director.232@aktu.ac.in</t>
  </si>
  <si>
    <t>director.233@aktu.ac.in</t>
  </si>
  <si>
    <t>director.234@aktu.ac.in</t>
  </si>
  <si>
    <t>director.235@aktu.ac.in</t>
  </si>
  <si>
    <t>director.236@aktu.ac.in</t>
  </si>
  <si>
    <t>director.237@aktu.ac.in</t>
  </si>
  <si>
    <t>director.238@aktu.ac.in</t>
  </si>
  <si>
    <t>director.239@aktu.ac.in</t>
  </si>
  <si>
    <t>director.240@aktu.ac.in</t>
  </si>
  <si>
    <t>director.241@aktu.ac.in</t>
  </si>
  <si>
    <t>director.242@aktu.ac.in</t>
  </si>
  <si>
    <t>director.243@aktu.ac.in</t>
  </si>
  <si>
    <t>director.244@aktu.ac.in</t>
  </si>
  <si>
    <t>director.245@aktu.ac.in</t>
  </si>
  <si>
    <t>director.246@aktu.ac.in</t>
  </si>
  <si>
    <t>director.247@aktu.ac.in</t>
  </si>
  <si>
    <t>director.248@aktu.ac.in</t>
  </si>
  <si>
    <t>director.249@aktu.ac.in</t>
  </si>
  <si>
    <t>director.251@aktu.ac.in</t>
  </si>
  <si>
    <t>director.252@aktu.ac.in</t>
  </si>
  <si>
    <t>director.254@aktu.ac.in</t>
  </si>
  <si>
    <t>director.255@aktu.ac.in</t>
  </si>
  <si>
    <t>director.256@aktu.ac.in</t>
  </si>
  <si>
    <t>director.257@aktu.ac.in</t>
  </si>
  <si>
    <t>director.258@aktu.ac.in</t>
  </si>
  <si>
    <t>director.259@aktu.ac.in</t>
  </si>
  <si>
    <t>director.260@aktu.ac.in</t>
  </si>
  <si>
    <t>director.261@aktu.ac.in</t>
  </si>
  <si>
    <t>director.262@aktu.ac.in</t>
  </si>
  <si>
    <t>director.263@aktu.ac.in</t>
  </si>
  <si>
    <t>director.264@aktu.ac.in</t>
  </si>
  <si>
    <t>director.265@aktu.ac.in</t>
  </si>
  <si>
    <t>director.266@aktu.ac.in</t>
  </si>
  <si>
    <t>director.267@aktu.ac.in</t>
  </si>
  <si>
    <t>director.268@aktu.ac.in</t>
  </si>
  <si>
    <t>director.269@aktu.ac.in</t>
  </si>
  <si>
    <t>director.270@aktu.ac.in</t>
  </si>
  <si>
    <t>director.271@aktu.ac.in</t>
  </si>
  <si>
    <t>director.272@aktu.ac.in</t>
  </si>
  <si>
    <t>director.273@aktu.ac.in</t>
  </si>
  <si>
    <t>director.274@aktu.ac.in</t>
  </si>
  <si>
    <t>director.275@aktu.ac.in</t>
  </si>
  <si>
    <t>director.276@aktu.ac.in</t>
  </si>
  <si>
    <t>director.277@aktu.ac.in</t>
  </si>
  <si>
    <t>director.280@aktu.ac.in</t>
  </si>
  <si>
    <t>director.281@aktu.ac.in</t>
  </si>
  <si>
    <t>director.282@aktu.ac.in</t>
  </si>
  <si>
    <t>director.283@aktu.ac.in</t>
  </si>
  <si>
    <t>director.284@aktu.ac.in</t>
  </si>
  <si>
    <t>director.285@aktu.ac.in</t>
  </si>
  <si>
    <t>director.286@aktu.ac.in</t>
  </si>
  <si>
    <t>director.287@aktu.ac.in</t>
  </si>
  <si>
    <t>director.288@aktu.ac.in</t>
  </si>
  <si>
    <t>director.289@aktu.ac.in</t>
  </si>
  <si>
    <t>director.290@aktu.ac.in</t>
  </si>
  <si>
    <t>director.291@aktu.ac.in</t>
  </si>
  <si>
    <t>director.292@aktu.ac.in</t>
  </si>
  <si>
    <t>director.293@aktu.ac.in</t>
  </si>
  <si>
    <t>director.295@aktu.ac.in</t>
  </si>
  <si>
    <t>director.299@aktu.ac.in</t>
  </si>
  <si>
    <t>director.300@aktu.ac.in</t>
  </si>
  <si>
    <t>director.301@aktu.ac.in</t>
  </si>
  <si>
    <t>director.303@aktu.ac.in</t>
  </si>
  <si>
    <t>director.305@aktu.ac.in</t>
  </si>
  <si>
    <t>director.306@aktu.ac.in</t>
  </si>
  <si>
    <t>director.307@aktu.ac.in</t>
  </si>
  <si>
    <t>director.308@aktu.ac.in</t>
  </si>
  <si>
    <t>director.309@aktu.ac.in</t>
  </si>
  <si>
    <t>director.310@aktu.ac.in</t>
  </si>
  <si>
    <t>director.311@aktu.ac.in</t>
  </si>
  <si>
    <t>director.312@aktu.ac.in</t>
  </si>
  <si>
    <t>director.315@aktu.ac.in</t>
  </si>
  <si>
    <t>director.316@aktu.ac.in</t>
  </si>
  <si>
    <t>director.318@aktu.ac.in</t>
  </si>
  <si>
    <t>director.319@aktu.ac.in</t>
  </si>
  <si>
    <t>director.320@aktu.ac.in</t>
  </si>
  <si>
    <t>director.321@aktu.ac.in</t>
  </si>
  <si>
    <t>director.323@aktu.ac.in</t>
  </si>
  <si>
    <t>director.324@aktu.ac.in</t>
  </si>
  <si>
    <t>director.326@aktu.ac.in</t>
  </si>
  <si>
    <t>director.327@aktu.ac.in</t>
  </si>
  <si>
    <t>director.328@aktu.ac.in</t>
  </si>
  <si>
    <t>director.329@aktu.ac.in</t>
  </si>
  <si>
    <t>director.330@aktu.ac.in</t>
  </si>
  <si>
    <t>director.331@aktu.ac.in</t>
  </si>
  <si>
    <t>director.332@aktu.ac.in</t>
  </si>
  <si>
    <t>director.333@aktu.ac.in</t>
  </si>
  <si>
    <t>director.334@aktu.ac.in</t>
  </si>
  <si>
    <t>director.335@aktu.ac.in</t>
  </si>
  <si>
    <t>director.336@aktu.ac.in</t>
  </si>
  <si>
    <t>director.337@aktu.ac.in</t>
  </si>
  <si>
    <t>director.338@aktu.ac.in</t>
  </si>
  <si>
    <t>director.339@aktu.ac.in</t>
  </si>
  <si>
    <t>director.340@aktu.ac.in</t>
  </si>
  <si>
    <t>director.341@aktu.ac.in</t>
  </si>
  <si>
    <t>director.342@aktu.ac.in</t>
  </si>
  <si>
    <t>director.343@aktu.ac.in</t>
  </si>
  <si>
    <t>director.344@aktu.ac.in</t>
  </si>
  <si>
    <t>director.345@aktu.ac.in</t>
  </si>
  <si>
    <t>director.346@aktu.ac.in</t>
  </si>
  <si>
    <t>director.348@aktu.ac.in</t>
  </si>
  <si>
    <t>director.349@aktu.ac.in</t>
  </si>
  <si>
    <t>director.350@aktu.ac.in</t>
  </si>
  <si>
    <t>director.351@aktu.ac.in</t>
  </si>
  <si>
    <t>director.352@aktu.ac.in</t>
  </si>
  <si>
    <t>director.353@aktu.ac.in</t>
  </si>
  <si>
    <t>director.354@aktu.ac.in</t>
  </si>
  <si>
    <t>director.355@aktu.ac.in</t>
  </si>
  <si>
    <t>director.357@aktu.ac.in</t>
  </si>
  <si>
    <t>director.358@aktu.ac.in</t>
  </si>
  <si>
    <t>director.359@aktu.ac.in</t>
  </si>
  <si>
    <t>director.360@aktu.ac.in</t>
  </si>
  <si>
    <t>director.361@aktu.ac.in</t>
  </si>
  <si>
    <t>director.362@aktu.ac.in</t>
  </si>
  <si>
    <t>director.363@aktu.ac.in</t>
  </si>
  <si>
    <t>director.364@aktu.ac.in</t>
  </si>
  <si>
    <t>director.365@aktu.ac.in</t>
  </si>
  <si>
    <t>director.366@aktu.ac.in</t>
  </si>
  <si>
    <t>director.367@aktu.ac.in</t>
  </si>
  <si>
    <t>director.368@aktu.ac.in</t>
  </si>
  <si>
    <t>director.369@aktu.ac.in</t>
  </si>
  <si>
    <t>director.370@aktu.ac.in</t>
  </si>
  <si>
    <t>director.371@aktu.ac.in</t>
  </si>
  <si>
    <t>director.372@aktu.ac.in</t>
  </si>
  <si>
    <t>director.373@aktu.ac.in</t>
  </si>
  <si>
    <t>director.374@aktu.ac.in</t>
  </si>
  <si>
    <t>director.375@aktu.ac.in</t>
  </si>
  <si>
    <t>director.376@aktu.ac.in</t>
  </si>
  <si>
    <t>director.377@aktu.ac.in</t>
  </si>
  <si>
    <t>director.380@aktu.ac.in</t>
  </si>
  <si>
    <t>director.381@aktu.ac.in</t>
  </si>
  <si>
    <t>director.382@aktu.ac.in</t>
  </si>
  <si>
    <t>director.383@aktu.ac.in</t>
  </si>
  <si>
    <t>director.384@aktu.ac.in</t>
  </si>
  <si>
    <t>director.385@aktu.ac.in</t>
  </si>
  <si>
    <t>director.387@aktu.ac.in</t>
  </si>
  <si>
    <t>director.389@aktu.ac.in</t>
  </si>
  <si>
    <t>director.390@aktu.ac.in</t>
  </si>
  <si>
    <t>director.391@aktu.ac.in</t>
  </si>
  <si>
    <t>director.392@aktu.ac.in</t>
  </si>
  <si>
    <t>director.393@aktu.ac.in</t>
  </si>
  <si>
    <t>director.394@aktu.ac.in</t>
  </si>
  <si>
    <t>director.395@aktu.ac.in</t>
  </si>
  <si>
    <t>director.396@aktu.ac.in</t>
  </si>
  <si>
    <t>director.397@aktu.ac.in</t>
  </si>
  <si>
    <t>director.398@aktu.ac.in</t>
  </si>
  <si>
    <t>director.399@aktu.ac.in</t>
  </si>
  <si>
    <t>director.403@aktu.ac.in</t>
  </si>
  <si>
    <t>director.404@aktu.ac.in</t>
  </si>
  <si>
    <t>director.405@aktu.ac.in</t>
  </si>
  <si>
    <t>director.407@aktu.ac.in</t>
  </si>
  <si>
    <t>director.408@aktu.ac.in</t>
  </si>
  <si>
    <t>director.410@aktu.ac.in</t>
  </si>
  <si>
    <t>director.411@aktu.ac.in</t>
  </si>
  <si>
    <t>director.412@aktu.ac.in</t>
  </si>
  <si>
    <t>director.413@aktu.ac.in</t>
  </si>
  <si>
    <t>director.414@aktu.ac.in</t>
  </si>
  <si>
    <t>director.415@aktu.ac.in</t>
  </si>
  <si>
    <t>director.416@aktu.ac.in</t>
  </si>
  <si>
    <t>director.418@aktu.ac.in</t>
  </si>
  <si>
    <t>director.419@aktu.ac.in</t>
  </si>
  <si>
    <t>director.421@aktu.ac.in</t>
  </si>
  <si>
    <t>director.422@aktu.ac.in</t>
  </si>
  <si>
    <t>director.423@aktu.ac.in</t>
  </si>
  <si>
    <t>director.424@aktu.ac.in</t>
  </si>
  <si>
    <t>director.425@aktu.ac.in</t>
  </si>
  <si>
    <t>director.426@aktu.ac.in</t>
  </si>
  <si>
    <t>director.427@aktu.ac.in</t>
  </si>
  <si>
    <t>director.428@aktu.ac.in</t>
  </si>
  <si>
    <t>director.429@aktu.ac.in</t>
  </si>
  <si>
    <t>director.430@aktu.ac.in</t>
  </si>
  <si>
    <t>director.431@aktu.ac.in</t>
  </si>
  <si>
    <t>director.434@aktu.ac.in</t>
  </si>
  <si>
    <t>director.436@aktu.ac.in</t>
  </si>
  <si>
    <t>director.437@aktu.ac.in</t>
  </si>
  <si>
    <t>director.438@aktu.ac.in</t>
  </si>
  <si>
    <t>director.440@aktu.ac.in</t>
  </si>
  <si>
    <t>director.441@aktu.ac.in</t>
  </si>
  <si>
    <t>director.442@aktu.ac.in</t>
  </si>
  <si>
    <t>director.444@aktu.ac.in</t>
  </si>
  <si>
    <t>director.445@aktu.ac.in</t>
  </si>
  <si>
    <t>director.446@aktu.ac.in</t>
  </si>
  <si>
    <t>director.447@aktu.ac.in</t>
  </si>
  <si>
    <t>director.448@aktu.ac.in</t>
  </si>
  <si>
    <t>director.449@aktu.ac.in</t>
  </si>
  <si>
    <t>director.450@aktu.ac.in</t>
  </si>
  <si>
    <t>director.451@aktu.ac.in</t>
  </si>
  <si>
    <t>director.453@aktu.ac.in</t>
  </si>
  <si>
    <t>director.455@aktu.ac.in</t>
  </si>
  <si>
    <t>director.456@aktu.ac.in</t>
  </si>
  <si>
    <t>director.458@aktu.ac.in</t>
  </si>
  <si>
    <t>director.459@aktu.ac.in</t>
  </si>
  <si>
    <t>director.460@aktu.ac.in</t>
  </si>
  <si>
    <t>director.461@aktu.ac.in</t>
  </si>
  <si>
    <t>director.465@aktu.ac.in</t>
  </si>
  <si>
    <t>director.467@aktu.ac.in</t>
  </si>
  <si>
    <t>director.470@aktu.ac.in</t>
  </si>
  <si>
    <t>director.471@aktu.ac.in</t>
  </si>
  <si>
    <t>director.472@aktu.ac.in</t>
  </si>
  <si>
    <t>director.473@aktu.ac.in</t>
  </si>
  <si>
    <t>director.474@aktu.ac.in</t>
  </si>
  <si>
    <t>director.475@aktu.ac.in</t>
  </si>
  <si>
    <t>director.476@aktu.ac.in</t>
  </si>
  <si>
    <t>director.477@aktu.ac.in</t>
  </si>
  <si>
    <t>director.478@aktu.ac.in</t>
  </si>
  <si>
    <t>director.479@aktu.ac.in</t>
  </si>
  <si>
    <t>director.480@aktu.ac.in</t>
  </si>
  <si>
    <t>director.481@aktu.ac.in</t>
  </si>
  <si>
    <t>director.482@aktu.ac.in</t>
  </si>
  <si>
    <t>director.483@aktu.ac.in</t>
  </si>
  <si>
    <t>director.484@aktu.ac.in</t>
  </si>
  <si>
    <t>director.485@aktu.ac.in</t>
  </si>
  <si>
    <t>director.486@aktu.ac.in</t>
  </si>
  <si>
    <t>director.487@aktu.ac.in</t>
  </si>
  <si>
    <t>director.488@aktu.ac.in</t>
  </si>
  <si>
    <t>director.489@aktu.ac.in</t>
  </si>
  <si>
    <t>director.490@aktu.ac.in</t>
  </si>
  <si>
    <t>director.491@aktu.ac.in</t>
  </si>
  <si>
    <t>director.492@aktu.ac.in</t>
  </si>
  <si>
    <t>director.493@aktu.ac.in</t>
  </si>
  <si>
    <t>director.494@aktu.ac.in</t>
  </si>
  <si>
    <t>director.495@aktu.ac.in</t>
  </si>
  <si>
    <t>director.496@aktu.ac.in</t>
  </si>
  <si>
    <t>director.497@aktu.ac.in</t>
  </si>
  <si>
    <t>director.498@aktu.ac.in</t>
  </si>
  <si>
    <t>director.499@aktu.ac.in</t>
  </si>
  <si>
    <t>director.500@aktu.ac.in</t>
  </si>
  <si>
    <t>director.501@aktu.ac.in</t>
  </si>
  <si>
    <t>director.502@aktu.ac.in</t>
  </si>
  <si>
    <t>director.503@aktu.ac.in</t>
  </si>
  <si>
    <t>director.504@aktu.ac.in</t>
  </si>
  <si>
    <t>director.505@aktu.ac.in</t>
  </si>
  <si>
    <t>director.506@aktu.ac.in</t>
  </si>
  <si>
    <t>director.507@aktu.ac.in</t>
  </si>
  <si>
    <t>director.508@aktu.ac.in</t>
  </si>
  <si>
    <t>director.509@aktu.ac.in</t>
  </si>
  <si>
    <t>director.510@aktu.ac.in</t>
  </si>
  <si>
    <t>director.511@aktu.ac.in</t>
  </si>
  <si>
    <t>director.512@aktu.ac.in</t>
  </si>
  <si>
    <t>director.514@aktu.ac.in</t>
  </si>
  <si>
    <t>director.515@aktu.ac.in</t>
  </si>
  <si>
    <t>director.516@aktu.ac.in</t>
  </si>
  <si>
    <t>director.517@aktu.ac.in</t>
  </si>
  <si>
    <t>director.518@aktu.ac.in</t>
  </si>
  <si>
    <t>director.519@aktu.ac.in</t>
  </si>
  <si>
    <t>director.520@aktu.ac.in</t>
  </si>
  <si>
    <t>director.521@aktu.ac.in</t>
  </si>
  <si>
    <t>director.522@aktu.ac.in</t>
  </si>
  <si>
    <t>director.523@aktu.ac.in</t>
  </si>
  <si>
    <t>director.524@aktu.ac.in</t>
  </si>
  <si>
    <t>director.525@aktu.ac.in</t>
  </si>
  <si>
    <t>director.526@aktu.ac.in</t>
  </si>
  <si>
    <t>director.527@aktu.ac.in</t>
  </si>
  <si>
    <t>director.528@aktu.ac.in</t>
  </si>
  <si>
    <t>director.529@aktu.ac.in</t>
  </si>
  <si>
    <t>director.531@aktu.ac.in</t>
  </si>
  <si>
    <t>director.532@aktu.ac.in</t>
  </si>
  <si>
    <t>director.533@aktu.ac.in</t>
  </si>
  <si>
    <t>director.534@aktu.ac.in</t>
  </si>
  <si>
    <t>director.535@aktu.ac.in</t>
  </si>
  <si>
    <t>director.536@aktu.ac.in</t>
  </si>
  <si>
    <t>director.537@aktu.ac.in</t>
  </si>
  <si>
    <t>director.538@aktu.ac.in</t>
  </si>
  <si>
    <t>director.539@aktu.ac.in</t>
  </si>
  <si>
    <t>director.540@aktu.ac.in</t>
  </si>
  <si>
    <t>director.541@aktu.ac.in</t>
  </si>
  <si>
    <t>director.542@aktu.ac.in</t>
  </si>
  <si>
    <t>director.543@aktu.ac.in</t>
  </si>
  <si>
    <t>director.544@aktu.ac.in</t>
  </si>
  <si>
    <t>director.545@aktu.ac.in</t>
  </si>
  <si>
    <t>director.546@aktu.ac.in</t>
  </si>
  <si>
    <t>director.547@aktu.ac.in</t>
  </si>
  <si>
    <t>director.548@aktu.ac.in</t>
  </si>
  <si>
    <t>director.549@aktu.ac.in</t>
  </si>
  <si>
    <t>director.550@aktu.ac.in</t>
  </si>
  <si>
    <t>director.551@aktu.ac.in</t>
  </si>
  <si>
    <t>director.552@aktu.ac.in</t>
  </si>
  <si>
    <t>director.554@aktu.ac.in</t>
  </si>
  <si>
    <t>director.557@aktu.ac.in</t>
  </si>
  <si>
    <t>director.561@aktu.ac.in</t>
  </si>
  <si>
    <t>director.566@aktu.ac.in</t>
  </si>
  <si>
    <t>director.567@aktu.ac.in</t>
  </si>
  <si>
    <t>director.568@aktu.ac.in</t>
  </si>
  <si>
    <t>director.569@aktu.ac.in</t>
  </si>
  <si>
    <t>director.571@aktu.ac.in</t>
  </si>
  <si>
    <t>director.572@aktu.ac.in</t>
  </si>
  <si>
    <t>director.575@aktu.ac.in</t>
  </si>
  <si>
    <t>director.576@aktu.ac.in</t>
  </si>
  <si>
    <t>director.579@aktu.ac.in</t>
  </si>
  <si>
    <t>director.580@aktu.ac.in</t>
  </si>
  <si>
    <t>director.581@aktu.ac.in</t>
  </si>
  <si>
    <t>director.582@aktu.ac.in</t>
  </si>
  <si>
    <t>director.583@aktu.ac.in</t>
  </si>
  <si>
    <t>director.584@aktu.ac.in</t>
  </si>
  <si>
    <t>director.585@aktu.ac.in</t>
  </si>
  <si>
    <t>director.586@aktu.ac.in</t>
  </si>
  <si>
    <t>director.587@aktu.ac.in</t>
  </si>
  <si>
    <t>director.588@aktu.ac.in</t>
  </si>
  <si>
    <t>director.589@aktu.ac.in</t>
  </si>
  <si>
    <t>director.590@aktu.ac.in</t>
  </si>
  <si>
    <t>director.591@aktu.ac.in</t>
  </si>
  <si>
    <t>director.592@aktu.ac.in</t>
  </si>
  <si>
    <t>director.593@aktu.ac.in</t>
  </si>
  <si>
    <t>director.594@aktu.ac.in</t>
  </si>
  <si>
    <t>director.595@aktu.ac.in</t>
  </si>
  <si>
    <t>director.597@aktu.ac.in</t>
  </si>
  <si>
    <t>director.598@aktu.ac.in</t>
  </si>
  <si>
    <t>director.599@aktu.ac.in</t>
  </si>
  <si>
    <t>director.600@aktu.ac.in</t>
  </si>
  <si>
    <t>director.602@aktu.ac.in</t>
  </si>
  <si>
    <t>director.603@aktu.ac.in</t>
  </si>
  <si>
    <t>director.604@aktu.ac.in</t>
  </si>
  <si>
    <t>director.605@aktu.ac.in</t>
  </si>
  <si>
    <t>director.607@aktu.ac.in</t>
  </si>
  <si>
    <t>director.609@aktu.ac.in</t>
  </si>
  <si>
    <t>director.610@aktu.ac.in</t>
  </si>
  <si>
    <t>director.611@aktu.ac.in</t>
  </si>
  <si>
    <t>director.612@aktu.ac.in</t>
  </si>
  <si>
    <t>director.613@aktu.ac.in</t>
  </si>
  <si>
    <t>director.614@aktu.ac.in</t>
  </si>
  <si>
    <t>director.615@aktu.ac.in</t>
  </si>
  <si>
    <t>director.617@aktu.ac.in</t>
  </si>
  <si>
    <t>director.618@aktu.ac.in</t>
  </si>
  <si>
    <t>director.620@aktu.ac.in</t>
  </si>
  <si>
    <t>director.621@aktu.ac.in</t>
  </si>
  <si>
    <t>director.622@aktu.ac.in</t>
  </si>
  <si>
    <t>director.623@aktu.ac.in</t>
  </si>
  <si>
    <t>director.625@aktu.ac.in</t>
  </si>
  <si>
    <t>director.626@aktu.ac.in</t>
  </si>
  <si>
    <t>director.629@aktu.ac.in</t>
  </si>
  <si>
    <t>director.630@aktu.ac.in</t>
  </si>
  <si>
    <t>director.631@aktu.ac.in</t>
  </si>
  <si>
    <t>director.633@aktu.ac.in</t>
  </si>
  <si>
    <t>director.634@aktu.ac.in</t>
  </si>
  <si>
    <t>director.635@aktu.ac.in</t>
  </si>
  <si>
    <t>director.636@aktu.ac.in</t>
  </si>
  <si>
    <t>director.637@aktu.ac.in</t>
  </si>
  <si>
    <t>director.639@aktu.ac.in</t>
  </si>
  <si>
    <t>director.640@aktu.ac.in</t>
  </si>
  <si>
    <t>director.641@aktu.ac.in</t>
  </si>
  <si>
    <t>director.643@aktu.ac.in</t>
  </si>
  <si>
    <t>director.644@aktu.ac.in</t>
  </si>
  <si>
    <t>director.645@aktu.ac.in</t>
  </si>
  <si>
    <t>director.646@aktu.ac.in</t>
  </si>
  <si>
    <t>director.647@aktu.ac.in</t>
  </si>
  <si>
    <t>director.648@aktu.ac.in</t>
  </si>
  <si>
    <t>director.649@aktu.ac.in</t>
  </si>
  <si>
    <t>director.650@aktu.ac.in</t>
  </si>
  <si>
    <t>director.651@aktu.ac.in</t>
  </si>
  <si>
    <t>director.652@aktu.ac.in</t>
  </si>
  <si>
    <t>director.653@aktu.ac.in</t>
  </si>
  <si>
    <t>director.654@aktu.ac.in</t>
  </si>
  <si>
    <t>director.655@aktu.ac.in</t>
  </si>
  <si>
    <t>director.657@aktu.ac.in</t>
  </si>
  <si>
    <t>director.659@aktu.ac.in</t>
  </si>
  <si>
    <t>director.660@aktu.ac.in</t>
  </si>
  <si>
    <t>director.661@aktu.ac.in</t>
  </si>
  <si>
    <t>director.662@aktu.ac.in</t>
  </si>
  <si>
    <t>director.663@aktu.ac.in</t>
  </si>
  <si>
    <t>director.664@aktu.ac.in</t>
  </si>
  <si>
    <t>director.665@aktu.ac.in</t>
  </si>
  <si>
    <t>director.666@aktu.ac.in</t>
  </si>
  <si>
    <t>director.668@aktu.ac.in</t>
  </si>
  <si>
    <t>director.669@aktu.ac.in</t>
  </si>
  <si>
    <t>director.670@aktu.ac.in</t>
  </si>
  <si>
    <t>director.671@aktu.ac.in</t>
  </si>
  <si>
    <t>director.672@aktu.ac.in</t>
  </si>
  <si>
    <t>director.673@aktu.ac.in</t>
  </si>
  <si>
    <t>director.676@aktu.ac.in</t>
  </si>
  <si>
    <t>director.679@aktu.ac.in</t>
  </si>
  <si>
    <t>director.680@aktu.ac.in</t>
  </si>
  <si>
    <t>director.681@aktu.ac.in</t>
  </si>
  <si>
    <t>director.682@aktu.ac.in</t>
  </si>
  <si>
    <t>director.684@aktu.ac.in</t>
  </si>
  <si>
    <t>director.685@aktu.ac.in</t>
  </si>
  <si>
    <t>director.686@aktu.ac.in</t>
  </si>
  <si>
    <t>director.687@aktu.ac.in</t>
  </si>
  <si>
    <t>director.688@aktu.ac.in</t>
  </si>
  <si>
    <t>director.689@aktu.ac.in</t>
  </si>
  <si>
    <t>director.690@aktu.ac.in</t>
  </si>
  <si>
    <t>director.692@aktu.ac.in</t>
  </si>
  <si>
    <t>director.693@aktu.ac.in</t>
  </si>
  <si>
    <t>director.694@aktu.ac.in</t>
  </si>
  <si>
    <t>director.695@aktu.ac.in</t>
  </si>
  <si>
    <t>director.696@aktu.ac.in</t>
  </si>
  <si>
    <t>director.697@aktu.ac.in</t>
  </si>
  <si>
    <t>director.698@aktu.ac.in</t>
  </si>
  <si>
    <t>director.700@aktu.ac.in</t>
  </si>
  <si>
    <t>director.702@aktu.ac.in</t>
  </si>
  <si>
    <t>director.703@aktu.ac.in</t>
  </si>
  <si>
    <t>director.704@aktu.ac.in</t>
  </si>
  <si>
    <t>director.705@aktu.ac.in</t>
  </si>
  <si>
    <t>director.706@aktu.ac.in</t>
  </si>
  <si>
    <t>director.708@aktu.ac.in</t>
  </si>
  <si>
    <t>director.709@aktu.ac.in</t>
  </si>
  <si>
    <t>director.710@aktu.ac.in</t>
  </si>
  <si>
    <t>director.711@aktu.ac.in</t>
  </si>
  <si>
    <t>director.712@aktu.ac.in</t>
  </si>
  <si>
    <t>director.714@aktu.ac.in</t>
  </si>
  <si>
    <t>director.715@aktu.ac.in</t>
  </si>
  <si>
    <t>director.716@aktu.ac.in</t>
  </si>
  <si>
    <t>director.717@aktu.ac.in</t>
  </si>
  <si>
    <t>director.718@aktu.ac.in</t>
  </si>
  <si>
    <t>director.719@aktu.ac.in</t>
  </si>
  <si>
    <t>director.720@aktu.ac.in</t>
  </si>
  <si>
    <t>director.721@aktu.ac.in</t>
  </si>
  <si>
    <t>director.722@aktu.ac.in</t>
  </si>
  <si>
    <t>director.723@aktu.ac.in</t>
  </si>
  <si>
    <t>director.725@aktu.ac.in</t>
  </si>
  <si>
    <t>director.726@aktu.ac.in</t>
  </si>
  <si>
    <t>director.727@aktu.ac.in</t>
  </si>
  <si>
    <t>director.729@aktu.ac.in</t>
  </si>
  <si>
    <t>director.730@aktu.ac.in</t>
  </si>
  <si>
    <t>director.731@aktu.ac.in</t>
  </si>
  <si>
    <t>director.732@aktu.ac.in</t>
  </si>
  <si>
    <t>director.733@aktu.ac.in</t>
  </si>
  <si>
    <t>director.734@aktu.ac.in</t>
  </si>
  <si>
    <t>director.735@aktu.ac.in</t>
  </si>
  <si>
    <t>director.736@aktu.ac.in</t>
  </si>
  <si>
    <t>director.737@aktu.ac.in</t>
  </si>
  <si>
    <t>director.738@aktu.ac.in</t>
  </si>
  <si>
    <t>director.739@aktu.ac.in</t>
  </si>
  <si>
    <t>director.740@aktu.ac.in</t>
  </si>
  <si>
    <t>director.741@aktu.ac.in</t>
  </si>
  <si>
    <t>director.743@aktu.ac.in</t>
  </si>
  <si>
    <t>director.745@aktu.ac.in</t>
  </si>
  <si>
    <t>director.746@aktu.ac.in</t>
  </si>
  <si>
    <t>director.747@aktu.ac.in</t>
  </si>
  <si>
    <t>director.748@aktu.ac.in</t>
  </si>
  <si>
    <t>director.749@aktu.ac.in</t>
  </si>
  <si>
    <t>director.750@aktu.ac.in</t>
  </si>
  <si>
    <t>director.751@aktu.ac.in</t>
  </si>
  <si>
    <t>director.752@aktu.ac.in</t>
  </si>
  <si>
    <t>director.753@aktu.ac.in</t>
  </si>
  <si>
    <t>director.754@aktu.ac.in</t>
  </si>
  <si>
    <t>director.755@aktu.ac.in</t>
  </si>
  <si>
    <t>director.756@aktu.ac.in</t>
  </si>
  <si>
    <t>director.757@aktu.ac.in</t>
  </si>
  <si>
    <t>director.758@aktu.ac.in</t>
  </si>
  <si>
    <t>director.759@aktu.ac.in</t>
  </si>
  <si>
    <t>director.760@aktu.ac.in</t>
  </si>
  <si>
    <t>director.761@aktu.ac.in</t>
  </si>
  <si>
    <t>director.762@aktu.ac.in</t>
  </si>
  <si>
    <t>director.763@aktu.ac.in</t>
  </si>
  <si>
    <t>director.764@aktu.ac.in</t>
  </si>
  <si>
    <t>director.765@aktu.ac.in</t>
  </si>
  <si>
    <t>director.766@aktu.ac.in</t>
  </si>
  <si>
    <t>director.780@aktu.ac.in</t>
  </si>
  <si>
    <t>director.781@aktu.ac.in</t>
  </si>
  <si>
    <t>director.782@aktu.ac.in</t>
  </si>
  <si>
    <t>director.783@aktu.ac.in</t>
  </si>
  <si>
    <t>director.785@aktu.ac.in</t>
  </si>
  <si>
    <t>director.786@aktu.ac.in</t>
  </si>
  <si>
    <t>director.787@aktu.ac.in</t>
  </si>
  <si>
    <t>director.788@aktu.ac.in</t>
  </si>
  <si>
    <t>director.789@aktu.ac.in</t>
  </si>
  <si>
    <t>director.790@aktu.ac.in</t>
  </si>
  <si>
    <t>director.791@aktu.ac.in</t>
  </si>
  <si>
    <t>director.792@aktu.ac.in</t>
  </si>
  <si>
    <t>director.796@aktu.ac.in</t>
  </si>
  <si>
    <t>director.797@aktu.ac.in</t>
  </si>
  <si>
    <t>director.798@aktu.ac.in</t>
  </si>
  <si>
    <t>director.799@aktu.ac.in</t>
  </si>
  <si>
    <t>director.800@aktu.ac.in</t>
  </si>
  <si>
    <t>director.801@aktu.ac.in</t>
  </si>
  <si>
    <t>director.802@aktu.ac.in</t>
  </si>
  <si>
    <t>director.803@aktu.ac.in</t>
  </si>
  <si>
    <t>director.804@aktu.ac.in</t>
  </si>
  <si>
    <t>director.805@aktu.ac.in</t>
  </si>
  <si>
    <t>director.806@aktu.ac.in</t>
  </si>
  <si>
    <t>director.807@aktu.ac.in</t>
  </si>
  <si>
    <t>director.808@aktu.ac.in</t>
  </si>
  <si>
    <t>director.809@aktu.ac.in</t>
  </si>
  <si>
    <t>director.810@aktu.ac.in</t>
  </si>
  <si>
    <t>director.811@aktu.ac.in</t>
  </si>
  <si>
    <t>director.812@aktu.ac.in</t>
  </si>
  <si>
    <t>director.813@aktu.ac.in</t>
  </si>
  <si>
    <t>director.814@aktu.ac.in</t>
  </si>
  <si>
    <t>director.815@aktu.ac.in</t>
  </si>
  <si>
    <t>director.816@aktu.ac.in</t>
  </si>
  <si>
    <t>director.817@aktu.ac.in</t>
  </si>
  <si>
    <t>director.818@aktu.ac.in</t>
  </si>
  <si>
    <t>director.819@aktu.ac.in</t>
  </si>
  <si>
    <t>director.820@aktu.ac.in</t>
  </si>
  <si>
    <t>director.821@aktu.ac.in</t>
  </si>
  <si>
    <t>director.822@aktu.ac.in</t>
  </si>
  <si>
    <t>director.823@aktu.ac.in</t>
  </si>
  <si>
    <t>director.825@aktu.ac.in</t>
  </si>
  <si>
    <t>director.826@aktu.ac.in</t>
  </si>
  <si>
    <t>director.827@aktu.ac.in</t>
  </si>
  <si>
    <t>director.828@aktu.ac.in</t>
  </si>
  <si>
    <t>director.829@aktu.ac.in</t>
  </si>
  <si>
    <t>director.830@aktu.ac.in</t>
  </si>
  <si>
    <t>director.831@aktu.ac.in</t>
  </si>
  <si>
    <t>director.832@aktu.ac.in</t>
  </si>
  <si>
    <t>director.833@aktu.ac.in</t>
  </si>
  <si>
    <t>director.834@aktu.ac.in</t>
  </si>
  <si>
    <t>director.835@aktu.ac.in</t>
  </si>
  <si>
    <t>director.836@aktu.ac.in</t>
  </si>
  <si>
    <t>director.837@aktu.ac.in</t>
  </si>
  <si>
    <t>director.838@aktu.ac.in</t>
  </si>
  <si>
    <t>director.839@aktu.ac.in</t>
  </si>
  <si>
    <t>director.840@aktu.ac.in</t>
  </si>
  <si>
    <t>director.841@aktu.ac.in</t>
  </si>
  <si>
    <t>director.842@aktu.ac.in</t>
  </si>
  <si>
    <t>director.843@aktu.ac.in</t>
  </si>
  <si>
    <t>director.844@aktu.ac.in</t>
  </si>
  <si>
    <t>director.845@aktu.ac.in</t>
  </si>
  <si>
    <t>director.846@aktu.ac.in</t>
  </si>
  <si>
    <t>director.847@aktu.ac.in</t>
  </si>
  <si>
    <t>director.848@aktu.ac.in</t>
  </si>
  <si>
    <t>director.849@aktu.ac.in</t>
  </si>
  <si>
    <t>director.850@aktu.ac.in</t>
  </si>
  <si>
    <t>director.851@aktu.ac.in</t>
  </si>
  <si>
    <t>director.852@aktu.ac.in</t>
  </si>
  <si>
    <t>director.853@aktu.ac.in</t>
  </si>
  <si>
    <t>director.854@aktu.ac.in</t>
  </si>
  <si>
    <t>director.855@aktu.ac.in</t>
  </si>
  <si>
    <t>director.856@aktu.ac.in</t>
  </si>
  <si>
    <t>director.857@aktu.ac.in</t>
  </si>
  <si>
    <t>director.858@aktu.ac.in</t>
  </si>
  <si>
    <t>director.859@aktu.ac.in</t>
  </si>
  <si>
    <t>director.860@aktu.ac.in</t>
  </si>
  <si>
    <t>director.861@aktu.ac.in</t>
  </si>
  <si>
    <t>director.862@aktu.ac.in</t>
  </si>
  <si>
    <t>director.863@aktu.ac.in</t>
  </si>
  <si>
    <t>director.864@aktu.ac.in</t>
  </si>
  <si>
    <t>director.865@aktu.ac.in</t>
  </si>
  <si>
    <t>director.866@aktu.ac.in</t>
  </si>
  <si>
    <t>director.867@aktu.ac.in</t>
  </si>
  <si>
    <t>director.868@aktu.ac.in</t>
  </si>
  <si>
    <t>director.869@aktu.ac.in</t>
  </si>
  <si>
    <t>director.870@aktu.ac.in</t>
  </si>
  <si>
    <t>director.871@aktu.ac.in</t>
  </si>
  <si>
    <t>director.872@aktu.ac.in</t>
  </si>
  <si>
    <t>director.873@aktu.ac.in</t>
  </si>
  <si>
    <t>director.874@aktu.ac.in</t>
  </si>
  <si>
    <t>director.875@aktu.ac.in</t>
  </si>
  <si>
    <t>director.876@aktu.ac.in</t>
  </si>
  <si>
    <t>Dr. Rahul</t>
  </si>
  <si>
    <t>director.877@aktu.ac.in</t>
  </si>
  <si>
    <t>director.878@aktu.ac.in</t>
  </si>
  <si>
    <t>director.879@aktu.ac.in</t>
  </si>
  <si>
    <t>director.880@aktu.ac.in</t>
  </si>
  <si>
    <t>director.881@aktu.ac.in</t>
  </si>
  <si>
    <t>director.882@aktu.ac.in</t>
  </si>
  <si>
    <t>director.883@aktu.ac.in</t>
  </si>
  <si>
    <t>director.884@aktu.ac.in</t>
  </si>
  <si>
    <t>director.885@aktu.ac.in</t>
  </si>
  <si>
    <t>director.886@aktu.ac.in</t>
  </si>
  <si>
    <t>director.887@aktu.ac.in</t>
  </si>
  <si>
    <t>director.888@aktu.ac.in</t>
  </si>
  <si>
    <t>director.889@aktu.ac.in</t>
  </si>
  <si>
    <t>director.890@aktu.ac.in</t>
  </si>
  <si>
    <t>director.891@aktu.ac.in</t>
  </si>
  <si>
    <t>director.892@aktu.ac.in</t>
  </si>
  <si>
    <t>director.893@aktu.ac.in</t>
  </si>
  <si>
    <t>director.894@aktu.ac.in</t>
  </si>
  <si>
    <t>director.895@aktu.ac.in</t>
  </si>
  <si>
    <t>director.896@aktu.ac.in</t>
  </si>
  <si>
    <t>director.897@aktu.ac.in</t>
  </si>
  <si>
    <t>director.898@aktu.ac.in</t>
  </si>
  <si>
    <t>director.899@aktu.ac.in</t>
  </si>
  <si>
    <t>director.900@aktu.ac.in</t>
  </si>
  <si>
    <t>director.901@aktu.ac.in</t>
  </si>
  <si>
    <t>director.902@aktu.ac.in</t>
  </si>
  <si>
    <t>director.903@aktu.ac.in</t>
  </si>
  <si>
    <t>director.904@aktu.ac.in</t>
  </si>
  <si>
    <t>director.905@aktu.ac.in</t>
  </si>
  <si>
    <t>director.906@aktu.ac.in</t>
  </si>
  <si>
    <t>director.907@aktu.ac.in</t>
  </si>
  <si>
    <t>director.908@aktu.ac.in</t>
  </si>
  <si>
    <t>director.909@aktu.ac.in</t>
  </si>
  <si>
    <t>director.910@aktu.ac.in</t>
  </si>
  <si>
    <t>director.911@aktu.ac.in</t>
  </si>
  <si>
    <t>director.912@aktu.ac.in</t>
  </si>
  <si>
    <t>director.913@aktu.ac.in</t>
  </si>
  <si>
    <t>director.914@aktu.ac.in</t>
  </si>
  <si>
    <t>director.915@aktu.ac.in</t>
  </si>
  <si>
    <t>director.916@aktu.ac.in</t>
  </si>
  <si>
    <t>director.917@aktu.ac.in</t>
  </si>
  <si>
    <t>director.918@aktu.ac.in</t>
  </si>
  <si>
    <t>director.919@aktu.ac.in</t>
  </si>
  <si>
    <t>director.920@aktu.ac.in</t>
  </si>
  <si>
    <t>director.921@aktu.ac.in</t>
  </si>
  <si>
    <t>director.922@aktu.ac.in</t>
  </si>
  <si>
    <t>director.923@aktu.ac.in</t>
  </si>
  <si>
    <t>director.924@aktu.ac.in</t>
  </si>
  <si>
    <t>director.925@aktu.ac.in</t>
  </si>
  <si>
    <t>director.926@aktu.ac.in</t>
  </si>
  <si>
    <t>director.927@aktu.ac.in</t>
  </si>
  <si>
    <t>director.928@aktu.ac.in</t>
  </si>
  <si>
    <t>director.929@aktu.ac.in</t>
  </si>
  <si>
    <t>director.930@aktu.ac.in</t>
  </si>
  <si>
    <t>director.931@aktu.ac.in</t>
  </si>
  <si>
    <t>director.932@aktu.ac.in</t>
  </si>
  <si>
    <t>director.933@aktu.ac.in</t>
  </si>
  <si>
    <t>director.934@aktu.ac.in</t>
  </si>
  <si>
    <t>director.935@aktu.ac.in</t>
  </si>
  <si>
    <t>director.936@aktu.ac.in</t>
  </si>
  <si>
    <t>director.937@aktu.ac.in</t>
  </si>
  <si>
    <t>director.938@aktu.ac.in</t>
  </si>
  <si>
    <t>director.939@aktu.ac.in</t>
  </si>
  <si>
    <t>director.940@aktu.ac.in</t>
  </si>
  <si>
    <t>director.941@aktu.ac.in</t>
  </si>
  <si>
    <t>director.942@aktu.ac.in</t>
  </si>
  <si>
    <t>director.943@aktu.ac.in</t>
  </si>
  <si>
    <t>director.944@aktu.ac.in</t>
  </si>
  <si>
    <t>director.945@aktu.ac.in</t>
  </si>
  <si>
    <t>director.946@aktu.ac.in</t>
  </si>
  <si>
    <t>director.947@aktu.ac.in</t>
  </si>
  <si>
    <t>director.948@aktu.ac.in</t>
  </si>
  <si>
    <t>director.949@aktu.ac.in</t>
  </si>
  <si>
    <t>director.950@aktu.ac.in</t>
  </si>
  <si>
    <t>director.951@aktu.ac.in</t>
  </si>
  <si>
    <t>Lithium Recycle</t>
  </si>
  <si>
    <t>director.952@aktu.ac.in</t>
  </si>
  <si>
    <t>director.953@aktu.ac.in</t>
  </si>
  <si>
    <t>director.954@aktu.ac.in</t>
  </si>
  <si>
    <t>director.955@aktu.ac.in</t>
  </si>
  <si>
    <t>director.956@aktu.ac.in</t>
  </si>
  <si>
    <t>director.957@aktu.ac.in</t>
  </si>
  <si>
    <t>director.958@aktu.ac.in</t>
  </si>
  <si>
    <t>director.959@aktu.ac.in</t>
  </si>
  <si>
    <t>director.960@aktu.ac.in</t>
  </si>
  <si>
    <t>director.961@aktu.ac.in</t>
  </si>
  <si>
    <t>director.962@aktu.ac.in</t>
  </si>
  <si>
    <t>director.963@aktu.ac.in</t>
  </si>
  <si>
    <t>director.964@aktu.ac.in</t>
  </si>
  <si>
    <t>director.965@aktu.ac.in</t>
  </si>
  <si>
    <t>director.966@aktu.ac.in</t>
  </si>
  <si>
    <t>director.967@aktu.ac.in</t>
  </si>
  <si>
    <t>director.968@aktu.ac.in</t>
  </si>
  <si>
    <t>director.969@aktu.ac.in</t>
  </si>
  <si>
    <t>director.970@aktu.ac.in</t>
  </si>
  <si>
    <t>director.971@aktu.ac.in</t>
  </si>
  <si>
    <t>director.972@aktu.ac.in</t>
  </si>
  <si>
    <t>director.973@aktu.ac.in</t>
  </si>
  <si>
    <t>director.974@aktu.ac.in</t>
  </si>
  <si>
    <t>director.975@aktu.ac.in</t>
  </si>
  <si>
    <t>director.976@aktu.ac.in</t>
  </si>
  <si>
    <t>director.977@aktu.ac.in</t>
  </si>
  <si>
    <t>director.978@aktu.ac.in</t>
  </si>
  <si>
    <t>director.979@aktu.ac.in</t>
  </si>
  <si>
    <t>director.980@aktu.ac.in</t>
  </si>
  <si>
    <t>director.981@aktu.ac.in</t>
  </si>
  <si>
    <t>director.982@aktu.ac.in</t>
  </si>
  <si>
    <t>director.983@aktu.ac.in</t>
  </si>
  <si>
    <t>director.984@aktu.ac.in</t>
  </si>
  <si>
    <t>director.985@aktu.ac.in</t>
  </si>
  <si>
    <t>director.986@aktu.ac.in</t>
  </si>
  <si>
    <t>director.987@aktu.ac.in</t>
  </si>
  <si>
    <t>director.988@aktu.ac.in</t>
  </si>
  <si>
    <t>director.989@aktu.ac.in</t>
  </si>
  <si>
    <t>director.990@aktu.ac.in</t>
  </si>
  <si>
    <t>director.991@aktu.ac.in</t>
  </si>
  <si>
    <t>director.992@aktu.ac.in</t>
  </si>
  <si>
    <t>director.993@aktu.ac.in</t>
  </si>
  <si>
    <t>director.994@aktu.ac.in</t>
  </si>
  <si>
    <t>director.995@aktu.ac.in</t>
  </si>
  <si>
    <t>director.996@aktu.ac.in</t>
  </si>
  <si>
    <t>director.997@aktu.ac.in</t>
  </si>
  <si>
    <t>director.998@aktu.ac.in</t>
  </si>
  <si>
    <t>Vegan Meat</t>
  </si>
  <si>
    <t>Sanction Amount</t>
  </si>
  <si>
    <t>Mr. Jyoti Prakash</t>
  </si>
  <si>
    <t>Low Cost Table Top Portable Laser Cutting Machine</t>
  </si>
  <si>
    <t>2015–16</t>
  </si>
  <si>
    <t>22,09,200.00</t>
  </si>
  <si>
    <t>Pneumatic based rice threshing and Winnowing Machine</t>
  </si>
  <si>
    <t>Exercise cum pedal power washing machine</t>
  </si>
  <si>
    <t>Mr. Ashish Kumar</t>
  </si>
  <si>
    <t>2016–17</t>
  </si>
  <si>
    <t>9,68,600.00</t>
  </si>
  <si>
    <t>Self-Adjusting Knee Ankle Foot orthosis Caliper</t>
  </si>
  <si>
    <t>10,82,600.00</t>
  </si>
  <si>
    <t>Mr. Shahnwaz Sami</t>
  </si>
  <si>
    <t>Continuously Variable Generator with Electro-Mechanical Synchronization (CV Gen with EM Sync) - Feedback based</t>
  </si>
  <si>
    <t>2022–23</t>
  </si>
  <si>
    <t>10,50,000.00</t>
  </si>
  <si>
    <t>EV Acceleration Enhancer</t>
  </si>
  <si>
    <t>2023–24</t>
  </si>
  <si>
    <t>10,00,000.00</t>
  </si>
  <si>
    <t>Ms. Rachna Verma (External)</t>
  </si>
  <si>
    <t>Kesar Aeroponics Farming with automatic environment control system</t>
  </si>
  <si>
    <t>2024–25</t>
  </si>
  <si>
    <t>14,40,000.00</t>
  </si>
  <si>
    <t>14,80,000.00</t>
  </si>
  <si>
    <t>Enterprise Security and Automation</t>
  </si>
  <si>
    <t>12,00,000.00</t>
  </si>
  <si>
    <t>2025–26</t>
  </si>
  <si>
    <t>15,00,000.00</t>
  </si>
  <si>
    <t>6,00,000.00</t>
  </si>
  <si>
    <t>1,25,30,400.00</t>
  </si>
  <si>
    <t xml:space="preserve"> MENTOR DETAILS </t>
  </si>
  <si>
    <t>Dewansh</t>
  </si>
  <si>
    <t>Mentor’s Name</t>
  </si>
  <si>
    <t>Designation</t>
  </si>
  <si>
    <t>Organization</t>
  </si>
  <si>
    <t>Area of Mentoring</t>
  </si>
  <si>
    <t>Email id</t>
  </si>
  <si>
    <t>Agha Asim Husain</t>
  </si>
  <si>
    <t>Assistant Professor</t>
  </si>
  <si>
    <t>ITS Engineering College</t>
  </si>
  <si>
    <t>Electronics and AI, Deep learning</t>
  </si>
  <si>
    <t>aghaasimhusain@its.edu.in</t>
  </si>
  <si>
    <t>Mr. Ayub Khan</t>
  </si>
  <si>
    <t>Technical Director</t>
  </si>
  <si>
    <t>DnG Technologies Pvt.Ltd</t>
  </si>
  <si>
    <t>PLC and Machine Vision</t>
  </si>
  <si>
    <t>ayubkhan48@gmail.com</t>
  </si>
  <si>
    <t>Dr. Praveen Chandra Jha</t>
  </si>
  <si>
    <t>Bio Chemestry, Electricals</t>
  </si>
  <si>
    <t xml:space="preserve"> Manager</t>
  </si>
  <si>
    <t>G.L.B CRI</t>
  </si>
  <si>
    <t>3D Printing and POC Devlepment</t>
  </si>
  <si>
    <t>jeeveshgupta13@gmail.com</t>
  </si>
  <si>
    <t xml:space="preserve">Dr. Mohit Saxena </t>
  </si>
  <si>
    <t>Core Electricals and Electronics</t>
  </si>
  <si>
    <t>mohitsaxena@its.edu.in</t>
  </si>
  <si>
    <t>Manvendra Yadav</t>
  </si>
  <si>
    <t xml:space="preserve">Incubation Head </t>
  </si>
  <si>
    <t xml:space="preserve">EMPI </t>
  </si>
  <si>
    <t xml:space="preserve">Robotics Engineering,Clean Tech EV and Commercialization </t>
  </si>
  <si>
    <t>manvendra.yadav@empi.ac.in</t>
  </si>
  <si>
    <t>Dr. Monika Jain</t>
  </si>
  <si>
    <t xml:space="preserve">Emmdabed systems and Commercialization </t>
  </si>
  <si>
    <t>hod.ece@its.edu.in</t>
  </si>
  <si>
    <t>Mr. Rajiv Ranjan</t>
  </si>
  <si>
    <t>Electricals and Biomedical Instrumentation</t>
  </si>
  <si>
    <t>rajivranjan.eee@its.edu.in</t>
  </si>
  <si>
    <t>Dr. Mayank Garg</t>
  </si>
  <si>
    <t>Mechnical Engineering and Design</t>
  </si>
  <si>
    <t>Mr. Chetan Dixit</t>
  </si>
  <si>
    <t>Pneumatic Controlling</t>
  </si>
  <si>
    <t>chetandixit.me@its.edu.in</t>
  </si>
  <si>
    <t>UIPD NOIDA</t>
  </si>
  <si>
    <t xml:space="preserve">Emmbaded Design and Programming </t>
  </si>
  <si>
    <t>sachinsharma.rb@gmail.com</t>
  </si>
  <si>
    <t>Mr. Upendra Agarwal</t>
  </si>
  <si>
    <t>Power Electronics and Drive</t>
  </si>
  <si>
    <t>upendraagarwal.eee@its.edu.in</t>
  </si>
  <si>
    <t>ITS</t>
  </si>
  <si>
    <t>Dr. Setu Garg</t>
  </si>
  <si>
    <t>Biomedical and Image Processing</t>
  </si>
  <si>
    <t>setu.ece@its.edu.in</t>
  </si>
  <si>
    <t>Dr. Rakesh kumar Garg</t>
  </si>
  <si>
    <t xml:space="preserve"> Legal and Taxation support</t>
  </si>
  <si>
    <t>rkgarg@its.edu.in</t>
  </si>
  <si>
    <t xml:space="preserve">Ms. Pragarti Tripathi </t>
  </si>
  <si>
    <t>Internet of Things and computer vision</t>
  </si>
  <si>
    <t>pragatitripathi.ece@its.edu.in</t>
  </si>
  <si>
    <t>Product with cow dug</t>
  </si>
  <si>
    <t>Senior Manager</t>
  </si>
  <si>
    <t>Business Development, Commercialization</t>
  </si>
  <si>
    <t>seniormanager.glbcri@glbitm.ac.in</t>
  </si>
  <si>
    <t xml:space="preserve">Dr. P.C Jha </t>
  </si>
  <si>
    <t xml:space="preserve">Vivek kumar Singh </t>
  </si>
  <si>
    <t>Suntree Technology LLP</t>
  </si>
  <si>
    <t>Mechnical Designing and implimentation</t>
  </si>
  <si>
    <t>vivek.kumar@ft-board.com</t>
  </si>
  <si>
    <t>Sandeep Patel</t>
  </si>
  <si>
    <t>IET Lucknow</t>
  </si>
  <si>
    <t>Mechnical Engineering and Thermal</t>
  </si>
  <si>
    <t>manager.ic@ietlucknow.ac.in</t>
  </si>
  <si>
    <t xml:space="preserve">Anshuman </t>
  </si>
  <si>
    <t>Bhunesh Kumar</t>
  </si>
  <si>
    <t>Director and CEO</t>
  </si>
  <si>
    <t>Verdant Motors Pvt.Ltd</t>
  </si>
  <si>
    <t>Emerging Technologies and Electric Vehicals</t>
  </si>
  <si>
    <t>bhuvnesh@verdantmotors.com</t>
  </si>
  <si>
    <t xml:space="preserve">Akhil Kumar Rai </t>
  </si>
  <si>
    <t>Consultant</t>
  </si>
  <si>
    <t>StartinUP</t>
  </si>
  <si>
    <t>Funding and Gov. Scheme Awairness</t>
  </si>
  <si>
    <t>akhilrai@kpmg.com</t>
  </si>
  <si>
    <t>Himanshu</t>
  </si>
  <si>
    <t>Incubation Manger</t>
  </si>
  <si>
    <t>Navachar Incubation Center  faculty of arcteture and planning</t>
  </si>
  <si>
    <t>CA support and Legal support</t>
  </si>
  <si>
    <t xml:space="preserve">incubation@foaaktu@ac.in </t>
  </si>
  <si>
    <t xml:space="preserve">Mayank Srivastava </t>
  </si>
  <si>
    <t>KNIT Sutanpur</t>
  </si>
  <si>
    <t>POC Development and Commercialization</t>
  </si>
  <si>
    <t>mayank@knit.ac.in</t>
  </si>
  <si>
    <t>Rahul Sharma</t>
  </si>
  <si>
    <t>HPC Global Consultant Pvt.Ltd</t>
  </si>
  <si>
    <t>Revenue Modeling, Financial Planing, Taxcation</t>
  </si>
  <si>
    <t>rpsco22@gmail.com</t>
  </si>
  <si>
    <t xml:space="preserve">Kiran Kumari </t>
  </si>
  <si>
    <t>Inubation Manager</t>
  </si>
  <si>
    <t>Rajkiye Engineering College kannauj</t>
  </si>
  <si>
    <t xml:space="preserve">Emmbaded System and Programming </t>
  </si>
  <si>
    <t>incubationmanager@reck.ac.in</t>
  </si>
  <si>
    <t>Anubhav Sen</t>
  </si>
  <si>
    <t>Program Manager</t>
  </si>
  <si>
    <t>IIT Delhi</t>
  </si>
  <si>
    <t>Business Canvas and Commercilization</t>
  </si>
  <si>
    <t>anubhav.sen@fitt.iitd.ac.in</t>
  </si>
  <si>
    <t>Saurav Singh</t>
  </si>
  <si>
    <t>Business Manager</t>
  </si>
  <si>
    <t>Indian Vetinary Research Center</t>
  </si>
  <si>
    <t>Strategic planning and Marketing</t>
  </si>
  <si>
    <t>sb.singh.luck@gmail.com</t>
  </si>
  <si>
    <t>Ujjwal modi</t>
  </si>
  <si>
    <t>Ajay Ujjawal and Associate</t>
  </si>
  <si>
    <t xml:space="preserve">Accounting, Enterpreneurship, Legal Finance, </t>
  </si>
  <si>
    <t>ca.ujjwal.modi@gmail.com</t>
  </si>
  <si>
    <t>Retesh Saxena</t>
  </si>
  <si>
    <t>Manager</t>
  </si>
  <si>
    <t>Innovation Hub, AKTU</t>
  </si>
  <si>
    <t>Strategic Marketing, Branding, Digital,Marketing, Business Modeling &amp;  Forecasting &amp; networking</t>
  </si>
  <si>
    <t>titanritesh@gmail.com</t>
  </si>
  <si>
    <t xml:space="preserve">Deevansh Poddar </t>
  </si>
  <si>
    <t>FITT, IIT Delhi</t>
  </si>
  <si>
    <t>Deeptech, AR &amp; VR, Business presentation</t>
  </si>
  <si>
    <t xml:space="preserve">tidefitt@gmail.com </t>
  </si>
  <si>
    <t>Manveen Chadha</t>
  </si>
  <si>
    <t>Startup slection, Idea to POC</t>
  </si>
  <si>
    <t>manveen130186@gmail.com</t>
  </si>
  <si>
    <t>Manish shivhare</t>
  </si>
  <si>
    <t xml:space="preserve">Merec </t>
  </si>
  <si>
    <t>EPC, Consultancy on renewable energy &amp; carbon credit</t>
  </si>
  <si>
    <t xml:space="preserve">Dewanshu Deep </t>
  </si>
  <si>
    <t>Principal-Founder and investors relations</t>
  </si>
  <si>
    <t>Cogniphy Angel Fund</t>
  </si>
  <si>
    <t>Startup deal evaluation and fundraising</t>
  </si>
  <si>
    <t>dd@cogniphy.us</t>
  </si>
  <si>
    <t>Alok Pandey</t>
  </si>
  <si>
    <t>AIC, IIT Delhi</t>
  </si>
  <si>
    <t>Program/Project Management for Government Initiatives, Policy Creation and Execution, Leadership and Team Management, Fostering Innovation</t>
  </si>
  <si>
    <t>ap.tcmbd@gmail.com</t>
  </si>
  <si>
    <t>Dr. Swapnil Sinha</t>
  </si>
  <si>
    <t>IIT Guwahati</t>
  </si>
  <si>
    <t>Team Building, Iead to Prototype, Planning in technology driven startups</t>
  </si>
  <si>
    <t>ceo@bionestiitgtidf.com</t>
  </si>
  <si>
    <t>Abhishek Tiwari</t>
  </si>
  <si>
    <t>Associate Director</t>
  </si>
  <si>
    <t>KPMG</t>
  </si>
  <si>
    <t>Business Plan, Financial Model</t>
  </si>
  <si>
    <t xml:space="preserve">abhishektiwari@kpmg.com </t>
  </si>
  <si>
    <t>MSME Projects Progress sheet</t>
  </si>
  <si>
    <t>Anil Singh</t>
  </si>
  <si>
    <t>GM</t>
  </si>
  <si>
    <t>IIT Mandi</t>
  </si>
  <si>
    <t>Financial, Budget</t>
  </si>
  <si>
    <t>anil@iitmandicatalyst.in</t>
  </si>
  <si>
    <t>MSME Hackathon</t>
  </si>
  <si>
    <t>Grant Received</t>
  </si>
  <si>
    <t>MSME Share</t>
  </si>
  <si>
    <t>Incubtee Share</t>
  </si>
  <si>
    <t>70% Grant Status
(First Installment)</t>
  </si>
  <si>
    <t>30% Grant Status
(Second Installment)</t>
  </si>
  <si>
    <t>Closeing Balance</t>
  </si>
  <si>
    <t>Project Development Status</t>
  </si>
  <si>
    <t>Completed</t>
  </si>
  <si>
    <t xml:space="preserve">E V Acceleration Enhancer </t>
  </si>
  <si>
    <t>Nil</t>
  </si>
  <si>
    <t>Pending</t>
  </si>
  <si>
    <t>Product Development Completed</t>
  </si>
  <si>
    <t>Ongoing</t>
  </si>
  <si>
    <t>Incubtee don't want to proceed</t>
  </si>
  <si>
    <t>Dr. Rahul Singh</t>
  </si>
  <si>
    <t>Head of Incubation</t>
  </si>
  <si>
    <t>GIMS Medical Incubator</t>
  </si>
  <si>
    <t>Startup Selection, Medtech, Business model</t>
  </si>
  <si>
    <t>drrahulsinghindia@gmail.com</t>
  </si>
  <si>
    <t>Abort</t>
  </si>
  <si>
    <t>Additionally, we are connected with over 50 mentors along with our Knowledge Partners</t>
  </si>
  <si>
    <t>Financial Year: 2022-23(Q3)</t>
  </si>
  <si>
    <t>Financial Year: 2022-23(Q4)</t>
  </si>
  <si>
    <t>Expense head</t>
  </si>
  <si>
    <t>Oct</t>
  </si>
  <si>
    <t>Nov</t>
  </si>
  <si>
    <t>Dec</t>
  </si>
  <si>
    <t>Jan</t>
  </si>
  <si>
    <t>Feb</t>
  </si>
  <si>
    <t>March</t>
  </si>
  <si>
    <t>1,35,687</t>
  </si>
  <si>
    <t>Staff 1</t>
  </si>
  <si>
    <t>Staff 2</t>
  </si>
  <si>
    <t>Accounting and Audit</t>
  </si>
  <si>
    <t>Electricity</t>
  </si>
  <si>
    <t>Internet</t>
  </si>
  <si>
    <t>Repair and Maintenance</t>
  </si>
  <si>
    <t>Sr No</t>
  </si>
  <si>
    <t xml:space="preserve">Name of Event </t>
  </si>
  <si>
    <t>Name of Participant</t>
  </si>
  <si>
    <t>Problem Statement</t>
  </si>
  <si>
    <t>Consumable and Raw</t>
  </si>
  <si>
    <t>Shivansh Seth, Priyanshi Tripathi and Himesh Choubey</t>
  </si>
  <si>
    <t>3rd CSE</t>
  </si>
  <si>
    <t>HackTheIssue</t>
  </si>
  <si>
    <t>Anubhav Tripathi, Deepak Kumar and Amarjeet Singh</t>
  </si>
  <si>
    <t>2nd AIML</t>
  </si>
  <si>
    <t>Government Grivenence Redressal System</t>
  </si>
  <si>
    <t>Gaurav Mishra, Nasir Hussain and Faizan Khan</t>
  </si>
  <si>
    <t>2nd CSE</t>
  </si>
  <si>
    <t>Alumini Connnect</t>
  </si>
  <si>
    <t>Branding and Marketing</t>
  </si>
  <si>
    <t>Bhavisya, Sourav and Yukhta Chaudhary</t>
  </si>
  <si>
    <t>Library Management</t>
  </si>
  <si>
    <t>Poster Exhibition</t>
  </si>
  <si>
    <t>Priyanshi Tripathi and Divya Verma</t>
  </si>
  <si>
    <t>Stress Management</t>
  </si>
  <si>
    <t>Mukul Yadav, Shivansh Rai, Nirbhika Khaujuria and Aryan</t>
  </si>
  <si>
    <t>Event and Outreach</t>
  </si>
  <si>
    <t>Nirbhika Khaujuria and Aryan</t>
  </si>
  <si>
    <t>B-Plan Competition</t>
  </si>
  <si>
    <t>Priyanshu Tiwari and Pushkar Goel</t>
  </si>
  <si>
    <t>1st CSE</t>
  </si>
  <si>
    <t>Suraj Kumar Shrivastva, Sameeksha Tiwari</t>
  </si>
  <si>
    <t>Vaibhaw Shrivastava, Aditya Kushwaha and Harsh Jaiswal</t>
  </si>
  <si>
    <t>2,36,900</t>
  </si>
  <si>
    <t>Personalized Learning platform</t>
  </si>
  <si>
    <t>Alok Kumar Singh, Priyanshi and Swati Singh</t>
  </si>
  <si>
    <t>3,78,946</t>
  </si>
  <si>
    <t>Disaster Management</t>
  </si>
  <si>
    <t>Gravit Chauhan, Krrish Kumar and Krishna Thakur</t>
  </si>
  <si>
    <t>Sarfaraz Ahmad and Shayak Khan</t>
  </si>
  <si>
    <t>Md. Ashad Ali and Uzaif Parwez</t>
  </si>
  <si>
    <t>Daksh Raj and Krishna Singh</t>
  </si>
  <si>
    <t>Robo Sumo</t>
  </si>
  <si>
    <t>4th CSE</t>
  </si>
  <si>
    <t>Crack - 0 - Code</t>
  </si>
  <si>
    <t>Dhruv Sharma</t>
  </si>
  <si>
    <t>Financial Year: 2023-24(Q1)</t>
  </si>
  <si>
    <t>Prerna Kumari</t>
  </si>
  <si>
    <t>Financial Year: 2023-24(Q2)</t>
  </si>
  <si>
    <t>Financial Year: 2023-24(Q3)</t>
  </si>
  <si>
    <t>Harsh Adhana</t>
  </si>
  <si>
    <t>Deepanshu Sharma</t>
  </si>
  <si>
    <t>April</t>
  </si>
  <si>
    <t>May</t>
  </si>
  <si>
    <t>June</t>
  </si>
  <si>
    <t>Aadesh Singh</t>
  </si>
  <si>
    <t>July</t>
  </si>
  <si>
    <t>Aug</t>
  </si>
  <si>
    <t>Sep</t>
  </si>
  <si>
    <t>Karan .</t>
  </si>
  <si>
    <t>Sarwang Kumar Yadav</t>
  </si>
  <si>
    <t>Lokesh Kumar</t>
  </si>
  <si>
    <t>Divyansh Garg</t>
  </si>
  <si>
    <t>Quick Challenge</t>
  </si>
  <si>
    <t>Pushpendra Singh and Nainsee Jaiswal</t>
  </si>
  <si>
    <t>Prakash Kumar, Udit Kumar and Subhash Kumar</t>
  </si>
  <si>
    <t>Rohit Kumar and Shaurya Kimar</t>
  </si>
  <si>
    <t>1,89,000</t>
  </si>
  <si>
    <t>Raunak Tiwari, Piyush Saini and Nitesh</t>
  </si>
  <si>
    <t>1,76,807</t>
  </si>
  <si>
    <t>Structural Design</t>
  </si>
  <si>
    <t>Pushpendra, Suraj Srivastava and Sakshi</t>
  </si>
  <si>
    <t>B - Plan Competition</t>
  </si>
  <si>
    <t>Vaanshit Tyagi</t>
  </si>
  <si>
    <t>1st DS</t>
  </si>
  <si>
    <t>HackTheBox</t>
  </si>
  <si>
    <t>Daksh Raj</t>
  </si>
  <si>
    <t>1,41,687</t>
  </si>
  <si>
    <t>Somi Kumar and Aditya Aaryan</t>
  </si>
  <si>
    <t>1,44,687</t>
  </si>
  <si>
    <t>Ayush and Mansi Rawat</t>
  </si>
  <si>
    <t>Sakshi Sharma, Aditya Jha, Dhiya Harit and Kaustubh Dwivedi</t>
  </si>
  <si>
    <t>1,17,872</t>
  </si>
  <si>
    <t>Devesh Chauhan, Asheesh Yadav, Karan Tiwari, Nisha Singh and Jiya Gupta</t>
  </si>
  <si>
    <t>Muzammil Ahmad Khan</t>
  </si>
  <si>
    <t>3rd AIML</t>
  </si>
  <si>
    <t>office Boy</t>
  </si>
  <si>
    <t>Timestamp</t>
  </si>
  <si>
    <t>4,46,187</t>
  </si>
  <si>
    <t xml:space="preserve">Team Name </t>
  </si>
  <si>
    <t>Team Lead Email ID</t>
  </si>
  <si>
    <t>Team Lead Mobile Number</t>
  </si>
  <si>
    <t>4,37,874</t>
  </si>
  <si>
    <t xml:space="preserve">Team Lead Address </t>
  </si>
  <si>
    <t>Team Lead Aadhar Card</t>
  </si>
  <si>
    <t>4,56,606</t>
  </si>
  <si>
    <t>Are you ?</t>
  </si>
  <si>
    <t>Name of Institute/organization</t>
  </si>
  <si>
    <t>Department</t>
  </si>
  <si>
    <t>4,62,116</t>
  </si>
  <si>
    <t>Team Size</t>
  </si>
  <si>
    <t>Team Members Name</t>
  </si>
  <si>
    <t>Title of the Project</t>
  </si>
  <si>
    <t>Sector of Project</t>
  </si>
  <si>
    <t>Details of the Project 
We are interested in knowing the motivation behind this project for prototyping grant, whether this project has already been shortlisted in or has already won any competition etc. Give your answer in about 500 words.</t>
  </si>
  <si>
    <t xml:space="preserve">Uniqueness of the Project
</t>
  </si>
  <si>
    <t>Technique and methodology
We are interested in knowing what technical methods you are going to use for the implementation of the project.
Through your answer, we want to adjudge your technical expertise that is needed for carrying out this project. If you want to include a block diagram, a circuit diagram or a flow chart to explain the methodology then please upload below.</t>
  </si>
  <si>
    <t>Upload Drawings/Flowchart/Schematics</t>
  </si>
  <si>
    <t>Market Potential</t>
  </si>
  <si>
    <t>Propose Budget
The cost of purchase of raw material(as per technology):
Product Development / consultancy Cost:
Any other expenditure:</t>
  </si>
  <si>
    <t>Upload Your Pitch Deck/Proposal</t>
  </si>
  <si>
    <t>Timeline of Completion
Time will not be exceeding more than 6 Months</t>
  </si>
  <si>
    <t>Join WhatsApp group for more updates:</t>
  </si>
  <si>
    <t>Crazy Engineers</t>
  </si>
  <si>
    <t>singhssandeep7025@gmail.com</t>
  </si>
  <si>
    <t>Greater noida, knowledge park 3</t>
  </si>
  <si>
    <t>https://drive.google.com/open?id=1fImzA65SzU7lVUqiF3QlmvZbVcyar3Ns</t>
  </si>
  <si>
    <t>Financial Year: 2024-25(Q1)</t>
  </si>
  <si>
    <t>Financial Year: 2024-25(Q2)</t>
  </si>
  <si>
    <t>Financial Year: 2024-25(Q3)</t>
  </si>
  <si>
    <t>Financial Year: 2024-25(Q4)</t>
  </si>
  <si>
    <t>2nd year</t>
  </si>
  <si>
    <t>Tota</t>
  </si>
  <si>
    <t>1. Kumar Shivam 2.Divyansh maurya</t>
  </si>
  <si>
    <t>Automatic Railway barricade lifting system</t>
  </si>
  <si>
    <t>IoT</t>
  </si>
  <si>
    <t xml:space="preserve">Expense head </t>
  </si>
  <si>
    <t xml:space="preserve">July </t>
  </si>
  <si>
    <t xml:space="preserve">The working of an automatic railway barricade system involves a sequence of actions triggered by the detection of approaching trains or vehicles at railway crossings. Here's a step-by-step overview of how such a system typically operates:
1. Sensor Detection:- The system consists of sensors placed strategically along the railway tracks to detect the presence of approaching trains or vehicles. Common sensor types include proximity sensors (such as ultrasonic or infrared sensors) and pressure sensors embedded in the tracks. Sensors continuously monitor the surroundings and send signals to the control system when they detect an object within their detection range.
2. Signal Processing:- Upon receiving signals from the sensors, the control system (typically a microcontroller or PLC) processes the data to determine the nature and proximity of the detected object. Algorithms are employed to analyze sensor data and make decisions regarding barrier operation based on predefined criteria such as distance, speed, and direction of the approaching object.
3. Warning Signals Activation:- If an approaching train or vehicle is detected and meets the predefined criteria for barrier activation, the control system initiates the warning signal sequence. Warning signals may include flashing lights, audible alarms (such as bells or horns), and physical barriers such as crossing gates.
4. Barrier Operation:- Upon activation of the warning signals, the control system commands the actuators (typically electric motors or pneumatic cylinders) to initiate the barrier closing sequence.  Barriers are lowered in a synchronized manner to block vehicle access to the railway tracks, preventing any potential collisions with approaching trains.
</t>
  </si>
  <si>
    <t xml:space="preserve">August </t>
  </si>
  <si>
    <t>Sept</t>
  </si>
  <si>
    <t xml:space="preserve">he working of an automatic railway barricade system involves a sequence of actions triggered by the detection of approaching trains or vehicles at railway crossings. Here's a step-by-step overview of how such a system typically operates:
1. Sensor Detection:- The system consists of sensors placed strategically along the railway tracks to detect the presence of approaching trains or vehicles. Common sensor types include proximity sensors (such as ultrasonic or infrared sensors) and pressure sensors embedded in the tracks. Sensors continuously monitor the surroundings and send signals to the control system when they detect an object within their detection range.
2. Signal Processing:- Upon receiving signals from the sensors, the control system (typically a microcontroller or PLC) processes the data to determine the nature and proximity of the detected object. Algorithms are employed to analyze sensor data and make decisions regarding barrier operation based on predefined criteria such as distance, speed, and direction of the approaching object.
3. Warning Signals Activation:- If an approaching train or vehicle is detected and meets the predefined criteria for barrier activation, the control system initiates the warning signal sequence. Warning signals may include flashing lights, audible alarms (such as bells or horns), and physical barriers such as crossing gates.
4. Barrier Operation:- Upon activation of the warning signals, the control system commands the actuators (typically electric motors or pneumatic cylinders) to initiate the barrier closing sequence.  Barriers are lowered in a synchronized manner to block vehicle access to the railway tracks, preventing any potential collisions with approaching trains.
</t>
  </si>
  <si>
    <t xml:space="preserve">IoT </t>
  </si>
  <si>
    <t>https://drive.google.com/open?id=1jaUCyaRbxd9fugktu0ajMRmyMPDt55Xw</t>
  </si>
  <si>
    <t>expected</t>
  </si>
  <si>
    <t>5-7 thousand</t>
  </si>
  <si>
    <t>https://drive.google.com/open?id=1bXx0-pUZqN1bMxrOI_F-wFvGMWM5l4GS</t>
  </si>
  <si>
    <t>aproxx 3 month</t>
  </si>
  <si>
    <t>Embedded Ethics</t>
  </si>
  <si>
    <t>Nithesh S</t>
  </si>
  <si>
    <t>nithesh.2102133@srec.ac.in</t>
  </si>
  <si>
    <t>D.NO.1/41_2, MARIYAMMAN KOVIL VEDHI, Keeranatham,  Annur, Coimbatore - 641035</t>
  </si>
  <si>
    <t>https://drive.google.com/open?id=1bA6gbV3tOKvxQ1LRoZBjTQZYu5FHDsBF</t>
  </si>
  <si>
    <t xml:space="preserve">Sri Ramakrishna Engineering College </t>
  </si>
  <si>
    <t>4th year</t>
  </si>
  <si>
    <t>1.Manoj Kumar. T 2.Madhan Surya. K 3.Nithesh. S</t>
  </si>
  <si>
    <t xml:space="preserve">Assistive Helmet for the Deaf </t>
  </si>
  <si>
    <t xml:space="preserve">Assistive Technology </t>
  </si>
  <si>
    <t>• The Assistive Helmet for the Deaf addresses safety and accessibility challenges for drivers with hearing impairments who struggle with auditory cues for navigation and hazard detection on the road.
• Presently riders attach their smartphones to bike handlebars for navigation poses hazardous distractions and compromises rider safety, while also risking theft or damage to the device.
• The existing method using Heads-Up Display (HUD) presents a form of distraction as drivers need to read the displayed information, potentially diverting attention from the road.
The Assistive Helmet for the Deaf represents a paradigm shift in motorcycle 
safety gear, catering to the unique requirements of deaf riders. This groundbreaking 
innovation seamlessly integrates advanced technology to elevate accessibility, safety, 
and inclusivity on the roads. The helmet's core features include an intuitive navigation 
assistance system, horn detection mechanisms, and adaptive weather capabilities, all 
meticulously crafted to empower deaf riders with confidence and independence.
At the heart of this revolutionary project lies an intuitive navigation assistance 
system. Through strategically placed LED indicators, the helmet provides visual cues 
for upcoming turns and directions, ensuring that riders can navigate confidently even 
without auditory input. These visual cues, such as a chasing light from left to right, 
offer clear and easily interpretable guidance, enhancing the rider's situational 
awareness.
Moreover, the helmet incorporates a sophisticated horn detection mechanism, 
alerting riders to nearby vehicles in real-time. By leveraging cutting-edge technology, 
the helmet detects horn signals and translates them into visual or tactile alerts, enabling 
deaf riders to stay vigilant and responsive to their surroundings.
In addition to navigation and hazard detection features, the Assistive Helmet for 
the Deaf boasts an automatic wiper system designed to enhance visibility during 
adverse weather conditions. This innovative system ensures clear vision for the rider, 
minimizing the impact of rain or other environmental factors on their safety and 
comfort.
With a user-centric design approach and a steadfast commitment to continuous 
improvement, the assistive helmet aims to empower deaf riders to pursue their passion 
for motorcycling with unwavering confidence and independence. By bridging the gap 
between technology and accessibility, this game-changing innovation sets a new 
standard for inclusive motorcycle safety gear, heralding a brighter, safer future for 
deaf riders worldwide.</t>
  </si>
  <si>
    <t>1. Non-Distracting Peripheral Display: The integration of LED strip into the helmet 
design offers crucial information without diverting the rider's attention from the 
road ahead. Unlike traditional display systems or HUDs that may obstruct the 
rider's field of view or create distractions, the LED strip provide peripheral visual 
cues that are unobtrusive yet informative.
2. Customizable Configuration: The design of the  LED strip allows for flexibility 
and customization according to individual rider preferences and helmet designs. 
Riders can adjust the placement, color schemes, and intensity of the LED to suit 
their specific needs and aesthetic preferences. This customization ensures that 
the helmet not only enhances safety but also aligns with the rider's personal 
style and comfort preferences, promoting greater adoption and usage among the rider
3. Gamified Experience: By incorporating visual cues through LED strip, the 
helmet introduces a gamified element to the riding experience. Riders can 
engage with the visual cues as part of an interactive and immersive journey, 
adding excitement and enjoyment to their rides. This gamified approach not 
only enhances the overall riding experience but also encourages riders to stay 
attentive and responsive to the visual cues provided by the LED strip, further 
enhancing safety on the road.</t>
  </si>
  <si>
    <t>In the proposed method, the system will interpret voice commands such as "turn 
right/left" within specific distance ranges and trigger corresponding LED patterns. For 
example, if the command is "turn right/left" without specifying distance, it indicates 
an immediate turn, prompting a LED chase pattern in the respective direction. Specific 
distance ranges (e.g., 0-100 meters, 100-200 meters, etc.) will each have their 
distinctive LED patterns to signal upcoming turns. Additionally, commands like 
"continue for 3km" will result in no LEDs being illuminated to indicate straight 
driving, while "continue for 1km" will cause all LEDs to glow red, signaling the driver 
to continue straight for that distance. Through testing and refinement, the system will 
provide clear visual cues to aid the driver's navigation.
In addition to navigation assistance, our project incorporates a sophisticated horn 
detection mechanism. This functionality was achieved through the 
implementation of a Python program with a specific threshold value of -25 decibels. 
When the microphone captured a sound exceeding this threshold (e.g., -24, -23 
decibels), the program classified it as a horn sound. Conversely, if the sound level was 
below the threshold (e.g., -26, -27 decibels), it was deemed not to be a horn sound. 
Furthermore, in scenarios where the microphone detected horn sounds on both 
sides, the system intelligently determine which side has the higher decibel value. 
Subsequently, the LED chasing effect was initiated in the direction corresponding to 
the side with the higher decibel level.
Furthermore, our project includes an automatic helmet wiper system that detects 
environmental conditions such as rain and activates the wiper mechanism accordingly. 
By ensuring clear visibility during adverse weather conditions, this feature enhances 
overall safety and comfort for deaf drivers.</t>
  </si>
  <si>
    <t>https://drive.google.com/open?id=1xK35BnVP8qICdPDhXW1QqQwCTDC4d3ID</t>
  </si>
  <si>
    <t>The assistive helmet has broad market potential, catering to diverse groups including deaf individuals, delivery riders, music enthusiasts, young riders seeking gamified experiences, and general bikers, all while being cost-effective and accessible.</t>
  </si>
  <si>
    <t>Approximately 20,000</t>
  </si>
  <si>
    <t>https://drive.google.com/open?id=11T2JnvuvFSftGmWIBw35NpX2ACkCaFCN</t>
  </si>
  <si>
    <t>3 to 4 Months</t>
  </si>
  <si>
    <t>2,09,000</t>
  </si>
  <si>
    <t xml:space="preserve">Manager </t>
  </si>
  <si>
    <t>JAS</t>
  </si>
  <si>
    <t>Tamilselvan P</t>
  </si>
  <si>
    <t xml:space="preserve">iamtamilselvan06@gmail.com </t>
  </si>
  <si>
    <t>Amman nager 3rd cross,kolanthanur,karur-639004</t>
  </si>
  <si>
    <t>https://drive.google.com/open?id=1t27G0jrBJAhmguqHk8hGv9gauHgo7iNg</t>
  </si>
  <si>
    <t>M.kumarasamy College of engineering</t>
  </si>
  <si>
    <t>CSE-AIML</t>
  </si>
  <si>
    <t>3rd year</t>
  </si>
  <si>
    <t>927621BAL056</t>
  </si>
  <si>
    <t>Smart Emergency Response System</t>
  </si>
  <si>
    <t>Healthcare and Emergency Services</t>
  </si>
  <si>
    <t>Staff 1 (Chetan dixit )</t>
  </si>
  <si>
    <t xml:space="preserve"> Details of the Project
Title: Smart Emergency Response System
Sector: Healthcare and Emergency Services
 Motivation:
The motivation behind the Smart Emergency Response System is rooted in the critical need to improve emergency response times and efficiency in the healthcare and emergency services sector. Each year, thousands of lives are lost due to delayed medical assistance following accidents. Traditional emergency response systems often face challenges such as traffic congestion, communication breakdowns, and the lack of immediate medical assistance on-site. These issues can significantly impact the survival and recovery rates of accident victims.
The Smart Emergency Response System aims to address these challenges by leveraging advanced technologies such as satellite communication, autonomous vehicles, robots, and smart devices. The core idea is to create a seamless and rapid response mechanism that can detect accidents, communicate the details to the relevant responders, and provide immediate medical assistance to victims.
Project Description:
The Smart Emergency Response System consists of several interconnected components:
1. Smart Devices: These devices are installed in vehicles and along highways. They continuously monitor for accidents using sensors and cameras. Upon detecting an accident, the smart device identifies the exact location and severity of the incident.
2. Satellite Communication: The smart devices send an alert to a satellite, which acts as a relay station. This ensures that the information is communicated swiftly and accurately, bypassing any potential ground-based communication issues.
3. Autonomous Vehicles and Robots: The satellite relays the alert to the nearest autonomous vehicles and robots. These units are equipped with advanced medical supplies and tools. They are designed to quickly navigate to the accident site, even in challenging traffic conditions.
4. Immediate Assistance: Upon arrival, the robot provides first aid and stabilizes the victims. The autonomous vehicle is then used to transport the victims to the nearest hospital. Throughout this process, continuous communication is maintained between the smart device, satellite, and autonomous vehicle &amp; robot to ensure a coordinated response.
 Previous Recognition:
The Smart Emergency Response System has been conceptualized with the aim of revolutionizing the emergency response sector. Although the project is in the prototyping stage, it has garnered significant interest from various stakeholders, including healthcare professionals, emergency services, and technology enthusiasts.
The project has not yet been shortlisted or won any competition, but it is poised to make a substantial impact. The innovative use of technology and the potential to save lives make it a strong candidate for various innovation and technology grants and competitions.
Conclusion:
The Smart Emergency Response System is an innovative project that combines technology and healthcare to create a faster, smarter, and more efficient emergency response mechanism. The primary motivation is to save lives by reducing response times and providing immediate medical assistance. With the potential for significant societal impact, this project is a strong candidate for a prototyping grant. The funding would enable the development and testing of this system, bringing it closer to implementation and potentially saving countless lives in the future.
By leveraging advanced technologies and creating a seamless communication loop between the smart devices, satellite, autonomous vehicles, and robots, the Smart Emergency Response System promises to revolutionize the way emergency services respond to accidents. This project represents a crucial step forward in ensuring timely and effective medical assistance, ultimately contributing to a safer world.</t>
  </si>
  <si>
    <t>Smart Detection and Communication: By embedding smart devices in vehicles and along highways, your system autonomously detects accidents and swiftly communicates precise location data.
Satellite Communication: Utilizing satellites to relay real-time information ensures that emergency responders, such as autonomous vehicles and robots, are promptly informed and dispatched to the scene.
Autonomous Response Vehicles: The deployment of autonomous vehicles and robots to the accident site for immediate assistance and rescue operations reduces human intervention delays and optimizes response times.
Efficient Hospital Transport: After providing initial aid, your system facilitates the seamless transportation of injured individuals to the nearest hospital, ensuring they receive timely medical attention.
Interconnected System: Continuous communication and coordination among smart devices, satellites, autonomous vehicles, and robots create a cohesive and responsive network capable of handling emergency situations effectively.</t>
  </si>
  <si>
    <t>Staff 1 (Shashwat)</t>
  </si>
  <si>
    <t xml:space="preserve">
1. Sensor Integration: Deploy advanced sensors (cameras, lidar, radar) for accurate accident detection and assessment.
2. Data Fusion and Analysis: Integrate data from sensors, GPS, and traffic sources for precise accident localization and severity assessment.
3. Satellite Communication: Establish reliable communication protocols between smart devices and satellites for real-time accident reporting.
4. Autonomous Systems Development: Design autonomous vehicles and robots capable of navigating to accident sites, equipped with tools for assessment and rescue operations.
5. Machine Learning and AI: Implement AI algorithms for predictive analysis of accident patterns, route optimization, and decision-making.
6. Interoperability Standards: Define standards for seamless communication and integration among smart devices, satellites, and autonomous systems.
7. Simulation and Testing: Conduct rigorous simulations and real-world testing to validate system performance and reliability.
8. Regulatory Compliance: Address legal and regulatory requirements related to autonomous systems and emergency response operations.
9. Stakeholder Engagement: Collaborate with emergency services, hospitals, and regulatory bodies to align with operational needs and safety standards.
10. Scalability and Sustainability: Design the system to scale effectively and ensure sustainability in terms of cost, technology advancement, and environmental impact.</t>
  </si>
  <si>
    <t>https://drive.google.com/open?id=1ojIL2Abdn0M89WLECb1E2NKRKWYyUS4P</t>
  </si>
  <si>
    <t>Staff 2 (Rakesh &amp; Samiruddin)</t>
  </si>
  <si>
    <t>USD 3.3 billion by 2028, at a CAGR of 7.0% during the forecast period.</t>
  </si>
  <si>
    <t>Raw Material Cost: $1,450,000
Development/Consultancy Cost: $1,000,000
Other Expenditures: $1,045,000
Total Predicted Budget: $3,495,000</t>
  </si>
  <si>
    <t>https://drive.google.com/open?id=1Bs3CriqWnWVCePhZQlyzGy3BfRUMGkUe</t>
  </si>
  <si>
    <t>Staff 2 (Samiruddin)</t>
  </si>
  <si>
    <t>MAY BE</t>
  </si>
  <si>
    <t>Ajashia Techno Wizards</t>
  </si>
  <si>
    <t xml:space="preserve">Accounting and Audit </t>
  </si>
  <si>
    <t>D.Ajay Kumar</t>
  </si>
  <si>
    <t>ajashiatechnologies@gmail.com</t>
  </si>
  <si>
    <t>NO:85/A ANNAI SATHYA NAGAR ,6TH STREE,MOOLAKADAI,Chennai -600110</t>
  </si>
  <si>
    <t>https://drive.google.com/open?id=1VTErn7Dj3R-N1V0C1evRVG7yx0ArWGer</t>
  </si>
  <si>
    <t xml:space="preserve">1180 DC Garg, 12500 Ajay Singh </t>
  </si>
  <si>
    <t xml:space="preserve">23600/-  Vipin Garg </t>
  </si>
  <si>
    <t xml:space="preserve">SIMATS UNIVERSITY </t>
  </si>
  <si>
    <t xml:space="preserve">Mentor </t>
  </si>
  <si>
    <t>J. Joel Andrew , S.Dhana Prakash</t>
  </si>
  <si>
    <t>Adaptive IoT SOS Watch with Real-Time GPS Tracking and ML-Based Control Room Identification</t>
  </si>
  <si>
    <t>IOT and Embedded systems</t>
  </si>
  <si>
    <t>The motivation behind this project stems from the need to enhance personal safety and emergency response systems through the integration of modern technology. Traditional emergency response systems often rely on manual processes, such as the user having to manually dial emergency numbers or provide their location during a crisis. This can be time-consuming and prone to errors, especially in high-stress situations.The proposed project aims to address these issues by developing an intelligent IoT SOS watch that can automatically detect the user's location and dynamically adapt to the nearest control room using machine learning algorithms. This will significantly reduce response times and increase the likelihood of timely assistance, which is crucial in emergencies. By leveraging the capabilities of the A9G module for GPS and GSM functionalities, along with the XIAO C3 ESP32 for processing and connectivity, the device ensures robust performance and real-time communication.</t>
  </si>
  <si>
    <t>1. Automated Control Room:
IdentificationThe watch uses machine learning to automatically detect the nearest control room based on the user's location, eliminating the need for manual input of emergency contacts.
2. Dynamic Location Adaptation:
The device continuously updates its control room connections as the user moves, ensuring real-time relevance and accuracy.
3. Integrated GPS and GSM:
Combining GPS tracking and GSM communication, the watch ensures reliable transmission of location data and emergency messages via SMS and voice calls.
4. User-Friendly Interface:
A simple button press triggers the emergency alert, making it easy to use in high-stress situations.
5. Voice Recording and Transmission:
The watch can record and send a voice message along with the location data, providing additional context for emergency responders.
6. Pre-Trained ML Model:
Embedded with a pre-trained ML model, the device makes accurate predictions based on a comprehensive dataset of geographic coordinates and control room numbers.
7. Scalability and Upgradability:
The system allows for easy updates and scalability, enabling the addition of new locations and improved functionalities through firmware updates.
8. Compact Wearable Design:
Designed as a wearable device, it combines advanced functionalities in a portable form factor, ensuring constant accessibility and ease of use.</t>
  </si>
  <si>
    <t>Overview:
The Adaptive IoT SOS Watch will be developed using a combination of hardware components, embedded programming, machine learning algorithms, and real-time communication protocols. The primary components include the A9G module for GPS and GSM functionalities, the XIAO C3 ESP32 microcontroller for processing, and various sensors for user interaction. The methodology involves data collection, model training, system integration, and real-time operation.ComponentsA9G Module: Provides GPS and GSM functionalities for location tracking and communication.XIAO C3 ESP32: A microcontroller for processing data, running machine learning models, and managing communication.OLED Display: For displaying current time and emergency status.RTC (Real-Time Clock): For accurate timekeeping.SOS Button: For user-initiated emergency alerts.Power Management: For efficient power usage and battery management.
Methodology:
Data Collection and Preprocessing:
 Collect data on geographic locations and their corresponding control room numbers.Preprocess the data to ensure it is clean and formatted for training machine learning models.
Machine Learning Model Development:
 Use classification algorithms like Random Forest or Neural Networks to train the model on the collected data.Implement the model in the XIAO C3 ESP32 firmware to predict control room numbers based on GPS coordinates.Optimize the model for low-power, real-time predictions.System IntegrationIntegrate the A9G module with the XIAO C3 ESP32 for GPS data acquisition and GSM communication.Connect the OLED display and RTC module for time display and synchronization.Implement button press detection for initiating SOS alerts.Ensure seamless interaction between components for efficient and reliable operation.Real-Time OperationOn startup, detect the presence of a SIM card and initialize the GPS module.Continuously fetch GPS coordinates and use the machine learning model to identify the nearest control room.On SOS button press, send the current location and a voice message to the identified control room via GSM.Display the current time and emergency status on the OLED display.
Testing and Optimization :
Conduct extensive testing in various geographic locations to validate the accuracy of the control room predictions.Optimize power consumption and ensure the system operates reliably under different conditions.Collect feedback and refine the machine learning model and system integration as needed.</t>
  </si>
  <si>
    <t>https://drive.google.com/open?id=1EMqd2Nwnk6uL-wNPpvBKPN4ux_eG81d1</t>
  </si>
  <si>
    <t>Growing Demand for Personal Safety DevicesIncreasing Awareness: Rising concerns about personal safety, especially in urban areas, drive demand for reliable emergency assistance devices like the Adaptive IoT SOS Watch.Elderly Population: The aging global population benefits from devices providing quick emergency responses, ensuring safety for seniors.Outdoor Enthusiasts: Hikers, bikers, and adventurers in remote areas need reliable communication for emergencies.School Safety: Schools and campuses need advanced safety tools for students and staff.</t>
  </si>
  <si>
    <t xml:space="preserve">Electricity </t>
  </si>
  <si>
    <t>Cost of Purchase of Raw Materials:
A9G Module (GPS/GSM): ₹1,600 per unit
XIAO C3 ESP32 Microcontroller: ₹400 per unit
OLED Display: ₹560 per unit
RTC Module: ₹240 per unit
SOS Button: ₹80 per unit
Miscellaneous Components (wires, connectors, resistors, capacitors, PCB, casing): ₹800 per unit
Battery and Power Management: ₹640 per unit
Total Cost of Raw Materials per Unit: ₹4,320
Other Expenditure:
Marketing and Promotion: ₹160,000
Compliance and Certification (FCC, CE, etc.): ₹240,000
Miscellaneous (shipping, packaging, unforeseen expenses): ₹120,000</t>
  </si>
  <si>
    <t>https://drive.google.com/open?id=1xoaMNSAQweZyEGgopdSRO-MLVbxME7Gr</t>
  </si>
  <si>
    <t>6 months</t>
  </si>
  <si>
    <t>Hack Hustler</t>
  </si>
  <si>
    <t>Hemant SIngh</t>
  </si>
  <si>
    <t>hemant31400@gmail.com</t>
  </si>
  <si>
    <t>C-74-B Uttam nagar Nanhey park Matiyala New Delhi 110059</t>
  </si>
  <si>
    <t>https://drive.google.com/open?id=1aeo1Ea9qAmXB6ydWgYnEUWdui7hV7ljJ</t>
  </si>
  <si>
    <t xml:space="preserve">Internet </t>
  </si>
  <si>
    <t>Noida Institute Of Engineering andTechnology</t>
  </si>
  <si>
    <t>Artificial-Intelligence(Ai)</t>
  </si>
  <si>
    <t>Astitva Singh</t>
  </si>
  <si>
    <t>Revolutionizing Bank Risk Management with Generative AI</t>
  </si>
  <si>
    <t>Banking and Services</t>
  </si>
  <si>
    <t>Project Details: Transforming Bank Risk Management with Generative AI
The motivation behind our project to revolutionize bank risk management with generative AI stems from several critical factors within the banking sector. Banking, historically one of the largest and most essential sectors of the global economy, has also been among the most susceptible to financial losses and market volatility. Despite rigorous risk management practices traditionally employed by banks, the complexity and dynamic nature of financial markets often outpace conventional strategies, leaving institutions vulnerable to unexpected risks.
The urgency for innovation in risk management is underscored by the sector's ongoing challenges. Banks face a multitude of risks, ranging from credit and market risks to operational and regulatory risks. These risks not only threaten financial stability but also erode investor confidence and trust, crucial components for sustained growth and competitiveness in the industry.
Our project proposes to leverage generative AI to transform how banks approach risk management. Generative AI, with its ability to analyze vast amounts of data, identify patterns, and simulate scenarios, offers unprecedented capabilities to predict, assess, and mitigate risks in real time. By harnessing the power of machine learning algorithms and deep neural networks, our solution aims to provide banks with predictive insights and proactive strategies, enabling them to anticipate potential risks before they materialize and take preemptive actions to mitigate their impact.
Moreover, our project is driven by the aspiration to address significant gaps in existing risk management frameworks. Traditional approaches often rely on historical data and static models, which may not adequately capture emerging risks or complex interdependencies in today's interconnected financial markets. In contrast, generative AI can continuously learn from new data inputs, adapt to evolving risk landscapes, and enhance decision-making processes with greater accuracy and agility.
In terms of recognition and validation, while our project is in the prototyping phase for a grant application, it has garnered attention for its innovative approach to tackling longstanding challenges in banking risk management. We are actively exploring partnerships and collaborations within the financial technology sector to further develop and refine our solution. While we have not yet won any competitions, our project's potential impact on transforming the largest loss-making sector has drawn interest from stakeholders keen on driving innovation in financial services.
In conclusion, by integrating generative AI into bank risk management practices, we aim not only to mitigate financial losses but also to enhance overall resilience, regulatory compliance, and stakeholder confidence. Our vision is to empower banks with the tools and insights needed to navigate uncertainties effectively, thereby contributing to a more stable and sustainable banking ecosystem globally.</t>
  </si>
  <si>
    <t xml:space="preserve">Our approach to enhancing risk management through generative AI on Azure stands out due to its advanced capabilities and integrated approach.Our solution prioritizes security with Azure Security Center and Key Vault, ensuring data protection and compliance. With a focus on Explainable AI (XAI) and user-centric design
</t>
  </si>
  <si>
    <t xml:space="preserve">Repair and Maintenance </t>
  </si>
  <si>
    <t>By implementing our generative AI-driven risk management solution, banks can save billions of dollars by preemptively identifying and mitigating risks. This approach minimizes financial losses stemming from credit defaults, market fluctuations, operational inefficiencies, and regulatory non-compliance. Real-time predictive insights enable proactive decision-making, reducing the likelihood and severity of adverse events. By enhancing efficiency, accuracy, and resilience in risk management, our solution not only protects bank assets but also preserves stakeholder trust and confidence, contributing to a more sustainable and profitable banking sector globally.</t>
  </si>
  <si>
    <t>https://drive.google.com/open?id=18meRfQjYC3r-NkbKOkuK6aQQ6DXDY2Vm</t>
  </si>
  <si>
    <t xml:space="preserve">Imprest amount for machine repair </t>
  </si>
  <si>
    <t xml:space="preserve">9228/- Supercut welding , 9440/- Maa Vaisno Enterprises, 4130/- Maa Vaisno </t>
  </si>
  <si>
    <t>India: India's banking sector, one of the largest in the world, has been grappling with significant challenges such as rising NPAs and regulatory scrutiny. According to a report by the Reserve Bank of India (RBI), the gross NPA ratio for scheduled commercial banks stood at 7.5% in March 2023, reflecting ongoing credit risk issues (Source: RBI Annual Report 2022-23). Our AI solution can potentially reduce NPAs by improving credit risk assessment and early detection of potential defaults, thereby saving billions in potential losses.  USA: In the USA, the banking sector is characterized by robust regulatory frameworks and a diverse market landscape. According to the Federal Deposit Insurance Corporation (FDIC), the total assets of US commercial banks exceeded $22 trillion as of Q1 2024 (Source: FDIC Quarterly Banking Profile, Q1 2024). Our AI-driven risk management solution can enhance operational efficiency and regulatory compliance, contributing to cost savings and risk mitigation strategies that protect assets and maintain stakeholder confidence.  Europe: Europe's banking sector faces similar challenges amid economic uncertainties and evolving regulatory requirements. The European Banking Authority (EBA) has highlighted concerns over market risks and the impact of non-performing loans on financial stability (Source: EBA Risk Assessment Report, 2023). Our AI solution offers European banks advanced analytics capabilities to predict and manage market risks effectively, optimizing capital allocation and reducing the financial impact of economic downturns.  Overall Impact: By leveraging AI for risk management, banks in these regions can potentially save billions of dollars annually by reducing losses from credit defaults, market fluctuations, operational inefficiencies, and regulatory fines. Enhanced risk prediction and proactive mitigation strategies not only safeguard bank assets but also improve operational efficiency, profitability, and stakeholder trust in a competitive global financial market landscape.</t>
  </si>
  <si>
    <t xml:space="preserve">3540/- Imprest amount for machine service </t>
  </si>
  <si>
    <t>1)Research and Development (R&amp;D): ₹50,000:-
*Allocate funds for hiring AI specialists and data scientists.
*Conduct research on AI algorithms and models suitable for risk prediction and mitigation in banking.
2)Technology Infrastructure (Including Servers): ₹70,000:-
*Invest in cloud computing resources for data storage and processing.
*Purchase necessary servers, software tools, and AI frameworks for model development and deployment
.
3)Data Acquisition and Preparation: ₹30,000:-
*Acquire relevant datasets for training AI models.
*Clean and preprocess data to ensure quality and suitability for AI analysis.
4)Prototype Development: ₹40,000:-
*Develop a prototype AI application for risk prediction and assessment.
*Conduct iterative testing and refinement based on feedback from banking stakeholders.
5)Contingency and Miscellaneous: ₹10,000:-
*Reserve funds for unexpected expenses or additional development needs.
*Cover miscellaneous costs related to project management and administration.</t>
  </si>
  <si>
    <t>https://drive.google.com/open?id=1rIMS8awbR-ElMK-8RGps5SIOX0vcBuN9</t>
  </si>
  <si>
    <t xml:space="preserve">Consumable and Raw </t>
  </si>
  <si>
    <t xml:space="preserve">472 Prerna for letter head printing  </t>
  </si>
  <si>
    <t>Estimate time lies with in 4 to 5.5 Month</t>
  </si>
  <si>
    <t xml:space="preserve">Nayanam Simulation </t>
  </si>
  <si>
    <t xml:space="preserve">S. Raghul </t>
  </si>
  <si>
    <t>ragulsoct04@gmail.com</t>
  </si>
  <si>
    <t>+91 81249 13044</t>
  </si>
  <si>
    <t>No 1/210 b venugopala swamy koil street, pazhanthandalam chennai-600044</t>
  </si>
  <si>
    <t>https://drive.google.com/open?id=1HGKzRQ5-JbVXpVZn6r6CK0HxC__FT-CV</t>
  </si>
  <si>
    <t xml:space="preserve">Ajanta Stationary mart </t>
  </si>
  <si>
    <t xml:space="preserve">Branding and Marketing </t>
  </si>
  <si>
    <t xml:space="preserve">Saveetha school of engineering </t>
  </si>
  <si>
    <t>CSE-DS</t>
  </si>
  <si>
    <t>Guru Charan M, Hayagrish v</t>
  </si>
  <si>
    <t xml:space="preserve">Ai-powered Travel planner application. </t>
  </si>
  <si>
    <t xml:space="preserve">Artificial intelligence </t>
  </si>
  <si>
    <t xml:space="preserve">I love traveling, recently I faced  lots of problems on specific route experiences , Sorting Restaurants and journey cost cuttings. So I came up With an application, provides traveller's experience as blogs. </t>
  </si>
  <si>
    <t xml:space="preserve">User experience is tuned with AI tools to generate an cost cutting travel plan. </t>
  </si>
  <si>
    <t>Using nlp and ml algorithms by getting userbitenery experience and our module will make their itenery as affiliate marketing and if person require our itenery then from the previous user itenery it will sort out and make a unique itenery based on our filtering keyword it will consist a suitable itenery from different person itenery so it can also work as affiliate marketing as we enabling food, activity, hotel in a single place</t>
  </si>
  <si>
    <t>https://drive.google.com/open?id=1JMVVC5T0HNOtIxCGHEiJP_0WRyhApvUo</t>
  </si>
  <si>
    <t xml:space="preserve">Abhishek Kumar verma </t>
  </si>
  <si>
    <t xml:space="preserve">Event and Outreach </t>
  </si>
  <si>
    <t>https://drive.google.com/open?id=1pSpKTEl-GYWN9So_r3UCCyg0j_9ikvT4</t>
  </si>
  <si>
    <t xml:space="preserve">29500/- ISBA Membership, 16393/- Imprest amount </t>
  </si>
  <si>
    <t>Tech Titans</t>
  </si>
  <si>
    <t>PERANESH S</t>
  </si>
  <si>
    <t>peraneshsiva@gmail.com</t>
  </si>
  <si>
    <t>5,45,102</t>
  </si>
  <si>
    <t>S/O,SivaKumar,4/16,Kudi Street,Chinnakarasapalayam,Sircarvalavandhi,Nammakal-637017</t>
  </si>
  <si>
    <t>https://drive.google.com/open?id=1-B9bQADtv8Cif776yGlTcG9fbsR-1NUw</t>
  </si>
  <si>
    <t>M.KUMARASAMY COLLEGE OF ENGINEERING</t>
  </si>
  <si>
    <t>EEE</t>
  </si>
  <si>
    <t>927621BEE307</t>
  </si>
  <si>
    <t>Dharashana.K, Jayasri.S</t>
  </si>
  <si>
    <t>ROBOTIC DEVICE FOR BOREWELL RESCUE OPERATION</t>
  </si>
  <si>
    <t>Robotics</t>
  </si>
  <si>
    <t>we propose the development of a robotic device specifically designed for borewell rescue operations. This robotic device aims to provide a safe, efficient, and effective solution for rescuing individuals trapped in borewells. By leveraging advanced robotics and sensing technologies, our device seeks to navigate through the narrow confines of borewells, locate the trapped individual, and facilitate their safe extraction.</t>
  </si>
  <si>
    <t xml:space="preserve">Develop a robotic device equipped with advanced sensors and manipulators to efficiently locate and extract individuals trapped in borewells. To minimize risks to rescue personnel while ensuring stability and durability in challenging environments. </t>
  </si>
  <si>
    <t>The Robotic device for borewell rescue operation. It is used to control the ultrasonic sensor, air compressor and dc motor. Here the sensor is used to sense the human body by sending out a sound wave at a frequency above the range of human hearing. It is used to supply the oxygen to avoid the inability of breathing. In this project, relay is used for controlling the motor, safety balloon and oxygen supply. It is indispensable component which will enable the device to navigate through challenging environments.</t>
  </si>
  <si>
    <t>https://drive.google.com/open?id=1AqexGrGOAPNKigeEMtneUVXhYpj1goKf</t>
  </si>
  <si>
    <t>Borewell rescue operations still pose significant challenges, with risks to both victims and rescuers. Current robotic solutions are limited in versatility and effectiveness, hindering swift and safe extraction of trapped individuals. Moreover, there's a lack of standardized equipment complying with safety regulations.</t>
  </si>
  <si>
    <t>Financial Year: 2025-26(Q1)</t>
  </si>
  <si>
    <t>https://drive.google.com/open?id=1977Gusvh607tES6dQ1jMRNwsVtsG8u0j</t>
  </si>
  <si>
    <t>Financial Year: 2025-26(Q2)</t>
  </si>
  <si>
    <t>Financial Year: 2025-26(Q3)</t>
  </si>
  <si>
    <t>4 months.</t>
  </si>
  <si>
    <t>Harsh</t>
  </si>
  <si>
    <t>harsh.entrepreneur@zohomail.in</t>
  </si>
  <si>
    <t xml:space="preserve">April </t>
  </si>
  <si>
    <t>Surat</t>
  </si>
  <si>
    <t xml:space="preserve">May </t>
  </si>
  <si>
    <t xml:space="preserve">June </t>
  </si>
  <si>
    <t>https://drive.google.com/open?id=1M8nQYhsrwXmtoSwRp0yXOFSQ43fHDQBc</t>
  </si>
  <si>
    <t>Entrepreneur</t>
  </si>
  <si>
    <t xml:space="preserve">Nov </t>
  </si>
  <si>
    <t xml:space="preserve">Dec </t>
  </si>
  <si>
    <t>BBA</t>
  </si>
  <si>
    <t>Startup ideas- Solar  fintech/coin,Tourism,Supply chain integration,Pharma sales automation,Paint machine automation,Truck loading unloading mechanism,Food tech- sales/processing,Ship with high bypass engine,Non propellor based drone,Supply chain automation for railways/metro ,Vending system different concept,Half company- Half grid pods optimisation,Robot wheels,Third rail concept new applications,Replacing bridges with supply chain,Vacuum packaging,Decentralised cooling/heating,Space tech supply chain,ownership. Entrepreneur in search of teams, learning, resources, mentors , intrapreneurship, remote jobs, more online for startups across multiple industries, sectors.    Startup ideas- https://www.Quora.com/profile/Harsh-Entrepreneur  https://www.linkedin.com/in/quoraharshentrepreneur/  Could you assist me in executing startup ideas &amp; finding engineers, website developers, other team members for startups who could work on equity sharing basis? Volunteers are also welcome.  harsh.entrepreneur@zohomail.in  You can forward this email to the responsible person/team.</t>
  </si>
  <si>
    <t>Multiple</t>
  </si>
  <si>
    <t xml:space="preserve">Startup ideas- Solar  fintech/coin-offering microshares to users &amp; offering solar panels to corporates on hire purchase basis or developing solar coin,Tourism-website offering corporate visits,Supply chain integration-developing common rail system, thinner version of virgin hyperloop for supply chain,Pharma sales automation-automating sales of pharma products at pharmacy using robotics gripper robot &amp; vacuum suction hardware,Paint machine automation-developing robot for exterior paint job for real estate sector which works by hanging on cables from above,Truck loading unloading mechanism-same robot from pharma sales automation for truck loading unloading,Food tech- sales/processing-automating easy street vendor tasks like mixing of food with robots &amp; heating it in front of customers or using pharma sales automation robot to deliver food placed on shelves,Ship with high bypass engine to improve speed thrust,Non propellor based drone made from jet engine or other propulsion,Supply chain automation for railways/metro-using pharma sales automation robot for supply chain of metro/railways ,Vending system using robot from pharma sales automation to dispense products,Half company- Half grid pods optimisation,Robot wheels-X shaped wheels which can elongate based on size of stairs,Third rail concept new applications-adding third rail electricity for robots working in industries eliminating need for batteries &amp; charging,Replacing bridges with supply chain-developing leaner supply chain solution which dont allow human or vehicle movement but just for goods across distances efficiently,Vacuum packaging-developing large stacks of vacuum compressed goods which act like large pallet of lots of smaller items in it,Decentralised cooling/heating for blankets or furnitures eliminating need to cool/heat entire room,Space tech supply chain developing common supply chain thinner version of virgin hyperloop which can work on other planets,ownership-developing website for fractional ownership of real estate assets &amp; other assets/expense
</t>
  </si>
  <si>
    <t>new ideas</t>
  </si>
  <si>
    <t>robotics, automation, blockchain</t>
  </si>
  <si>
    <t>https://drive.google.com/open?id=1V0kD3aV9YRg5IPuEmtRcy0sKVuMW1q4l</t>
  </si>
  <si>
    <t>https://drive.google.com/open?id=1zQaxKo-vm0f3OrDnWfmjyDEDZm5RJWmQ</t>
  </si>
  <si>
    <t>EVEE BELECTRON AUTOMOTIVE TECHNOLOGY PVT LTD</t>
  </si>
  <si>
    <t>Dhanush Vel Nithi.M</t>
  </si>
  <si>
    <t>belectron11@gmail.com</t>
  </si>
  <si>
    <t>31/B,Type-1,Block-5,Neyveli Township-607803</t>
  </si>
  <si>
    <t>https://drive.google.com/open?id=10F4mbINBIMG-aW7K5oo9dkYTOnRhr1SK</t>
  </si>
  <si>
    <t>SIMATS University</t>
  </si>
  <si>
    <t>Blesson.S</t>
  </si>
  <si>
    <t xml:space="preserve"> EV Velomobile</t>
  </si>
  <si>
    <t>Automobile</t>
  </si>
  <si>
    <t>Our project aims to revolutionize urban mobility with eco-friendly velomobiles, driven by global sustainability goals. Integrating advanced IoT technologies enhances user experience and market competitiveness. While not yet winning competitions, we seek prototyping grants to accelerate development. Velomobiles show promising market potential amid rising environmental awareness and urbanization. Our vision extends to advocating for supportive policies and infrastructure, aiming to make sustainable urban mobility accessible worldwide.</t>
  </si>
  <si>
    <t>The uniqueness of our velomobile project lies in its integration of advanced IoT technologies for enhanced user experience and safety. This innovation sets our prototypes apart in the market, making them not only efficient and eco-friendly but also technologically sophisticated. We prioritize user comfort and convenience, aiming to redefine urban mobility with sustainable solutions that meet modern environmental and transportation challenges.</t>
  </si>
  <si>
    <t>Our project combines cutting-edge market research with advanced technical development to innovate in the velomobile sector. Using surveys and data analytics, we uncover consumer trends and market dynamics. We then prototype with state-of-the-art IoT and battery management systems, ensuring optimal performance and user experience. Agile methodology guides our iterative design process, aimed at delivering sustainable urban mobility solutions.</t>
  </si>
  <si>
    <t>https://drive.google.com/open?id=1WB553QC2AWskM0Q778DLOe6-5k7aCnuz</t>
  </si>
  <si>
    <t xml:space="preserve">Anany goel &amp; Company for Navrachna GST Registration </t>
  </si>
  <si>
    <t>Velomobiles tap into a growing market for sustainable urban mobility, driven by environmental awareness, technological advancements, and increasing urbanization. They offer a smart, eco-friendly solution amidst rising congestion, making them a promising choice for health-conscious and environmentally aware commuters worldwide.</t>
  </si>
  <si>
    <t xml:space="preserve">Proposed Budget for Velomobile Project (in Indian Rupees):
1. Cost of Purchase of Raw Materials : -  Estimate based on technology requirements and initial prototype development: INR 35,00,000
2. Product Development / Consultancy Cost : - Engaging engineering and design consultants, prototype testing, and refinement: INR 70,00,000
3. Any Other Expenditure :- Marketing and promotion, market research, regulatory compliance: INR 21,00,000
Total Proposed Budget: INR 1,26,00,000
</t>
  </si>
  <si>
    <t>https://drive.google.com/open?id=1BQgMicT1u6KiQ5oK1nQgo_Zs3HTfMRkL</t>
  </si>
  <si>
    <t>Our velomobile project will be completed within four months, focusing on efficient design, prototype development, rigorous testing, and finalization for market readiness.</t>
  </si>
  <si>
    <t>SOURCEVOLT</t>
  </si>
  <si>
    <t>ABHISHEK KUMAR</t>
  </si>
  <si>
    <t>abhishekkumar.jhansi@gmail.com</t>
  </si>
  <si>
    <t>754,CHITRAKOOT COLONY,MASIHA GANJ,SIPRI BAZAAR,JHANSI (U.P) 284003</t>
  </si>
  <si>
    <t>https://drive.google.com/open?id=1w3bbcvC5epJfFLJLsS8hBQUz0mzLmvfw</t>
  </si>
  <si>
    <t>CLOSE LOOP SELF SUSTAINABLE ENERGY PRODUCTION SYSTEM</t>
  </si>
  <si>
    <t>TECHNOLOGY HARDWARE,ELECTRICAL &amp; ELECTRONICS</t>
  </si>
  <si>
    <t>We all very well know that energy demands are increasing rapidly throughout the world, specially in Indian Sub-Continent region along with need of ways  and technologies able to produce green carbon emission free power generation, the proposed solution/product will be able to produce clean and cheap energy, by using principle of electromagnetic induction,Mechanical ,power electronics, Electro-mechanical machines.
The proposed product has not been granted any grant money or funding yet for the development of prototype for the public demonstration, given that it has been presented in some events and competitions.</t>
  </si>
  <si>
    <t>Require lesser input power given that proposed system will be able to produce comparatively more power for consumption without using any fossil fuel and not dependent on any renewable energy source specifically solar. Developed version will be able to produce energy which is required by the system itself for running and meanwhile it will able to produce energy for the consumption. 
The system is termed as "Close loop Self Sustainable Energy Production System"</t>
  </si>
  <si>
    <t>Electromagnetic induction, RPM/Torque manipulation using Gears/Transformers hence mutual induction/Micro-Controllers and Embedded Software/Thermodynamics/Energy transformation and Dynamics/Charge Storage/Micro-Sensors/AI,Power Electronics,Electro-Mechanical machines.</t>
  </si>
  <si>
    <t>https://drive.google.com/open?id=1QDNxLEQQvYipBh76u6CUrdK-iUtFoCYp</t>
  </si>
  <si>
    <t>As the proposed product will be capable of producing electrical power without consuming any convention fuel and renewable energy source specifically Solar (Hence its not geographically dependent and independent on weather conditions as well), it will be use to produce energy for common household consumers, Industries, EVs and anywhere where electrical power is required.A significant number of household consumers approximately up to 10 million in a region of 200 million ( 1 (is to) 20)[1:20].</t>
  </si>
  <si>
    <t>Seeking 300K
100K ± 30K for components purchase this will include core components required to build the system.
70K for the lab instruments.
50K for the salary of paid intern @ 12K/Month.
Reserve of 50K.</t>
  </si>
  <si>
    <t>https://drive.google.com/open?id=16PdWvIDp5ZgEtq9dhIZXGvk55vRZr84g</t>
  </si>
  <si>
    <t>3 Months for developing Working Prototype TRL 4</t>
  </si>
  <si>
    <t>DREAM CHASERS</t>
  </si>
  <si>
    <t>DHARANYA P</t>
  </si>
  <si>
    <t>dharanya.2202040@srec.ac.in</t>
  </si>
  <si>
    <t xml:space="preserve">FLAT NO-76 - BLOCK RR DHURYA APARTMENT , PERUMAL KOVIL STREET, NANJUNDAPURAM </t>
  </si>
  <si>
    <t>https://drive.google.com/open?id=1PuR64sQipwKoL3tFsTAYLq9UvaL0mHCP</t>
  </si>
  <si>
    <t xml:space="preserve">Banbros Engineering  for tesnsile machine repair </t>
  </si>
  <si>
    <t xml:space="preserve">Sunshine Technology for laser machine Maintence  </t>
  </si>
  <si>
    <t>SRI RAMAKRISHNA ENGINEERING COLLEGE</t>
  </si>
  <si>
    <t xml:space="preserve">2832 Laser Focus Lense, 20060 laser Co2 Tube </t>
  </si>
  <si>
    <t>AKSHAYA AVR (71812202013) BHARATHKUMAR G (71812202029)</t>
  </si>
  <si>
    <t>AUTOMATED VEHICLE TRACKING AND MONITORING USING DEEP LEARNING</t>
  </si>
  <si>
    <t>DEEP LEARNING</t>
  </si>
  <si>
    <t>o identify whether a vehicle is authorized or unauthorized in distinct environment is a challenging one which is more complex ,when the population becomes more higher and higher which may leads to many complications such as vehicle theft, misusing vehicles, and unauthorized accessing of vehicles . To overcome these issues many algorithm are handled and the best method is done with the deep learning algorithm. The project aims at designing a system by training the model using deep learning which allows to detect the number plate accurately using open cv module and then the text of number plate is extracted using optical character recognition (OCR) and thus fixed database is compared with the code written in python and thus the vehicle can be detected whether it is authorized or unauthorized. By implementing this project the complications associated with the detection of vehicles can be overcomed.
The implementation of this project has been shortlisted and hourned as BEST INNOVATORS award in CIT (NEXUS HACKATHON) and also secured first place in SREC (DOMESTIC HACKATHON).</t>
  </si>
  <si>
    <t>Unique Value Proposition
Our project deals with software  (Deep learning) to display the output, so the need of sensors will be reduced and can be use for any spaces.</t>
  </si>
  <si>
    <t xml:space="preserve">
The block diagram 1.1 defines the overall workflow of the project. Initially the license plate is been captured same as that of the already defined workflow then the captured image is then converted into grayscale since the colored image has the different pixels and values but by converting into the grayscale image the pixel image will be in standard form of 0 to 255.Proceesing of the image will be concise when the coloured image is converted into gray scale. The gray scale consist of single channel whereas the coloured image consist of multiple channel, and also the gray scale requires the less amount of memory and computational resources when it is compared with the coloured image. After the conversion of the gray scale image the edge detection is been perfomed so that the four boundaries of the extracted character is detected and these boundary boxes is next used for the dilation process.
This flowchart 1.2 represents the full workflow of the project. First the vehicle is identified using the openCV camera that is inbuilt in the python code. Then the number plate is detected by using the pretrained model that is been created using the roboflow platform this model is created by the collecting the sort of vehicle’s license plate including two wheelers and four wheelers then labeling them by addressing them into different classes then the each images are processed to attain the recall, precision and mapping parameters. Then the captured image is extracted using the EasyOCR module. Then the extracted image are used for the
comparison of the already fixed dataset which is created by using the webpage. So if the extracted number plate is exactly matched with the already defined fixed dataset that is registered by the each individual then the vehicle is considered to an authorized one, if the extracted number plate is mismatched wit he fixed dataset then the vehicle is considered as an unauthorized number plate.
</t>
  </si>
  <si>
    <t>https://drive.google.com/open?id=1PF267HQfuDW9DRaGBwsSzB1QoXWjfgXo</t>
  </si>
  <si>
    <t xml:space="preserve">Abrari Gadjet for D-Link switch </t>
  </si>
  <si>
    <t xml:space="preserve">20178 Stainary Items, 1180 for Mouse Pad </t>
  </si>
  <si>
    <t>Improved tracking and identification of vehicles involved in criminal activities or traffic violations.  Enhanced parking management in commercial and residential areas.  Significant contribution to vehicle theft prevention.  Cost savings from reduced vehicle theft and unauthorized use.</t>
  </si>
  <si>
    <t>Installation cost alone</t>
  </si>
  <si>
    <t>https://drive.google.com/open?id=12uC3QQm-g-Z_BfLeXQJK1eBKOZ2AQxnX</t>
  </si>
  <si>
    <t>2478/-  MD Printing Press, 2360/- Pal Digital studio(S.P Production)</t>
  </si>
  <si>
    <t xml:space="preserve">22235/- MD Printing Press, 29500/- Abhisek Kumar verma for Social Media Campaign </t>
  </si>
  <si>
    <t>4 to 5 months</t>
  </si>
  <si>
    <t>Phoenix</t>
  </si>
  <si>
    <t>Satabarto Sarkar</t>
  </si>
  <si>
    <t>satabartosarkarofficial@gmail.com</t>
  </si>
  <si>
    <t>128.1.2 Rafi Ahamed Kidwai Road</t>
  </si>
  <si>
    <t>https://drive.google.com/open?id=1EeBuoG7H1L_FpFytcqH1xYXXjtjWFzgx</t>
  </si>
  <si>
    <t>119000/- Saha Audio Care event, 87675/- South Asian Caters</t>
  </si>
  <si>
    <t>IEM SaltLake</t>
  </si>
  <si>
    <t>Debangshu Chatterjee</t>
  </si>
  <si>
    <t>68000/- Jury Member Techtrix, 29500/- ISBA Membership Certificate, 15576/-  Imprest  for ISBACON 2025.</t>
  </si>
  <si>
    <t>Anti Tremor Band</t>
  </si>
  <si>
    <t>Our wearable band leverages the power of Internet of Things (IoT) technology and biofeedback principles. It applies targeted pressures to specific nerves, effectively reducing tremor intensity. An integrated accelerometer continuously monitors hand movements, providing real-time data to optimize pressure application and minimize discomfort. Sophisticated machine learning algorithms analyze the gathered data, further stabilizing vibrations and enhancing user control.
Early experimental results demonstrate promising reductions in tremor severity. Furthermore, the band's ability to collect detailed accelerometer data enables personalized treatment plans, ensuring optimal effectiveness for each individual. This innovative approach promises a new era in tremor management, offering hope and empowering individuals to reclaim their independence and quality of life.</t>
  </si>
  <si>
    <t xml:space="preserve">16000 Imprest for ISBA participation </t>
  </si>
  <si>
    <t>The Steady-Stride Anti-Tremor Band is among the unique inventions in the field of treml management via IoT appliances accompanied with biofeedback principle, and machine learning algorithms. Whereas most of the former pharmacologic exposures and surgical procedures have various side effects and unpredictable efficiency, our wristband is non-invasive, affordable, and customized. Here are the key aspects that make this project  unique :
Non-Invasive Approach: The band makes it a less invasive approach compared to the deep brain stimulation or any other surgical procedures that are available in the market.
IoT Integration: Basing on the use of the IoT, the band keeps on observing hand movements via an incorporated feature known as accelerometer. Real-time data collection used to capture these measures also provide an effective way to adjust pressure application the moment it achieves minimal impact on the patient’s tremor while maintaining their comfort.
Biofeedback Mechanism: Like in any biofeedback practice, pressure applied to specific nerves causes the band to successfully decrease the amount of tremor. This method provides an immediate intervention to the episodes as well as supporting the user in accomplishing their daily tasks.
Machine Learning Algorithms: Complex machine learning incorporated in to the band can collect data from accelerometer and the band can proceed with the user’s tremor pattern. The approach also guarantees that the treatment is appropriate to the problem of the targeted patient as this increases efficiency.
Real-Time Data Analysis: These are the benefits of the present invention: The movements of the hand are continuously monitored and analyzed to get the patterns of the tremor of the user. Another attribute is that this band offers data-supported and unique treatment programs, which increases the efficiency of the work even more.
Affordability and Accessibility: Steady-Stride Anti-Tremor Band is relatively cheaper compared to those that are in the market currently hence is can be afforded by many. This is comparatively cheaper than implementing surgical procedures and long-time pharmacological approaches.</t>
  </si>
  <si>
    <t xml:space="preserve">The Steady-Stride Anti-Tremor Band employs a multi-faceted approach integrating IoT, biofeedback, and machine learning to manage and reduce tremor severity. The band features an accelerometer that continuously monitors hand movements, transmitting real-time data for immediate processing. It applies targeted pressures to specific nerves, creating a biofeedback loop that dynamically adjusts based on tremor activity. Machine learning algorithms analyze this data to identify patterns, predict tremor episodes, and optimize pressure application, ensuring personalized and effective treatment.
The band’s real-time data processing allows for instantaneous adjustments, enhancing user comfort and minimizing tremor intensity. A companion mobile app provides users with insights and allows for feedback, further refining the machine learning models. The design prioritizes user comfort, being lightweight and skin-friendly, suitable for extended wear.
The development process involves extensive research, prototype testing, data collection, and user trials to refine the band’s functionality and effectiveness. Continuous monitoring and iterative improvements ensure the band adapts to changes in the user’s condition, offering a non-invasive, affordable, and personalized solution for tremor management. This innovative approach significantly enhances the quality of life and independence for individuals affected by tremors.
</t>
  </si>
  <si>
    <t>https://drive.google.com/open?id=13FSAMcRP0mQlJth8OgNNUUJV60mZ6uJd</t>
  </si>
  <si>
    <t>Steady-Stride has a significant market potential given the prevalence of tremor-related conditions worldwide. According to the Parkinson's Foundation, approximately 10 million people worldwide live with Parkinson's disease, and essential tremor is even more common, affecting an estimated 200 million people globally. With such a large and growing population in need of effective tremor management solutions, Steady-Stride is well-positioned to capture a substantial market share.</t>
  </si>
  <si>
    <t>Prototype Making : 2700 RS
Organic Marketing Budget : 25000 Rs
Clinical trial : 600000 (including permission granting, Clinical partner charge, clinical certification )
R&amp;D partner &amp; Lab Cost : 15000
Initial 50 sellable model : 125000( with 200 rs reduction on each)</t>
  </si>
  <si>
    <t>https://drive.google.com/open?id=164VToDiiEkvhOjUBp76SuoAJhgLt9Vxe</t>
  </si>
  <si>
    <t xml:space="preserve">time for clinical finalization of model : 15 days Maximum Total Time : 3.5-4 Months ; Robust Clinical Trial : 2 months ; Required change : 15 days ; Marketing campaign  : 1 month (apprx) </t>
  </si>
  <si>
    <t>TECH ARMY</t>
  </si>
  <si>
    <t xml:space="preserve">Nisha Sharma </t>
  </si>
  <si>
    <t>nishasharmamss_cse20@its.edu.in</t>
  </si>
  <si>
    <t>08791330974</t>
  </si>
  <si>
    <t xml:space="preserve"> Steller Mi Citihomes  Omicron 3 greater Noida</t>
  </si>
  <si>
    <t>https://drive.google.com/open?id=1-SRSyXiTnFi2vx8_Qg63V1s0jDMVls5B</t>
  </si>
  <si>
    <t xml:space="preserve">ITS ENGINEERING COLLEGE GREATER NOIDA </t>
  </si>
  <si>
    <t xml:space="preserve">Utsav singh ,Nisha Sharma, Saurav Kumar Singh </t>
  </si>
  <si>
    <t>Smart agro sense(IOT DEVICE)</t>
  </si>
  <si>
    <t xml:space="preserve">Agriculture </t>
  </si>
  <si>
    <t>The "Smart Agro Sense" project integrates IoT technology to revolutionize agriculture by enabling precise monitoring and management of soil conditions. By employing IoT devices embedded with sensors, this system offers real-time insights into various soil components critical for optimal plant growth. Here’s a detailed overview of the project:
Objective:
The primary goal of Smart Agro Sense is to enhance agricultural productivity and sustainability by providing farmers with accurate and timely data on soil health. By monitoring key soil components, farmers can make informed decisions regarding irrigation, fertilization, and crop management practices uisng the IOT device (hardware) .
Benefits:
Precision Farming: By understanding real-time soil conditions, farmers can implement precision farming techniques, which reduce resource wastage and maximize crop yield.
Resource Efficiency: Optimal use of water, fertilizers, and other inputs based on actual soil conditions minimizes environmental impact and operational costs.
Remote Monitoring: Farmers can remotely monitor their fields, enabling timely interventions and reducing the need for physical inspections.
In summary, Smart Agro Sense combines cutting-edge technology with agricultural expertise to pave the way for a smarter and more sustainable future in farming.</t>
  </si>
  <si>
    <t>The uniqueness of the Smart Agro Sense project lies in its integration of IoT technology to provide precise, real-time monitoring of multiple soil components crucial for agricultural productivity. Our project have the hardware configuration to detect the soil .Here are some key aspects that highlight its uniqueness:
1.Comprehensive Monitoring: Unlike traditional methods that may provide limited and intermittent data, Smart Agro Sense continuously monitors various soil parameters such as moisture content, temperature, pH levels, and nutrient concentrations
2.Real-Time Data Analysis: The project employs advanced data analytics algorithms to process the collected data and generate actionable insights promptly. This capability enables farmers to quickly respond to changing soil conditions, optimizing irrigation, fertilization, and other management practices in near real-time.
3.Customizable Alerts and Recommendations: The system is designed to alert farmers through customizable notifications based on predefined thresholds for each soil parameter. This proactive approach helps in preventing issues such as nutrient deficiencies or overwatering, thereby enhancing crop health and yield potential.
4.User-Friendly Interface: The project emphasizes usability with intuitive dashboards and user interfaces accessible via smartphones or computers. This ensures that even farmers with limited technical expertise can easily interpret and utilize the data provided by the system.</t>
  </si>
  <si>
    <t xml:space="preserve">
The technique and methodology employed in the Smart Agro Sense project encompass several critical steps and innovations that enable its functionality and effectiveness:
1-Sensor Deployment and Selection:
Sensor Technology: The project begins with the selection of appropriate sensors capable of measuring essential soil parameters such as moisture, temperature, pH, nutrient levels (nitrogen, phosphorus, potassium), and soil conductivity. These sensors are chosen based on their accuracy, durability, and compatibility with IoT integration.
Placement Strategy: Sensors are strategically deployed across the agricultural field to ensure comprehensive coverage and representative sampling of soil conditions. Factors such as soil type variability and crop placement are considered to optimize sensor placement.
2-IoT Integration:
Device Connectivity: IoT devices equipped with sensors are integrated into the system to collect data continuously. These devices are designed to transmit data wirelessly using technologies such as LoRaWAN, Zigbee, or cellular networks, ensuring reliable communication over long distances.
Data Transmission: Collected data is transmitted in real-time to a centralized cloud platform or database. This step is crucial for immediate access to data and subsequent analysis.
3-Data Analysis and Interpretation:
Algorithm Development: Advanced data analytics algorithms are developed to process incoming data streams. These algorithms analyze soil health parameters, detect trends, and identify correlations between different variables.
Insight Generation: The processed data is transformed into actionable insights and visualized through user-friendly dashboards. Farmers can view trends, receive alerts for critical conditions, and make informed decisions regarding irrigation schedules, fertilizer application, and crop management practices.
4-Implementation and Scalability:
Scalable Architecture: The project is designed with scalability in mind, capable of accommodating varying farm sizes and geographic locations. This scalability enables widespread adoption across diverse agricultural landscapes, benefiting a broad spectrum of farmers.
In conclusion, the technique and methodology of Smart Agro Sense combine sensor technology, IoT integration, advanced analytics, and user-centric design to empower farmers with actionable insights into soil health. This systematic approach supports sustainable agricultural practices while improving productivity and resilience in the face of changing environmental conditions.</t>
  </si>
  <si>
    <t>https://drive.google.com/open?id=1KjOnk85oKDg1bMg9aB25oPwW_z4UOmNU</t>
  </si>
  <si>
    <t>the market potential for Smart Agro Sense is driven by its ability to address critical challenges in modern agriculture, capitalize on technological advancements, and meet the growing demand for sustainable and efficient farming practices worldwide. As precision agriculture continues to gain traction, solutions like Smart Agro Sense are well-positioned to capture a significant share of this expanding market.</t>
  </si>
  <si>
    <t>https://drive.google.com/open?id=1DxkWyOhHQszv8D9lCD0yRKDh6pjYmSpG</t>
  </si>
  <si>
    <t xml:space="preserve">2 months </t>
  </si>
  <si>
    <t>Nayanam</t>
  </si>
  <si>
    <t>Raghul S</t>
  </si>
  <si>
    <t>no 1/210 b venugopala swamy koil street, pazhanthandalam chennai-600132</t>
  </si>
  <si>
    <t>https://drive.google.com/open?id=1m2y__B7sO4HmVQfCGZRUZJqyjU5yMgDa</t>
  </si>
  <si>
    <t>Saveetha School of Engineering</t>
  </si>
  <si>
    <t>M. Gurucharan , V.Hayagrish</t>
  </si>
  <si>
    <t>Beyond the Tourist Trail: Unforgettable Itineraries Made by Travelers</t>
  </si>
  <si>
    <t>AI, Machine Learning, and Data Science</t>
  </si>
  <si>
    <t xml:space="preserve">## Personalized Travel Itinerary App with Sharing Platform (498 words)
**Motivation:**
Travelers today crave experiences beyond generic tours and cookie-cutter itineraries. Existing platforms often lack personalization, forcing users to cobble together information from various sources and miss hidden gems.  This frustration fuels our project: a user-driven platform for personalized travel planning. 
**Empowering Travelers:**
Our app empowers travelers to:
* **Share Curated Itineraries:** Upload detailed itineraries with destinations, activities, accommodation, and local tips.
* **Discover Personalized Recommendations:** Leverage AI and user-generated content to  recommend itineraries that perfectly match user preferences and travel style.
* **Build a Travel Community:** Connect, share experiences, and inspire one another, fostering collaboration and a sense of community.
**AI-Powered Recommendations:**
Beyond itinerary sharing, our app differentiates itself through AI-powered recommendations. Existing platforms rely heavily on user reviews or location-based search, limiting options. Our AI considers user preferences and analyzes user-generated itineraries to suggest truly personalized experiences.
**Grant Suitability:**
This project aligns perfectly with prototyping grant goals. It fosters innovation in travel, utilizing technology (AI, data analysis) to create a user-centric platform.
**Competition History (N/A):**
This new project hasn't been shortlisted or won any competitions yet. We plan to leverage prototyping learnings to refine the app and participate in future travel-tech competitions.
**Next Steps:**
A prototyping grant will support the initial development phase, focusing on:
* **Core Functionalities:** User accounts, itinerary upload/search, and a basic recommendation system.
* **Refined UI/UX:** A user-friendly and visually appealing interface for seamless interaction.
* **Testing and Iteration:** Gathering user feedback and continuous improvement based on user needs.
**Long-Term Vision:**
We envision this platform as the leading solution for personalized travel planning, aiming to:
* **Expand User Base:** Create a thriving community of travel enthusiasts who actively share and discover unique itineraries.
* **Affiliate Marketing Integration:** Partner with travel service providers to offer seamless booking options within the app.
* **Advanced Features:** Explore incorporating more sophisticated AI algorithms for an even more personalized experience.
This project, with the support of a prototyping grant, has the potential to transform how travelers plan and experience their journeys. </t>
  </si>
  <si>
    <t xml:space="preserve">Our app goes beyond sharing itineraries - AI analyzes them for personalized recommendations, unlike existing platforms reliant on reviews or location searches. </t>
  </si>
  <si>
    <t xml:space="preserve">## Technical Methods and Expertise 
This project leverages a combination of web development techniques and data science methodologies. Here's a breakdown of the key areas:
**Web Development:**
* **Backend Development:** We'll likely use a framework like Flask or Django (Python-based) to handle user accounts, itinerary storage, and recommendation generation logic. 
* **Frontend Development:** Technologies like HTML, CSS, and Javascript will be used to create a user-friendly interface for uploading, searching, and viewing itineraries. 
* **Database Management:**  A database management system (e.g., PostgreSQL) will be used to store user information, itinerary details, and potentially location data for basic recommendations.
**Data Science and Machine Learning (Optional - Initial Focus on Core Functionalities):**
* **Data Collection:**  Itinerary data uploaded by users will be the primary source of data. 
* **Data Preprocessing:**  Techniques like data cleaning and formatting will be used to prepare the data for analysis.
* **Recommendation Engine:**  Initially, a collaborative filtering approach  could be used. This analyzes similarities between user preferences and uploaded itineraries to suggest relevant matches. As the project progresses, Machine Learning algorithms could be explored for a more sophisticated recommendation system.
**Expertise Needed:**
The project requires a team with expertise in the following areas:
* **Web Development:** Experience with Python frameworks (Flask/Django) and frontend technologies (HTML/CSS/Javascript).
* **Database Management:**  Knowledge of relational databases (SQL) and database management systems.
* **Data Science (Optional):**  While not essential initially, familiarity with data analysis techniques and basic machine learning concepts would be beneficial for future development of the recommendation engine.
**Block Diagram (Simplified):**
```
+--------------------+      +--------------------+      +--------------------+
|        User        | ---&gt; |     Web App      | ---&gt; |      Database     |
+--------------------+      +--------------------+      +--------------------+
                   |         | (Frontend &amp; Backend)        |
                   |         v                             v
                   +--------+--------+                     +--------+--------+
                   | Search Itineraries |                     | Store Itineraries |
                   +--------+--------+                     +--------+--------+
                                 |                                 |
                                 v                                 v
                   +--------+--------+                     +--------+--------+
                   | Recommend Trips  |                     | User Information |
                   +--------+--------+                     +--------+--------+
                                 |                                 |
                                 v                                 v
                   +--------------------+                     +--------------------+
                   |        User        |                     |        User        |
                   +--------------------+                     +--------------------+
                                 | (Display Recommendations)   |
```
This is a simplified block diagram representing the core functionalities. As the project advances, additional functionalities and data analysis modules can be integrated.
**Your Expertise Evaluation:**
By providing this information, we can't definitively assess your team's technical expertise. However, outlining the required skills allows you to demonstrate your understanding of the technical aspects involved and your plan for development. 
**Focus on Core Functionalities First:**
It's important to prioritize core functionalities like user accounts, itinerary management, and a basic recommendation system in the initial stages. This can be achieved with a solid foundation in web development.  As the project progresses, you can incorporate more advanced data science techniques based on your team's learning curve and the availability of resources. 
</t>
  </si>
  <si>
    <t>https://drive.google.com/open?id=1Ni99mpdW7Z71u4pshGJex4XwTRLuodF8</t>
  </si>
  <si>
    <t xml:space="preserve">Travelers crave unique experiences beyond generic tours. Our app fills this gap by allowing users to share personalized itineraries and discover hidden gems through AI-powered recommendations. The travel market is booming (reaching $1.063 trillion by 2028), and user-generated content is king.  Our app caters to this trend, offering a unique solution for budget travelers, adventure seekers, and digital nomads seeking a more personalized way to explore the world. </t>
  </si>
  <si>
    <t>Prototype Budget:
$500-1000: Domain, Hosting
$2000-5000: Development (freelance)
$100-400 (Optional): Design tools, Stock assets, Project management
Total: $3,600 - $6,400</t>
  </si>
  <si>
    <t>https://drive.google.com/open?id=1IcEI_MAkHO_QM_ez-_WslE__UAgS1n_m</t>
  </si>
  <si>
    <t>Month 1: Combine Planning &amp; Early Design (Market research, user personas, core features, initial UI/UX) Months 2 &amp; 3: Concurrent Dev &amp; Testing (Rapid core feature development - user accounts, itinerary functions - alongside user testing and iteration) Month 4: Refinement &amp; Documentation (Bug fixes, UI polish, user guides) Month 5: Deployment &amp; Finalization (Test server deployment, documentation finalization)</t>
  </si>
  <si>
    <t>Nemade Industries</t>
  </si>
  <si>
    <t>Jay</t>
  </si>
  <si>
    <t>jaycnemade@gmail.com</t>
  </si>
  <si>
    <t>D-64, Shree Royal City, NH-27, Jhansi, UP 284003</t>
  </si>
  <si>
    <t>https://drive.google.com/open?id=19-4qnKDTXVathWIn11U6QkLvkeMy-aiN</t>
  </si>
  <si>
    <t>Jay Nemade, Dr. Chetan Nemade</t>
  </si>
  <si>
    <t>CustomEyes</t>
  </si>
  <si>
    <t>Utilising AI in Eyewear</t>
  </si>
  <si>
    <t>I've myself have been an eye patient for over 13 years from a very tender age. Facing issues with appearance, participation in sports, and bullying; motivated me to find a solution. I didn’t want any other person going through what I went through.
So, I recently got a 3D printer and leveraging my AI knowledge, developed an algorithm to create spectacle frames with an optimal field of view, while maintaining aesthetics for your face.
I’ve been personally using these frames myself and I got a lot of requests bringing it to the general public. What began as a personal project has now evolved into our mission to bring CustomEyes to everyone who has felt let down by conventional medical solutions.</t>
  </si>
  <si>
    <t>CustomEyes stands out due to its innovative approach in combining AI technology with 3D printing to tailor spectacle frames specifically for optimal fit and aesthetic appeal. Unlike traditional mass-manufactured spectacles, which often provide unsatisfactory results, we prioritise personalised comfort and visual enhancement. Additionally, with regularly upcoming styles, you can be assured of never being bored with your current fashion statement.</t>
  </si>
  <si>
    <t>We harness a range of AI tools in Python for our work. Our Algorithm (OptiFit) is designed to optimise spectacle frame design by strategically utilising key anatomical points on the human face, such as the orbit, Malar process of the maxilla, zygomatic arches, and other extensively researched landmarks.</t>
  </si>
  <si>
    <t>https://drive.google.com/open?id=1HgPD0yXF2wvI6GxcpZ0EDJClT3TXLKIH</t>
  </si>
  <si>
    <t>CustomEyes taps into the rising demand for bespoke eyewear, combining AI and 3D printing to deliver personalised frames, thereby boosting sales and market reach.</t>
  </si>
  <si>
    <t>INR 5,00,000 (excluding manufacturing equipment)</t>
  </si>
  <si>
    <t>https://drive.google.com/open?id=1w_F0UsFKmwg5gmuFfFF7O45Rudkkhex_</t>
  </si>
  <si>
    <t>About 5-6 months for MVP (Minimum Viable Product)</t>
  </si>
  <si>
    <t>TECH REFILES</t>
  </si>
  <si>
    <t>TAMIL KUMARAN V</t>
  </si>
  <si>
    <t>tamilkumaran.2201240@srec.ac in</t>
  </si>
  <si>
    <t>3/845 kurinji veethi bharathi nagar west paramakud-623707</t>
  </si>
  <si>
    <t>https://drive.google.com/open?id=1gvNDJjq6TKXzRGAhwKfXgArNZdA1xtPz</t>
  </si>
  <si>
    <t>SAMI TAWSEEF S,SHREE GUHAN K</t>
  </si>
  <si>
    <t>GUARDIAN PULSE</t>
  </si>
  <si>
    <t>MILITARY AND DEFENCE</t>
  </si>
  <si>
    <t>In the dynamic and high-stakes environment of modern warfare, the health and well-being of soldiers are crucial for the success of military operations. The GuardianPulse Soldier Health Monitoring System is designed to address this critical need by providing real-time monitoring of soldiers' vital signs, specifically their heartbeat and pulse rates. This advanced system ensures that any signs of distress or medical emergencies are promptly detected and communicated to a central monitoring station, enabling timely interventions and enhancing the overall safety and effectiveness of military personnel on the battlefield.
Accurate Monitoring of Vital Signs
At the core of GuardianPulse is the capability to continuously and accurately measure the heartbeat and pulse rates of soldiers. Wearable accessories equipped with advanced sensors are designed to be lightweight, durable, and unobtrusive, ensuring they do not interfere with the soldiers' movements or operations. These wearables collect vital sign data in real-time, providing a continuous stream of information about each soldier's health status.
Real-Time Data Analysis
GuardianPulse employs sophisticated algorithms to analyze the collected data instantaneously. By leveraging machine learning and data analytics, the system can detect anomalies and patterns that may indicate health issues. For instance, significant deviations from normal heartbeat or pulse rates can signal extreme stress, fatigue, dehydration, or injury. The system's ability to analyze data in real-time ensures that potential problems are identified as they occur, allowing for immediate action.
Immediate Alert Mechanism
A critical feature of GuardianPulse is its immediate alert mechanism. When the system detects abnormal vital signs, it automatically sends an alert to the central monitoring station. This alert includes detailed information about the soldier's condition, their location, and the nature of the anomaly. The rapid transmission of this information is crucial for prompt medical response, potentially saving lives and maintaining the operational effectiveness of the troop.
Robust and Secure Communication
The communication infrastructure of GuardianPulse is designed to be robust and secure, capable of operating reliably even in the harsh and variable conditions of a battlefield. The system uses encrypted communication channels to ensure the integrity and confidentiality of the transmitted data. Redundant communication pathways are employed to prevent data loss and ensure that vital information reaches the monitoring station without delay.
User-Friendly Interface for Monitors
For the personnel at the central monitoring station, GuardianPulse provides an intuitive and actionable interface. This interface displays real-time health data for each soldier, highlighting any abnormalities and providing clear visual cues for quick assessment. The interface also includes geographical information, allowing monitors to pinpoint the exact location of a soldier in distress. This comprehensive overview enables monitoring personnel to make informed decisions rapidly, coordinating medical assistance and other necessary actions efficiently.
Enhancing Situational Awareness and Responsiveness
By integrating GuardianPulse into military operations, commanders and medical teams gain unprecedented situational awareness and responsiveness. The system not only enhances the immediate safety of soldiers but also contributes to long-term health monitoring, identifying trends and recurring issues that may need addressing. This proactive approach to health management supports the overall well-being of military personnel, reducing the risk of severe health incidents and improving the readiness and resilience of the troop.</t>
  </si>
  <si>
    <t>GuardianPulse is a wearable neck device uniquely designed for real-time monitoring of soldiers' vital signs, ensuring durability, wireless data transmission, and seamless integration with central monitoring systems for enhanced military health management</t>
  </si>
  <si>
    <t>The technology and methodology described above for creating the wearable neck device prototype for the GuardianPulse Soldier Health Monitoring System leverage several key components and methodologies:
1. *Sensor Integration:* Utilizing PPG (Photoplethysmography) and optionally ECG sensors to monitor vital signs such as heartbeat and pulse.
2. *Microcontroller Selection:* Using platforms like Arduino Nano, ESP32, or Raspberry Pi for processing sensor data and controlling device functions.
3. *Communication Module:* Incorporating Bluetooth Low Energy (BLE) or Wi-Fi modules for real-time data transmission to a central monitoring system.
4. *Power Management:* Employing rechargeable lithium-ion batteries with voltage regulators to ensure long-lasting power and stable operation.
5. *Enclosure Design:* Developing a comfortable and durable casing using CAD software and 3D printing technology to house the components and ensure usability.
6. *Software Development:* Writing code to process sensor data in real time, manage wireless communication, and develop a user-friendly interface for data visualization.
7. *Testing and Iteration:* Conducting rigorous testing phases, including component testing, integrated system testing, and field testing with users to gather feedback and refine the prototype iteratively.
8. *Documentation and Presentation:* Documenting technical aspects, including hardware schematics, software code, and assembly instructions, and preparing for presentations to showcase the prototype’s functionality and features.
By following these steps and leveraging these technologies, you can systematically develop and refine a wearable neck device prototype tailored for monitoring soldier health effectively in various operational environments. Each stage emphasizes functionality, reliability, and user-centric design to meet the project's objectives comprehensively.</t>
  </si>
  <si>
    <t>https://drive.google.com/open?id=1IyzBSNEo8LJ9kO3fKBaYNRKR2nqGqbKw</t>
  </si>
  <si>
    <t>The market potential for the GuardianPulse Soldier Health Monitoring System prototype is robust, driven by increasing demand for wearable health monitoring devices in military and defense sectors worldwide. This includes applications in improving soldier health, safety, and operational efficiency through real-time vital signs monitoring. Additionally, the technology could potentially expand into broader markets such as emergency response, sports performance monitoring, and remote healthcare, enhancing its overall commercial viability and scalability.</t>
  </si>
  <si>
    <t>Low End:
- PPG Sensor: ₹415
- ECG Sensor: ₹829
- Microcontroller (Arduino Nano): ₹1,659
- Communication Module (BLE): ₹415
- Battery: ₹415
- Charger Circuit: ₹248
- Voltage Regulator: ₹83
- 3D Printing: ₹829
- Miscellaneous: ₹415
Total Low End:
- ₹415 + ₹829 + ₹1,659 + ₹415 + ₹415 + ₹248 + ₹83 + ₹829 + ₹415 = ₹5,308
High End:
- PPG Sensor: ₹829
- ECG Sensor: ₹1,659
- Microcontroller (Arduino Nano): ₹2,488
- Communication Module (BLE): ₹829
- Battery: ₹829
- Charger Circuit: ₹415
- Voltage Regulator: ₹248
- 3D Printing: ₹1,659
- Miscellaneous: ₹829
Total High End:
- ₹829 + ₹1,659 + ₹2,488 + ₹829 + ₹829 + ₹415 + ₹248 + ₹1,659 + ₹829 = ₹9,785
The estimated hardware cost per prototype in Indian Rupees (INR) is:
- *Low-End Estimate:* ₹5,308
- *High-End Estimate:* ₹9,785</t>
  </si>
  <si>
    <t>https://drive.google.com/open?id=14D78bozEwsSWIcHe4al2F52AOTxivCK2</t>
  </si>
  <si>
    <t>• Research and Development: 1 months to 2 months • Prototype Development: 1 months to 2 months • Field Trials and Validation: 1 months to 2 months • Certification and Regulatory Approval: 2 to 4 months • Integration and Deployment: 2 to 4 months • Total Estimated Timeline: 4 to 6 months</t>
  </si>
  <si>
    <t>Ace-crew</t>
  </si>
  <si>
    <t>Kavinbalaji</t>
  </si>
  <si>
    <t>kavinbalaji365@gmail.com</t>
  </si>
  <si>
    <t>Coimbatore, India - 642123</t>
  </si>
  <si>
    <t>https://drive.google.com/open?id=1VDb-zmRoQXhF3N-4BD-q6JaNK8v8bqSX</t>
  </si>
  <si>
    <t xml:space="preserve">PSG College of Arts and Science </t>
  </si>
  <si>
    <t xml:space="preserve">B.Sc.Statistics </t>
  </si>
  <si>
    <t>22BST025</t>
  </si>
  <si>
    <t xml:space="preserve">Rutra Murthy T , Rohit </t>
  </si>
  <si>
    <t>G FLASH</t>
  </si>
  <si>
    <t>WI-FI</t>
  </si>
  <si>
    <t xml:space="preserve">Providing semless internet to all the individual in public places for free developing a router with high capabality </t>
  </si>
  <si>
    <t>A new form of wirelese device model to provide high speed internet for maximium number of people without any trafic</t>
  </si>
  <si>
    <t>Advance ai in wireless conectivity and wifi technology and software</t>
  </si>
  <si>
    <t>https://drive.google.com/open?id=1cgySHEu-l02vDUWqwNoEl3KRADcWotnH</t>
  </si>
  <si>
    <t>the need of internet is increasing day to day and have huge potintial</t>
  </si>
  <si>
    <t>1.8 lakh</t>
  </si>
  <si>
    <t>https://drive.google.com/open?id=1lrP9ApDPFVNTaSMAMsHL-CqHfvzzBZZc</t>
  </si>
  <si>
    <t>6 month</t>
  </si>
  <si>
    <t>The big three</t>
  </si>
  <si>
    <t xml:space="preserve"> V VISHAL</t>
  </si>
  <si>
    <t>vishal.2201252@srec.ac.in</t>
  </si>
  <si>
    <t>+919080928245</t>
  </si>
  <si>
    <t>Site no 44 Raja ganapati nagar Kathirnayakenpalayam thoppampatti post Coimbatore 641017</t>
  </si>
  <si>
    <t>https://drive.google.com/open?id=1aZ-jrQytFxMa61EX3OUWv0kciGQFcm90</t>
  </si>
  <si>
    <t xml:space="preserve">Sri Ramakrishna engineering College </t>
  </si>
  <si>
    <t>VISHAL V , YUVAN SAKTHI S , THARUN AKASH A</t>
  </si>
  <si>
    <t xml:space="preserve">Brain controlled wheel chair </t>
  </si>
  <si>
    <t>Healthcare</t>
  </si>
  <si>
    <t>### Project Proposal: Development of a Brain-Controlled Wheelchair
**1. Introduction:**
The advancement of assistive technology has significantly improved the quality of life for individuals with disabilities. However, those with severe physical impairments often face challenges in mobility. This proposal introduces the development of a brain-controlled wheelchair, leveraging cutting-edge Brain-Computer Interface (BCI) technology to offer enhanced independence and mobility to users who are unable to operate traditional wheelchairs due to paralysis or motor impairments.
**2. Objectives:**
The primary objective of this project is to create a functional prototype of a brain-controlled wheelchair capable of interpreting user intentions through neural signals. Key goals include:
- Developing a reliable BCI system that accurately interprets brain signals for wheelchair control.
- Integrating the BCI technology seamlessly with motorized wheelchair mechanics.
- Ensuring the safety, usability, and affordability of the wheelchair for the target user group.
**3. Project Scope:**
The project encompasses:
- Research and development of BCI algorithms and signal processing techniques tailored for real-time wheelchair control.
- Design and engineering of a prototype motorized wheelchair equipped with integrated BCI capabilities.
- Implementation of robust safety features and user-friendly controls.
- Conducting user trials and feedback sessions to optimize the technology.
- Addressing regulatory requirements and ethical considerations for medical device deployment.
**4. Methodology:**
The development process will proceed through distinct phases:
- **Phase 1: Research and Concept Development**
  - Review existing BCI technologies and wheelchair designs.
  - Define BCI specifications for accuracy, response time, and usability.
- **Phase 2: Prototyping and Testing**
  - Develop initial prototypes integrating BCI sensors with wheelchair controls.
  - Validate functionality and safety through controlled testing.
- **Phase 3: Iterative Refinement and Optimization**
  - Gather user feedback to refine BCI algorithms and wheelchair ergonomics.
  - Optimize hardware and software components for reliability and performance.
- **Phase 4: Evaluation and Validation**
  - Conduct clinical trials to assess usability, safety, and user satisfaction.
  - Ensure compliance with regulatory standards for medical devices.
**5. Team and Resources:**
The project will require collaboration among multidisciplinary teams including:
- Engineers specializing in robotics, electronics, and software development.
- Neuroscientists and BCI experts for signal processing and algorithm development.
- Medical professionals for clinical trials and user feedback.
**6. Timeline:**
- Phase 1: Research and Concept Development (6 months)
- Phase 2: Prototyping and Testing (12 months)
- Phase 3: Iterative Refinement (6 months)
- Phase 4: Evaluation and Validation (12 months)
**7. Budget:**
A comprehensive budget will be developed to cover expenses such as research materials, prototype development, testing facilities, and personnel costs. Funding sources may include government grants, private investors, and partnerships with healthcare institutions.
**8. Expected Outcomes:**
Successful completion of this project will yield:
- A functional prototype of a brain-controlled wheelchair.
- Validation through clinical trials demonstrating usability and safety.
- Dissemination of findings through scientific publications and conference presentations.
- Potential pathways for commercialization and widespread availability of the technology.
**9. Conclusion:**
The development of a brain-controlled wheelchair represents a transformative leap in assistive technology, offering unprecedented mobility and autonomy to individuals with severe physical disabilities. This proposal outlines a structured approach to achieve our objectives through innovation, collaboration, and dedication to improving quality of life.
**10. Next Steps:**
Pending approval, Phase 1 activities will commence with a focus on research and concept development. Stakeholders will receive regular updates on progress and milestones to ensure transparency and accountability throughout the project lifecycle.
This proposal underscores our commitment to advancing assistive technologies and empowering individuals with disabilities to live more independent and fulfilling lives.</t>
  </si>
  <si>
    <t>The development of a brain-controlled wheelchair represents a unique and pioneering project in the field of assistive technology for several compelling reasons:
1. **Innovative Use of Brain-Computer Interface (BCI) Technology:**
   - This project integrates advanced BCI technology with motorized wheelchair functionality, allowing users to control their movements through neural signals. Unlike traditional wheelchairs that rely on physical input (e.g., joystick), a brain-controlled wheelchair offers a novel interface that directly interprets the user's intent from brain activity. This innovation promises greater independence for individuals with severe motor disabilities who may not have reliable motor control.
2. **Customization for Severe Physical Disabilities:**
   - The project targets individuals with severe physical disabilities, including those with paralysis or limited motor function. While existing assistive technologies provide some level of support, a brain-controlled wheelchair specifically caters to users who face significant challenges in conventional wheelchair operation due to their physical condition. By focusing on this underserved population, the project addresses a critical gap in current assistive technology solutions.
3. **Integration of Safety Features and User-Friendly Design:**
   - Safety is paramount in the design of the brain-controlled wheelchair. The project includes the implementation of robust safety features such as emergency stop mechanisms and obstacle detection systems, ensuring the user's well-being during operation. Additionally, the wheelchair's user interface is designed to be intuitive and user-friendly, accommodating users with varying degrees of cognitive ability.
4. **Multidisciplinary Approach and Collaboration:**
   - The project involves collaboration among experts from diverse fields including robotics, neuroscience, electronics, software development, and healthcare. This multidisciplinary approach ensures that the BCI technology is developed with rigorous scientific methods and engineering principles while considering the practical needs and feedback of end-users. Such collaboration enhances the project's robustness and applicability in real-world settings.
5. **Ethical and Regulatory Considerations:**
   - As a medical device, the brain-controlled wheelchair adheres to stringent ethical standards and regulatory requirements. The project includes careful consideration of ethical implications such as user consent, privacy of neural data, and equitable access to the technology. Compliance with regulatory standards ensures that the wheelchair meets safety and performance criteria before clinical trials and eventual deployment.
6. **Potential for Impact and Commercialization:**
   - Upon successful development and validation, the brain-controlled wheelchair has the potential for significant impact beyond the research phase. It opens avenues for commercialization, partnerships with healthcare providers, and integration into clinical practices and rehabilitation facilities. The project's outcomes could pave the way for future advancements in assistive technology and improve the quality of life for a broad spectrum of users worldwide.
In summary, the uniqueness of this project lies in its innovative use of BCI technology to empower individuals with severe physical disabilities, its comprehensive approach to safety and usability, its collaboration across multiple disciplines, and its potential to transform the landscape of assistive technology. By addressing specific challenges faced by users with profound motor impairments, the brain-controlled wheelchair aims to offer unprecedented mobility and independence, marking a significant advancement in the field of healthcare technology.</t>
  </si>
  <si>
    <t>### Technical Approach and Methodology for Developing a Brain-Controlled Wheelchair
#### Technical Approach:
1. **Brain-Computer Interface (BCI) Technology:**
   - **Signal Acquisition:** Utilize non-invasive methods such as electroencephalography (EEG) to capture neural signals from the user's brain.
   - **Signal Processing:** Develop algorithms for real-time processing and interpretation of EEG signals to extract meaningful commands for wheelchair control.
   - **Machine Learning Techniques:** Implement machine learning models to adaptively learn and recognize patterns in neural signals, enhancing the accuracy and responsiveness of the BCI system over time.
2. **Wheelchair Integration:**
   - **Motorized Wheelchair Design:** Engineer a motorized wheelchair platform capable of translating BCI commands into physical movements.
   - **Actuation and Control:** Integrate actuators, sensors, and control systems that respond to BCI commands for navigation (e.g., forward, backward, turning).
   - **Safety Features:** Design fail-safe mechanisms such as emergency stop buttons and collision avoidance systems to ensure user safety during operation.
3. **User Interface and Feedback:**
   - **Intuitive Control Interface:** Develop a user-friendly interface that translates BCI outputs into understandable commands, ensuring ease of use for individuals with varying cognitive abilities.
   - **Feedback Mechanisms:** Implement visual or auditory feedback to confirm user commands and provide situational awareness (e.g., obstacle detection alerts).
4. **Testing and Validation:**
   - **Prototype Development:** Iteratively build and refine prototypes based on initial concepts and user feedback.
   - **Simulation and Testing:** Use simulation tools and controlled environments to assess functionality, reliability, and safety of the brain-controlled wheelchair.
   - **User Trials:** Conduct structured trials with target users to evaluate usability, comfort, and overall satisfaction with the technology.
#### Methodology:
**Phase 1: Research and Concept Development**
- **Objective:** Conduct a comprehensive review of existing BCI technologies and wheelchair designs to inform initial concepts.
- **Activities:**
  - Identify key requirements for BCI accuracy, signal processing speed, and usability.
  - Explore different EEG electrode placements and signal processing techniques.
  - Define specifications for the motorized wheelchair platform and integration points for BCI components.
**Phase 2: Prototyping and Testing**
- **Objective:** Develop functional prototypes integrating BCI sensors with wheelchair controls.
- **Activities:**
  - Design and fabricate initial prototypes of the motorized wheelchair.
  - Integrate BCI hardware and software components with the wheelchair platform.
  - Conduct controlled testing to validate basic functionality and initial safety features.
**Phase 3: Iterative Refinement and Optimization**
- **Objective:** Gather user feedback to refine BCI algorithms and optimize wheelchair design.
- **Activities:**
  - Engage target users in usability testing sessions to gather qualitative and quantitative feedback.
  - Analyze data from user trials to identify areas for improvement in BCI accuracy, responsiveness, and ergonomic design.
  - Iteratively refine software algorithms and hardware components based on user feedback and performance metrics.
**Phase 4: Evaluation and Validation**
- **Objective:** Conduct comprehensive evaluation and validation of the brain-controlled wheelchair.
- **Activities:**
  - Perform extensive testing in simulated environments to assess reliability, safety, and performance under various conditions.
  - Initiate clinical trials with volunteer participants to evaluate real-world usability, comfort, and user satisfaction.
  - Ensure compliance with regulatory standards and ethical guidelines for medical devices.
**Conclusion:**
The technical approach and methodology outlined above emphasize a systematic and iterative process to develop a brain-controlled wheelchair. By integrating advanced BCI technology with robust wheelchair engineering, the project aims to deliver a transformative assistive device that enhances mobility and independence for individuals with severe physical disabilities. Through rigorous testing, user-centric design, and interdisciplinary collaboration, the project strives to achieve high standards of safety, reliability, and user satisfaction, ultimately contributing to advancements in assistive technology and healthcare innovation.</t>
  </si>
  <si>
    <t>https://drive.google.com/open?id=1TeX-IJZhafbM1OIZcT9Yow8YJJH9XCaR</t>
  </si>
  <si>
    <t>The brain-controlled wheelchair targets a niche market for assistive technologies, with potential for growth in accessibility and healthcare sectors.</t>
  </si>
  <si>
    <t>https://drive.google.com/open?id=1lb5bpxi367m_sEXbYW1haMlscWTMJSy-</t>
  </si>
  <si>
    <t xml:space="preserve">4 - 6 months </t>
  </si>
  <si>
    <t>DRIPNINE TEAM</t>
  </si>
  <si>
    <t xml:space="preserve">Saurav K K </t>
  </si>
  <si>
    <t>172001077.scon@gmail.com</t>
  </si>
  <si>
    <t xml:space="preserve">P68/F3 , CVD PTMS IAF AVADI CHENNAI </t>
  </si>
  <si>
    <t>https://drive.google.com/open?id=17xIR63RMSklVXbzZ0l5vg1YoSTPKDz1s</t>
  </si>
  <si>
    <t xml:space="preserve">SAVEETHA COLLEGE OF NURSING SAVEETHA INSTITUTE OF MEDICAL AND TECHNICAL SCIENCES THANDALAM CHENNAI -602105 </t>
  </si>
  <si>
    <t xml:space="preserve">NURSING </t>
  </si>
  <si>
    <t xml:space="preserve">SAURAV K K </t>
  </si>
  <si>
    <t xml:space="preserve">DRIPLINK </t>
  </si>
  <si>
    <t xml:space="preserve">HEALTHCARE AND HEALTH TECH </t>
  </si>
  <si>
    <t>Yes I have won an award as Silver Nurse Researcher for presentation of this Prototype of my innovative idea.Due to heavy workloads people even forget to do their most important work. If nurses working in hospitals forget to change the glucose trip bottle once it is emptied, it will bring a bad consequences to the patient. To remind the nurses, we can send an alert message to their phones saying that glucose bottle is going to be empty, as everyone will continuously use their mobile phones in this modern world. The system consists of micro controller which receives input from the load sensor and it send output to the GSM module. An alerting signal using sound alarms for replacing the glucose trip bottles is being used in very few hospitals. The sound alarms may not be heard by nurses if they are not too close enough and obviously sound cannot be increased as it is a hospital. So replacing the sound alarms with the alerting phone message may be still more efficient since everyone will use their phone always and thus using a GSM module is not so much costlier and it can be easily implemented. Coming to the setup, the overall system can be made to get stick on the glucose bottle and it is a temporary sticking and therefore they can be used for the next glucose bottles. The load sensor can also be made to hang in the bottle stand in which the glucose bottle can be made to hang. Therefore using a GSM module to send an alerting message is an efficient method. A wireless sensor system can be used for intravenous dripping system, which can detect when an intravenous liquid, provided to patients in hospitals, run out, as well as detecting obstructions in the catheter(1). IV DRIP is a simple, low-cost, mechanical automatic volume regulator to deliver intravenous fluid in low-resource settings. The device consists of two levers such as an IV bag hangs on the upper lever, while a counterweight hangs on the lower notched lever. The position of this counterweight dictates the volume of fluid dispensed. When the target volume is delivered, the levers tip and kink the IV tubing, stopping fluid flow and thus preventing over hydration (2). An automated system will be designed to detect the level of the Intra- Venous fluid and to send this critical data over a wireless transmitter. The data sent will be displayed in a dashboard (3).</t>
  </si>
  <si>
    <t>It will Displace all Infusion pumps in the Market with Just 2500-4000 instead of 50,000 to 1 lakh.</t>
  </si>
  <si>
    <t>In health care settings there is a common complication when the IV fluid infusion is not monitored timely either due to heavy work load of the Nurses and other health. care professionals or due to any other diverting factors majorly during the night shifts the fluid in the IV bag gets emptied and the patient's blood probably would start flowing through the IV tube in the reverse direction towards the empty IV bag
as there is a pressure difference where the human body has higher pressure compare to IV bag the process of diffusion occurs causing blood loss and pain at times. Using a GSM module to send an alerting message is an efficient method. A wireless sensor system can be used for intravenous dripping system, which can detect when an intravenous liquid, provided to patients in hospitals, run out, as well as detecting obstructions in the catheter(1). IV DRIP is a simple, low-cost, mechanical automatic volume regulator to deliver intravenous fluid in low-resource settings. The load sensor consists of two types of output such as inverting output and non-inverting output. The S-type load cell is hanged in the glucose hanger and the glucose bottle is hanged at the other end in the S-type load cell. Thus the weight of the bottle measured is converted into the corresponding voltage and hence the output from the load cell is in the form of voltage and the voltage level is magnified to the certain level and the non-inverting output of the load cell is given as input to the one of the PWM pins in ATMEGA board. The PWM pins output will be varying from 0-255. We use the load cell range from 0-750 gm. So the maximum value of PWM pins values will be 255 when the load cell can measure to its maximum range. This is called as scaling. But for our application the glucose bottle maximum weight is 500 which is equal to 170 in the PWM output. Thus once when the bottle is full the PWM pin output will be 170 at the time GSM module will send the message as "the bottle is full". The bottle's level is continuously measured, if there is any interrupt in measuring the glucose level, GSM module will send the message as "check the apparatus". And when the glucose level reaches half that is the PWM pin output is 85, the GSM module will send the message as "the bottle is reduced to 50%". And when the glucose level reaches the 10% that is the PWM output is 17, the emergency alert is generated and the alert message is sent as" emergency, the bottle is reduced to 10%". The power supply for the GSM module and the ATmega board is given using 12V adapter. Table 1 shows the Characteristics of glucose replacement schedule.
Description of the invention
System components: Microcontroller processes load sensor input, sends alerts via GSM module.
Issue with sound alarms: Not always heard; replacing with phone messages via GSM module is cost-effective.
Implementation: System attaches temporarily to glucose bottle; load sensor hangs in bottle stand.
Wireless sensor system for IV drip: Detects fluid depletion, catheter obstructions.
IV DRIP device: Mechanical regulator for intravenous fluid, prevents overhydration.
Automated system: Detects IV fluid level, transmits data wirelessly, displays on dashboard.</t>
  </si>
  <si>
    <t>https://drive.google.com/open?id=1XtQsfguySYcsK-aXZzpcL44GZ2ITa-wY</t>
  </si>
  <si>
    <t xml:space="preserve">It can Capture maximum sales in the market and I have my patent. </t>
  </si>
  <si>
    <t xml:space="preserve">5,000 for buying parts and assembly.
50,000 to 1 lakh maximum (including machine moulding ) </t>
  </si>
  <si>
    <t>https://drive.google.com/open?id=1FRGI4gPeC5DEvRIxPLIM6ZNPYLKH0zK8</t>
  </si>
  <si>
    <t xml:space="preserve">4months </t>
  </si>
  <si>
    <t xml:space="preserve">RESOURCE MANAGERS </t>
  </si>
  <si>
    <t>Saksham</t>
  </si>
  <si>
    <t>sakshamsumal2697@gmail.com</t>
  </si>
  <si>
    <t>h.no- 295, Old Bank Street, Rithala, Rohini, New Delhi - 110085.</t>
  </si>
  <si>
    <t>https://drive.google.com/open?id=1x_Vnx1DT61gFW9JR6Xc6lxYyII4P3_jJ</t>
  </si>
  <si>
    <t xml:space="preserve">Noida Institute of Engineering and Technology, Greater Noida, Uttar Pradesh </t>
  </si>
  <si>
    <t>ME</t>
  </si>
  <si>
    <t>1st year</t>
  </si>
  <si>
    <t>Salt Water Potabliser</t>
  </si>
  <si>
    <t>Manufacturing Sector</t>
  </si>
  <si>
    <t>the motivation behind this project is to reduce the wastage of raw material in the process of manufacturing mineral water, &amp; to reduce the dependency of this industry on a particular type of water as its raw material.
this is the first time this project is being showcased publicly, before this moment, this project has never been shortlisted in any govt./ private/ any other competition.</t>
  </si>
  <si>
    <t>this project causes less pollution as compared to the existing machinery of this sector in market.
this project increases the yield of final product without increasing the expenditure on raw material.
this project decreases the OVERALL SET-UP COST of a mineral water plant.*</t>
  </si>
  <si>
    <t xml:space="preserve">this project is based on the phenomenon of evaporation.
Hydrogen burns --&gt; water heats --&gt; water boils --&gt; water evaporates --&gt; pollutants are non volatile --&gt; can't evaporate --&gt; gets left behind --&gt; water is condensed to liquid form --&gt; pure water is obtained --&gt; essential minerals are added as per need.
</t>
  </si>
  <si>
    <t>https://drive.google.com/open?id=1dgLqyyPxm_vXB922QmM2mQPfLs7mF6RB</t>
  </si>
  <si>
    <t>+15 MILLION USD</t>
  </si>
  <si>
    <t>Rs. 1,25,000</t>
  </si>
  <si>
    <t>https://drive.google.com/open?id=1lhWxnUeHxvz7EuglSm2UItT0PeIKDOz2</t>
  </si>
  <si>
    <t>5 months</t>
  </si>
  <si>
    <t>Coeus</t>
  </si>
  <si>
    <t>Chandhuru</t>
  </si>
  <si>
    <t>chandhuru.2102028@srec.ac.in</t>
  </si>
  <si>
    <t>10/256,Devala,The Nilgiris, 643212</t>
  </si>
  <si>
    <t>https://drive.google.com/open?id=189AK9VxCBupV0956Re8LEay-s3XV6LLk</t>
  </si>
  <si>
    <t>Sri Ramakrishna Engineering College</t>
  </si>
  <si>
    <t>Chandhuru R</t>
  </si>
  <si>
    <t>EcoTrack: Smart Environmental Monitoring System</t>
  </si>
  <si>
    <t>IOT</t>
  </si>
  <si>
    <t>Our project, EcoTrack: Smart Environmental Monitoring System, aims to revolutionize the way we monitor and manage environmental conditions using cutting-edge technology. The motivation behind this project is rooted in the urgent need to address global environmental challenges such as climate change, pollution, and resource depletion. By leveraging advanced electronics and IoT (Internet of Things) technology, EcoTrack provides a comprehensive solution for real-time environmental monitoring, enabling better decision-making and proactive measures to protect our planet.</t>
  </si>
  <si>
    <t>EcoTrack is a unique project that combines state-of-the-art hardware and software to create a robust, scalable, and user-friendly environmental monitoring system. The core components of EcoTrack include:
Multi-Sensor Modules: Each EcoTrack unit is equipped with a variety of sensors to measure key environmental parameters such as temperature, humidity, air quality (CO2, PM2.5, PM10), soil moisture, and water quality (pH, turbidity). These sensors are selected for their high accuracy, low power consumption, and durability in harsh environmental conditions.
Edge Computing: EcoTrack units are powered by advanced microcontrollers with edge computing capabilities, allowing for local data processing and analysis. This reduces the need for constant data transmission to central servers, saving bandwidth and energy.
Wireless Connectivity: The system uses low-power wide-area network (LPWAN) technology, such as LoRaWAN or NB-IoT, to ensure reliable long-range communication between sensor nodes and the central monitoring hub. This makes EcoTrack suitable for deployment in remote and hard-to-reach areas.
Solar Power: Each EcoTrack unit is equipped with a solar panel and energy storage system, ensuring continuous operation even in off-grid locations. This sustainable power solution aligns with the project's environmental goals.
AI-Powered Analytics: The data collected by EcoTrack units is transmitted to a central server where it is processed using artificial intelligence (AI) algorithms. These algorithms detect patterns, predict trends, and provide actionable insights to users. For example, AI can forecast air quality levels based on historical data and weather patterns, enabling timely alerts and interventions.
User-Friendly Interface: EcoTrack features a web and mobile application that allows users to view real-time data, receive alerts, and generate reports. The interface is designed to be intuitive and accessible, making it easy for users to understand and act on the information provided.
Motivation and Impact
The primary motivation behind EcoTrack is to empower communities, organizations, and governments with the tools they need to monitor and manage environmental conditions effectively. By providing accurate and timely data, EcoTrack helps users to:
Mitigate Environmental Hazards: Early detection of pollution, temperature extremes, or other environmental threats enables prompt action to mitigate their impact on human health and ecosystems.
Optimize Resource Management: Real-time monitoring of soil moisture and water quality helps in optimizing irrigation and water use, promoting sustainable agricultural practices.
Support Regulatory Compliance: EcoTrack assists organizations in complying with environmental regulations by providing detailed and accurate records of environmental conditions.
Raise Awareness: By making environmental data accessible and understandable, EcoTrack raises awareness about environmental issues and encourages proactive behavior among individuals and communities.
Achievements and Recognition
EcoTrack has already gained significant attention and recognition within the innovation and environmental technology communities. The project was shortlisted in the prestigious GreenTech Innovation Challenge 2023 and won the Sustainable Tech Startup Award at the EcoSolutions Expo 2024. These accolades reflect the project's potential to make a substantial impact on environmental monitoring and management.
In summary, EcoTrack is a pioneering project that leverages advanced electronics and IoT technology to create a smart, sustainable, and scalable environmental monitoring system. The motivation behind this project is to provide a powerful tool for addressing global environmental challenges, and its recognition in various competitions underscores its innovation and potential for positive impact.</t>
  </si>
  <si>
    <t>1. Hardware Components
Multi-Sensor Modules: The project utilizes an array of sensors to capture various environmental parameters:
Temperature and Humidity Sensors: DHT22 or SHT31 sensors provide high accuracy and reliability.
Air Quality Sensors: MQ135 for detecting gases like CO2, NH3, and benzene; PM2.5/PM10 sensors for particulate matter.
Soil Moisture Sensors: Capacitive soil moisture sensors for reliable readings.
Water Quality Sensors: pH sensors and turbidity sensors for monitoring water health.
Microcontroller: Advanced microcontrollers like ESP32 or ARM Cortex-M4 with built-in Wi-Fi and Bluetooth capabilities.
Edge Computing Devices: Raspberry Pi or similar single-board computers to handle local data processing.
Wireless Connectivity Modules: LoRaWAN and NB-IoT modules for long-range, low-power communication.
Solar Power System: High-efficiency solar panels paired with lithium-ion batteries and power management ICs for sustainable energy.
2. Software Components
Embedded Software: Custom firmware developed using Arduino IDE or PlatformIO for microcontrollers, ensuring efficient sensor data acquisition and preprocessing.
Data Management Platform: Cloud-based platforms such as AWS IoT, Azure IoT Hub, or Google Cloud IoT for data storage, processing, and visualization.
Artificial Intelligence Algorithms: Machine learning models developed using TensorFlow or PyTorch to analyze sensor data, detect patterns, and predict environmental trends.
Web and Mobile Application: User interfaces developed using frameworks like React.js for the web and Flutter for mobile applications, providing real-time data visualization, alerts, and reporting features.
3. Methodology
Requirement Analysis and Design: Comprehensive analysis of user requirements and environmental monitoring needs to design the system architecture and select appropriate sensors and technologies.
Prototyping and Testing: Development of initial prototypes to test sensor accuracy, data transmission, and power efficiency. Iterative testing and refinement to ensure reliability and performance in various environmental conditions.
Edge Computing Implementation: Integration of edge computing capabilities to enable local data processing, reducing latency and dependency on cloud resources. This includes the deployment of AI models on edge devices to perform real-time analysis.
Wireless Network Configuration: Setting up and optimizing LPWAN networks (LoRaWAN, NB-IoT) to ensure robust and energy-efficient communication between sensor nodes and the central hub.
Data Integration and Analysis: Centralized collection of data from all sensor nodes, stored in cloud databases. Use of AI and machine learning to analyze data, generate insights, and predict environmental trends.
User Interface Development: Creation of intuitive web and mobile applications that allow users to monitor real-time data, receive alerts, and access detailed reports. User feedback is incorporated to continuously improve the interface.
Field Deployment and Monitoring: Strategic placement of EcoTrack units in diverse environmental settings to monitor performance and gather real-world data. Ongoing monitoring and maintenance to ensure system reliability and accuracy.
Feedback and Improvement: Collection of user feedback and performance data to identify areas for improvement. Continuous iteration and enhancement of hardware and software components based on real-world usage.
4. Sustainability and Scalability
Energy Efficiency: Use of low-power sensors and microcontrollers, coupled with solar power systems, to ensure long-term sustainability and minimal environmental impact.
Modular Design: A modular approach to hardware and software design allows for easy scalability and customization to meet different environmental monitoring needs.
Open Standards and Interoperability: Adherence to open standards for data formats and communication protocols ensures compatibility with other IoT devices and systems, facilitating integration and expansion.
In summary, EcoTrack employs a combination of advanced hardware, cutting-edge software, and a robust methodological framework to create an effective and sustainable environmental monitoring system. This holistic approach ensures that EcoTrack is not only innovative and accurate but also scalable and adaptable to various environmental monitoring applications.</t>
  </si>
  <si>
    <t>https://drive.google.com/open?id=16AcNbCCijAaqtfji-c8caBRoLoo94QMT</t>
  </si>
  <si>
    <t>The market potential for EcoTrack is substantial, driven by growing environmental awareness, regulatory pressures, and the increasing adoption of smart technologies across various sectors. Here’s a detailed analysis of the market potential:  1. Environmental Monitoring Market Growth The global environmental monitoring market is projected to grow significantly in the coming years. According to market research, the market was valued at approximately $14 billion in 2020 and is expected to reach over $25 billion by 2027, growing at a CAGR of around 8%. Factors driving this growth include heightened environmental regulations, increasing pollution levels, and the need for sustainable resource management.  2. Target Segments EcoTrack's versatile and scalable design makes it suitable for multiple market segments:  Agriculture: Precision agriculture is a rapidly growing field, with farmers increasingly relying on IoT and sensor technologies to optimize crop yields and resource usage. EcoTrack’s soil moisture and environmental sensors can help farmers monitor field conditions in real-time, improving irrigation efficiency and reducing water usage.  Industrial and Urban Areas: Monitoring air and water quality in industrial zones and urban areas is critical for ensuring compliance with environmental regulations and protecting public health. EcoTrack can provide continuous, real-time data on pollutants, helping industries and municipalities to take proactive measures.  Forestry and Wildlife Conservation: EcoTrack can be deployed in forests and wildlife reserves to monitor environmental conditions and detect potential threats such as wildfires or illegal activities, aiding in conservation efforts.  Smart Cities: As cities around the world adopt smart city initiatives, there is a growing need for integrated environmental monitoring systems. EcoTrack can contribute to creating healthier, more sustainable urban environments by providing data for air quality management, green infrastructure planning, and climate resilience strategies.  Research and Education: Universities and research institutions can use EcoTrack for environmental research and educational purposes, providing hands-on experience with advanced monitoring technologies.  3. Competitive Advantage EcoTrack stands out in the market due to several unique features:  Comprehensive Monitoring: Unlike many competitors that focus on specific parameters, EcoTrack offers a holistic solution with a wide range of sensors for comprehensive environmental monitoring.  Edge Computing: By incorporating edge computing, EcoTrack reduces data latency and bandwidth usage, offering faster and more efficient data processing compared to systems that rely solely on cloud computing.  Sustainable Power: The integration of solar power ensures that EcoTrack units can operate autonomously in remote and off-grid locations, a feature not commonly available in many existing systems.  User-Friendly Interface: The intuitive web and mobile applications make it easy for users to access and interpret data, receive alerts, and generate reports, enhancing user engagement and satisfaction.  4. Regulatory and Compliance Support Stricter environmental regulations worldwide are pushing industries and governments to adopt advanced monitoring solutions. EcoTrack can help organizations comply with regulations by providing accurate and continuous data, aiding in reporting and ensuring timely corrective actions. This compliance aspect adds significant value to EcoTrack’s market proposition.  5. Partnerships and Collaborations Forming strategic partnerships with agricultural cooperatives, environmental NGOs, smart city planners, and tech integrators can further enhance market penetration. Collaborations with academic and research institutions can also drive innovation and adoption.  6. Geographical Expansion The demand for environmental monitoring solutions is global, with particularly high growth expected in regions facing severe pollution challenges, such as Asia-Pacific, as well as regions with strong regulatory frameworks, like North America and Europe. Expanding into emerging markets in Africa and Latin America also presents significant opportunities due to increasing environmental awareness and investment in smart infrastructure.  7. Future Trends Climate Change Mitigation: As the impacts of climate change become more evident, there will be a heightened demand for technologies that help monitor and mitigate its effects. EcoTrack can play a crucial role in this by providing critical data for climate resilience planning.  Data Analytics and Integration: The future of environmental monitoring lies in advanced data analytics and integration with other smart systems. EcoTrack’s AI-powered analytics can offer deeper insights, and its modular design ensures easy integration with broader IoT ecosystems.  In conclusion, EcoTrack has a robust market potential across various sectors and regions. Its comprehensive monitoring capabilities, sustainable design, and user-friendly features position it well to capitalize on the growing demand for smart environmental monitoring solutions. By addressing critical environmental challenges and supporting regulatory compliance, EcoTrack is poised to become a key player in the environmental monitoring market.</t>
  </si>
  <si>
    <t>Total Project Budget
Item	Total Cost (INR)
Hardware Components	196,000
Software Development	650,000
Testing and Prototyping	200,000
Deployment and Maintenance	150,000
Miscellaneous	169,600
Grand Total	1,365,600</t>
  </si>
  <si>
    <t>https://drive.google.com/open?id=11OvaVfQ0AoIiyabGzBI76wI6_QLB4RjD</t>
  </si>
  <si>
    <t>6months</t>
  </si>
  <si>
    <t>Future Layoff</t>
  </si>
  <si>
    <t xml:space="preserve">Sandeep Yadav </t>
  </si>
  <si>
    <t>sandeepyadav004343@gmail.com</t>
  </si>
  <si>
    <t>Dhruv Hostel, ITS Engineering COllege, Greater Noida</t>
  </si>
  <si>
    <t>https://drive.google.com/open?id=1raDz7jiT6te3tJdwbtVf3kI7eNeSb_bI</t>
  </si>
  <si>
    <t>ITS engineering College</t>
  </si>
  <si>
    <t xml:space="preserve">Moh. Faizan, Harsh Patel </t>
  </si>
  <si>
    <t xml:space="preserve">Smart Fridge and recipe </t>
  </si>
  <si>
    <t xml:space="preserve">Machine Learning </t>
  </si>
  <si>
    <t>We are  developing an intelligent fridge monitoring system that leverages Arduino, PC, Kinect camera, and cloud services to identify and manage items in your fridge. Here’s how it works:
Button Trigger: We use a button on an Arduino board to emulate the action of closing the fridge door. This action sends a signal through a serial COM port to a connected PC.
Photo Capture: Upon receiving the signal, the PC triggers a Kinect camera to capture a photo of the fridge's contents.
Photo Processing: The captured photo is compressed and uploaded to our web server, coded in Python with Flask and deployed on Google App Engine Flexible Environment.
Cloud Storage and Metadata: The web server stores the photo in Google Cloud Storage and logs basic image metadata in Google Cloud Datastore.
Image Analysis: The Google Cloud Vision API is invoked to analyze the photo, generating labels for each item and identifying their categories.
Item Categorization: These labels are further refined using the Google KnowledgeGraph API to ensure they represent items typically found in a fridge. The refined data is then stored in Google Cloud Datastore.
Notifications and Commands:
Notifications: Whenever new items are added, Twilio sends an SMS notification to the user.
Commands: Users can text Twilio to:
Check current fridge contents.
Identify items nearing expiration.
Obtain nutritional information.
Search for recipes based on fridge items.
This project automates the process of identifying and managing fridge contents, providing users with real-time updates and valuable information through simple text messages.</t>
  </si>
  <si>
    <t>Integration of Hardware and Software: By combining Arduino for hardware interfacing and PC for data processing, the project bridges physical actions (like closing the fridge door) with digital data processing (image capture and analysis).
Cloud-Based AI and APIs: Utilizing Google Cloud services such as Cloud Vision API and KnowledgeGraph API enhances the system's capability to accurately identify and categorize fridge items based on visual data. This integration enables real-time, cloud-based analysis without the need for extensive local computing power.
User Interaction via SMS: The integration with Twilio allows users to interact with the system through SMS commands, providing convenient access to information about fridge contents, expiration dates, nutritional details, and recipe suggestions. This user-friendly interface enhances accessibility and usability.
Automated Alerts and Notifications: The system proactively notifies users via SMS whenever new items are added to the fridge or when items are nearing their expiration dates. This automated notification system ensures that users are always informed about their fridge contents without manual intervention.
Scalability and Flexibility: Deploying the web server on Google App Engine Flexible Environment ensures scalability and reliability, accommodating potential future expansions and enhancements to the system. This scalability is crucial for adapting to varying user demands and data processing needs over time.</t>
  </si>
  <si>
    <t xml:space="preserve">Google cloud vision, google knowledgegraph, goolge cloud datastorage, google app engine, Arduino, Kinect camera, twilio, python , machine learning, generative idea, </t>
  </si>
  <si>
    <t>https://drive.google.com/open?id=1zI1yj_EDUY8vrrD7mnDoNkexQMrdT9oG</t>
  </si>
  <si>
    <t>Rising Demand for Smart Home Solutions: There is a growing trend towards smart home technologies that automate and enhance everyday tasks, including food management. Consumers increasingly value convenience and efficiency in their daily routines, making a smart fridge system appealing.  Health and Wellness Focus: As more people prioritize health and nutrition, tools that provide real-time information about food items, such as nutritional content and expiration dates, are becoming increasingly valuable. This system addresses these concerns directly by providing actionable insights into fridge contents.  Efficiency and Waste Reduction: By automatically monitoring fridge contents and notifying users about items nearing expiration, the system helps reduce food waste. This sustainability aspect appeals to environmentally conscious consumers and households striving to minimize their ecological footprint.  Integration with Existing Platforms: The ability to interact via SMS through Twilio makes the system accessible to a wide range of users, including those without sophisticated technical knowledge. This versatility enhances market reach across different demographics.  Scalability and Customization: The modular nature of the system, utilizing cloud services and APIs, allows for scalability and customization. It can be adapted to meet varying needs, from individual households to larger-scale applications in commercial settings like restaurants or grocery stores.  Data-Driven Insights: Over time, the system can collect valuable data on consumption patterns and food preferences, potentially offering additional insights for businesses in food retail and logistics.  Technological Advancements: With ongoing advancements in AI, cloud computing, and IoT (Internet of Things), the capabilities and efficiency of such systems are likely to improve, further enhancing market appeal and adoption.</t>
  </si>
  <si>
    <t>Cost of Purchase of Raw Materials and Components:
Arduino Board: Rs 1600
Kinect Camera: Rs 4,000
PC or Raspberry Pi: Rs 25,000 (depending on specifications)
Sensors and Buttons: Rs 6,000
Cables, Connectors, and Miscellaneous Hardware: Rs 2,000
Total Estimated Cost for Raw Materials and Components: Rs 38,000
Product Development Costs:
Software Development (Python with Flask):
Developer Salary/Contractor Fees: Managed by our team  (depending on experience and duration)
Cloud Services (Google App Engine, Cloud Storage, Datastore): Rs 3,000-8,000 (estimated monthly costs for development and testing)
Integration and Testing:
Total Estimated Product Development Costs: Rs 3,000- 8,000
Consultant Costs:
AI and API Integration Consultants:
Consultant Fees: managed by our team (for integrating Google Cloud Vision API, KnowledgeGraph API)
Hardware and IoT Consultants:
Other Costs:
Twilio Integration (SMS Notifications):
Twilio Service Fees: Rs 1,700-2,500 (monthly, depending on SMS usage)
Total Estimated Budget Range:
Low-End Estimate: Rs 35,000
High-End Estimate: Rs 50,000</t>
  </si>
  <si>
    <t>https://drive.google.com/open?id=1ewesg_RzExUEoeQx1A8dTtPNKdUjY3_o</t>
  </si>
  <si>
    <t>1.5 Months</t>
  </si>
  <si>
    <t>Circuit breakers</t>
  </si>
  <si>
    <t>Rakesh. K</t>
  </si>
  <si>
    <t>mrrakeshk1704@gmail.com</t>
  </si>
  <si>
    <t>Nazarathpeta, chennai, Tamilnadu</t>
  </si>
  <si>
    <t>https://drive.google.com/open?id=1LI6KQh-z6hoadqiNWCxcpUH0LTRd7pSU</t>
  </si>
  <si>
    <t>Saveetha schoolof engineering</t>
  </si>
  <si>
    <t>Charulatha. M</t>
  </si>
  <si>
    <t>DigiTag collar</t>
  </si>
  <si>
    <t>IOT product</t>
  </si>
  <si>
    <t>The DigiTag Collar was developed in response to the increasing number of missing pets and the distress their owners endure while searching for them. Recently, I read about a Golden Retriever puppy that was stolen and cruelly mistreated. The puppy's owners suffered greatly, and their distress was compounded by the absence of a protective collar that could have helped locate the dog in time. Inspired by this incident, I decided to introduce the DigiTag Collar. If the puppy had been wearing this collar, it might have been reunited with its owners more quickly. The DigiTag Collar is designed with multiple features aimed at ensuring the safety and well-being of pets. One of its primary components is a health checkup feature that allows owners to monitor their pet's vital signs and overall health. This continuous health monitoring can provide crucial data, helping owners to detect any potential health issues early and seek timely veterinary care. Made from fluorescent material, the DigiTag Collar ensures pets are visible even in low-light conditions. This feature is particularly useful for preventing pets from getting lost or injured during nighttime. For instance, the visibility provided by the fluorescent material could have prevented the Golden Retriever puppy from getting lost on a dark street. Additionally, the collar includes a display for the owner's phone number, making it easier for anyone who finds a lost pet to contact the owner promptly. This simple but essential feature significantly increases the chances of pets being quickly reunited with their families.
A standout feature of the DigiTag Collar is its GPS tracking capability. This allows pet owners to quickly and accurately locate their pets in real time, a feature that is particularly valuable in emergency situations. The GPS function ensures that if a pet goes missing, owners can track its location and recover it swiftly, thereby reducing the time and anxiety associated with searching for a lost pet. The DigiTag Collar offers several special features designed to provide better protection for pets. These include a temperature sensor that monitors the pet's body temperature, ensuring that owners are alerted to any abnormal changes that could indicate a health issue. The GPS feature allows for real-time tracking and geofencing, giving owners peace of mind about their pet's whereabouts. The fluorescent belt enhances visibility, ensuring that pets are seen even in low-light environments. Lastly, the phone number display provides a straightforward method for anyone who finds a lost pet to contact its owner. While there are similar products on the market, the DigiTag Collar stands out by incorporating these essential features into a single, cost-effective solution. The design has been carefully thought out to include the necessary functions that address the most common concerns of pet owners. By providing these features at a lower cost, the DigiTag Collar makes advanced pet protection accessible to a broader range of pet owners. This project has not been exposed to any competitions and was developed independently by our team out of a genuine desire to support and protect pet animals. The development process was entirely self-funded, reflecting our commitment and passion for enhancing the safety and well-being of pets. The DigiTag Collar embodies our dedication to providing pet owners with a reliable, comprehensive, and affordable solution to keep their pets safe and healthy. With its combination of health monitoring, visibility, contact information display, and GPS tracking, the DigiTag Collar offers a superior level of protection and peace of mind for pet owners.</t>
  </si>
  <si>
    <t xml:space="preserve">The DigiTag Collar is unique in several key aspects that set it apart from existing pet protection solutions on the market. Here are the primary features that contribute to its uniqueness:
1.Comprehensive Safety and Health Monitoring:
Health Checkup Feature: Unlike many pet collars that focus solely on tracking, the DigiTag Collar includes a health monitoring feature. This allows owners to monitor vital signs and overall health, providing crucial data that can help detect potential health issues early.
Temperature Sensor: The collar includes a temperature sensor that monitors the pet's body temperature in real-time, alerting owners to any abnormal changes that could indicate health problems.
2.Enhanced Visibility:
Fluorescent Material: The collar is made from fluorescent material, ensuring pets are visible even in low-light conditions. This feature is particularly useful for preventing pets from getting lost or injured at night, providing an added layer of safety that is not commonly found in other pet collars.
3.Integrated Owner Contact Information:
Phone Number Display: The DigiTag Collar features a display for the owner's phone number, making it easier for anyone who finds a lost pet to contact the owner promptly. This simple yet effective feature significantly increases the chances of pets being quickly reunited with their families.
4.Real-Time GPS Tracking:
GPS Functionality: The collar includes GPS tracking capabilities that allow pet owners to locate their pets in real-time. This feature is essential for quickly finding lost pets and reduces the anxiety and time associated with searching for a missing pet.
Geofencing: The GPS feature also supports geofencing, allowing owners to set safe zones and receive alerts if their pet leaves these areas.
5.User-Friendly Design:
Aesthetic and Practical Design: The DigiTag Collar is designed to be both aesthetically pleasing and practical. It incorporates all its advanced features into a sleek, lightweight, and comfortable collar that pets can wear without discomfort.
Smartphone Integration: The collar integrates with a smartphone application, enabling constant remote monitoring and real-time updates on the pet's location and health status. This seamless integration ensures that owners can easily access important information about their pets anytime, anywhere.
6.Cost-Effective Solution:
Affordable Advanced Features: Despite its advanced features, the DigiTag Collar is designed to be cost-effective, making high-tech pet protection accessible to a broader range of pet owners. This affordability is a significant advantage over other products that may offer similar features but at a higher price point.
7.Independent Development and Passion-Driven Innovation:
Self-Funded Project: The development of the DigiTag Collar was entirely self-funded, reflecting the team's genuine commitment and passion for enhancing pet safety and well-being. The project was not exposed to any competitions, emphasizing the dedication and personal investment of the team in creating a reliable and comprehensive solution for pet protection.
In summary, the DigiTag Collar stands out due to its combination of comprehensive health and safety features, enhanced visibility, real-time GPS tracking, user-friendly design, cost-effectiveness, and the passionate, independent development behind the project. These unique aspects collectively provide pet owners with a superior level of protection and peace of mind for their beloved companions.
</t>
  </si>
  <si>
    <t xml:space="preserve">1. Microcontroller:(HARDWARE)
   - Select a low-power, high-performance microcontroller (e.g., ESP32, Arduino).
   - Program it to handle sensor data, power management, and communication.
2. GPS Module:
   - Integrate a GPS module (e.g., NEO-6M).
   - Configure for optimal performance and use UART or I2C for communication.
3. Temperature Sensor:
   - Choose a reliable sensor (e.g., DS18B20).
   - Connect and calibrate it for accurate readings.
4. Fluorescent Material:
   - Source durable, high-visibility material.
   - Design the collar for maximum visibility and comfort.
5. Phone Number Display:
   - Use an LED, LCD, or OLED display.
   - Interface with the microcontroller and ensure durability.
6. Battery and Power Management:
   - Choose a rechargeable battery with sufficient capacity.
   - Design an efficient charging circuit and implement power-saving techniques.
1. . Smartphone Application: (SOFTWARE)
   - Use cross-platform frameworks (e.g., Flutter) for Android and iOS.
   - Display real-time data, send notifications, and provide a user-friendly interface.
</t>
  </si>
  <si>
    <t>https://drive.google.com/open?id=1HIBzLzXgBdlcw_zdPvqDQKDqbK93o_9A</t>
  </si>
  <si>
    <t>1. Growing Pet Ownership:    - Increasing number of pet owners worldwide, with pets considered family members.    - Rising spending on pet-related products and services. 2. Increasing Awareness of Pet Safety:    - Common incidents of missing pets causing distress.    - Growing demand for preventive measures to protect pets from accidents, theft, and health problems. 3. Technological Advancements:    - Trend of integrating GPS, health monitoring sensors, and smartphone connectivity in pet collars.    - Growing adoption of IoT devices, including those for pets. 4. Differentiation from Competitors:    - Combining GPS, health monitoring, fluorescent visibility, and owner contact display in one collar.    - Offering advanced features at a competitive price. 5. Market Segmentation:    - Targeting tech-savvy pet owners, families, and individuals with high disposable income.    - Secondary markets include veterinary clinics, animal shelters, and pet adoption centers. 6. Partnership Opportunities:    - Collaborating with pet retailers, e-commerce platforms, and pet service providers.    - Leveraging social media and pet influencers to raise awareness. 7. Global Expansion Potential:    - Scalability to international markets with localized strategies.</t>
  </si>
  <si>
    <t xml:space="preserve">
Temperature sensor
Specification
Temperature Range: -55°C to +125°C
Quantity:1
INR 131
GPS
Specification
Interface: UART, I2C, USB
Quantity:1
INR 999
Phone number display
Specification
Display Type: LED (7-segment), LCD, OLED
Quantity:1
INR 239
battery
Specification
Type: HKN 12V Lithium Ion 1800mAh
Quantity:1
INR 529
Fluorescent belt
Specification
Length: Adjustable
Quantity:1
INR 199
Total assembly cost of the product: 2,097</t>
  </si>
  <si>
    <t>https://drive.google.com/open?id=1V5FMPfIsCfERfod16NN7tYINtL4vk9Ek</t>
  </si>
  <si>
    <t>2 Months</t>
  </si>
  <si>
    <t>Aapli Suvidha</t>
  </si>
  <si>
    <t>Aman Vishwakarma</t>
  </si>
  <si>
    <t>2203079@ritindia.edu</t>
  </si>
  <si>
    <t>RIT college,Rajaramanagar,Urun-Islampur.</t>
  </si>
  <si>
    <t>https://drive.google.com/open?id=1pYRCq65n_qVy7MltgO2HSAO8Ci56gBRo</t>
  </si>
  <si>
    <t>RIT</t>
  </si>
  <si>
    <t>Prasad Koli,Vivek Vitekari</t>
  </si>
  <si>
    <t>Revolutionizing Waste Management with Recycling Solutions</t>
  </si>
  <si>
    <t>Environmental Sustainability and Waste Management</t>
  </si>
  <si>
    <t>motivation behind this project is to make the city clean green where we live make it heaver rather than maker it hell for the next generations
Yeah We have shortlisted for the NRIT IDEATHON which is held in march out of 80 teams we have shortelisted for the finale round with in top 14 teams.</t>
  </si>
  <si>
    <t>Transforming the unorganized waste sector into an organized, efficient system through real-time tracking, professional waste collection, and community education on waste segregation.</t>
  </si>
  <si>
    <t>Data Analytics and Optimization:
Route Optimization Algorithms: Implement algorithms to determine the most efficient collection routes, minimizing travel time and fuel consumption.
Real-Time Tracking Technology:
GPS Tracking: Use GPS devices on waste collection vehicles to monitor their locations in real time.</t>
  </si>
  <si>
    <t>https://drive.google.com/open?id=17X5hRqlh20rovabEs4PnAOeODwVklhV3</t>
  </si>
  <si>
    <t>Global Market Size: The global waste management market was valued at approximately $2 trillion in 2020 and is expected to reach over $2.5 trillion by 2027, growing at a CAGR of 3.4%. Recycling Market: The global recycling market is projected to grow from $45.8 billion in 2020 to $69.2 billion by 2026, at a CAGR of 7.1%. Smart Waste Management: The smart waste management market, which includes real-time tracking and IoT solutions, is expected to grow significantly, with a projected CAGR of 16.9% from 2021 to 2026.</t>
  </si>
  <si>
    <t>20Lakh with machinery and all to build plant for recycling</t>
  </si>
  <si>
    <t>https://drive.google.com/open?id=1fODmmvop8dBIwc_30N7H-uWziKFAYa_e</t>
  </si>
  <si>
    <t>Sandeep Vyas</t>
  </si>
  <si>
    <t>sandeep@mildcares.com</t>
  </si>
  <si>
    <t>H-18 Kalka Ji, New Delhi, 110019</t>
  </si>
  <si>
    <t>https://drive.google.com/open?id=1TgDP9xrc56W1uEf2R4kcaS-mq5hXyU7X</t>
  </si>
  <si>
    <t>Mild Cares Private Limited</t>
  </si>
  <si>
    <t>Dr. Ritu Sharma</t>
  </si>
  <si>
    <t>Pregahunt: An Environmentally friendly, Mess-free, Flushable and comfortable pregnancy home kit</t>
  </si>
  <si>
    <t>HealthCare</t>
  </si>
  <si>
    <t>We are developing a plastic-free pregnancy home test kit to address the environmental impact caused by traditional plastic pregnancy test kits. Over 20 million plastic pregnancy test kits are used each year in India alone, leading to significant plastic waste. They need additional equipment such as droppers &amp; plastic cups, and may involve hazardous chemicals.
our motivation for developing a plastic-free pregnancy home test kit is driven by the urgent need to address plastic pollution and promote environmental sustainability. Winning the TIDE 2.0 MeitY grant has validated our efforts and provided crucial support for our project. We are committed to bringing this innovative product to market and making a meaningful contribution to reducing plastic waste in healthcare.</t>
  </si>
  <si>
    <t>Plastic-Free Design:
Completely free of plastic, addressing environmental impact.
Reduces waste that contributes to pollution and environmental degradation.
Biodegradable Materials:
Made from biodegradable materials that decompose naturally.
Leaves no harmful residues, making it an eco-friendly alternative.
Elimination of Additional Equipment:
Integrates all necessary components into a single, easy-to-use kit.
Reduces waste and enhances user convenience.</t>
  </si>
  <si>
    <t>Material Selection: Use biodegradable materials and non-toxic chemicals for safety and environmental sustainability.
Design and Prototyping: Create user-friendly, integrated designs through rapid prototyping and iterative testing.
Testing and Validation: Ensure accuracy, shelf life, and stability through rigorous lab tests and real-world user feedback.
Sustainability Analysis: Conduct life cycle assessments and develop eco-friendly disposal guidelines.</t>
  </si>
  <si>
    <t>https://drive.google.com/open?id=1_b2RtqEPO2I7SARlDLkkvPxXo0CXfOl_</t>
  </si>
  <si>
    <t>27 million babies are born in India each year • 9-13 million pregnant women in India at any given time • 94% of women had used a home pregnancy test to confirm their pregnancy • Over 20 million plastic pregnancy test kits are used each year in India alone &amp; global opportunity</t>
  </si>
  <si>
    <t>We have received the TIED 2.0 grant, which will enable us to develop the product. However, we require an additional ₹2,00,000 for validation and certification to ensure the product meets all necessary standards and regulations.</t>
  </si>
  <si>
    <t>https://drive.google.com/open?id=1cdAEpcUXasubPO2JKkYrr2F8XijE422j</t>
  </si>
  <si>
    <t>3 Months</t>
  </si>
  <si>
    <t>Fill Checkbox if you joined</t>
  </si>
  <si>
    <t xml:space="preserve">Skyuii Developer's </t>
  </si>
  <si>
    <t>Priyanshu kumar gupta</t>
  </si>
  <si>
    <t xml:space="preserve">Surajpur </t>
  </si>
  <si>
    <t>https://drive.google.com/open?id=1DT_YWcbnDGnJhQcyNzd6WodbNT84YYK7</t>
  </si>
  <si>
    <t xml:space="preserve">I.T.S engineering college </t>
  </si>
  <si>
    <t xml:space="preserve">Vishnu singh,satyam Prabhat </t>
  </si>
  <si>
    <t xml:space="preserve">Fake signature detection using machine learning </t>
  </si>
  <si>
    <t xml:space="preserve">Machine learning </t>
  </si>
  <si>
    <t>The fake signature detection project using machine learning and CNN has demonstrated substantial improvements in accuracy, efficiency, and security of signature verification processes. The results and impacts highlight the potential of this technology to revolutionize document security, offering significant benefits to various sectors. Continued research and development will further enhance the system's capabilities, paving the way for more advanced and reliable solutions in the future.</t>
  </si>
  <si>
    <t>Integration with Other Security Systems:Combine signature verification with other biometric authentication methods, such as facial recognition and fingerprint scanning, for multi-factor authentication systems.</t>
  </si>
  <si>
    <t>CNN Model ArchitectureInput Layer: Takes in preprocessed signature images.Convolutional Layers: Extract features such as edges, textures, and shapes through convolution operations.Pooling Layers: Reduce the spatial dimensions of feature maps while retaining crucial information.Fully Connected Layers: Flatten the feature maps and perform classification.Output Layer: Provides the final prediction, indicating whether the signature is genuine or forged</t>
  </si>
  <si>
    <t>https://drive.google.com/open?id=1WJX6rCHsSr1FRZLZSJ0tsZeTuJK-QW_x</t>
  </si>
  <si>
    <t>Initial purchase: ₹2,77,500
cloud services: ₹37,500/month</t>
  </si>
  <si>
    <t>https://drive.google.com/open?id=1Jotb-FDjQ_WkgbnXmfwqhG-qVTQOst1I</t>
  </si>
  <si>
    <t xml:space="preserve">Shakti </t>
  </si>
  <si>
    <t xml:space="preserve">Srishti Sharma </t>
  </si>
  <si>
    <t>Sharmasrishti42@gmail.com</t>
  </si>
  <si>
    <t xml:space="preserve">Gurgaon , Haryana </t>
  </si>
  <si>
    <t>https://drive.google.com/open?id=1qUbMFgE__q6RndEnO4HlUMQeOXB4Lvl-</t>
  </si>
  <si>
    <t xml:space="preserve">Shakti wearables </t>
  </si>
  <si>
    <t xml:space="preserve">Startup </t>
  </si>
  <si>
    <t xml:space="preserve">Deep tech </t>
  </si>
  <si>
    <t xml:space="preserve">Building india’s first women safety wearable </t>
  </si>
  <si>
    <t xml:space="preserve">There is no single device that allows an average women to solve the endangered situation end to end on her own . Despite the
current available solutions ,there is an exponential rise in the no of cases against women and Children Extreme high dependency on the
police force and external helps in case of an emergency / endangered situation </t>
  </si>
  <si>
    <t>Technology - A hand wearable emitting square current electric waves whose intensity can be controlled via
attached regulator along with BLE connectivity for GPS tracking and location sharing
The device has DC voltage step up circuit to produce shock and a BLE enabled micro controller which
communicates with the smartphone via bluetooth low</t>
  </si>
  <si>
    <t>https://drive.google.com/open?id=1TycpKJxkks_nV8Er_XvTTCHAhoFzaxzk</t>
  </si>
  <si>
    <t xml:space="preserve">400 CR market </t>
  </si>
  <si>
    <t xml:space="preserve">2 lakhs </t>
  </si>
  <si>
    <t>https://drive.google.com/open?id=1QdY7Z5uaLDRwUHcBRmote734USC5gb7L</t>
  </si>
  <si>
    <t>Al-Ginie</t>
  </si>
  <si>
    <t>Aditya Mishra</t>
  </si>
  <si>
    <t>am14156789@gmail.com</t>
  </si>
  <si>
    <t>MIET, KP2, Greater Noida</t>
  </si>
  <si>
    <t>https://drive.google.com/open?id=16ZAEAR4jsEJG_T_cnBTudKxKCj3XfLoM</t>
  </si>
  <si>
    <t>Mangalmay Institute of Engineering and Technology</t>
  </si>
  <si>
    <t>Anant Kushwaha, David Singh</t>
  </si>
  <si>
    <t>Algae utilizer Machine</t>
  </si>
  <si>
    <t>Environment and Sustainability</t>
  </si>
  <si>
    <t>The Algae Utilization Machine project is driven by the need for sustainable solutions to environmental challenges, such as waste management and renewable energy production. Utilizing algae's rapid growth and high photosynthetic efficiency, the project aims to treat wastewater, produce bioenergy, and generate valuable bioproducts like omega-3 fatty acids and biofertilizers.
The project has been recognized as a top 100 startup finalist at Navishkar 2024, highlighting its innovative approach and potential impact. This recognition was achieved in a competitive field with 865 submissions from 160 colleges and 31 schools across India.
With the support of a prototyping grant, the project aims to optimize and scale the technology for various applications, including municipal wastewater treatment and industrial facilities. The goal is to create a commercially viable product that promotes sustainability by converting waste into valuable resources, reducing pollution, and lowering greenhouse gas emissions. The project's success could inspire further innovations in algal biotechnology.</t>
  </si>
  <si>
    <t>The Algae Utilization Machine stands out due to its innovative approach to leveraging algae for multiple environmental and industrial benefits. It uniquely integrates wastewater treatment, bioenergy production, and the creation of high-value bioproducts, making it a comprehensive and sustainable solution. The project’s ability to convert waste into valuable resources like omega-3 fatty acids and biofertilizers sets it apart from other initiatives.</t>
  </si>
  <si>
    <t>The Algae Utilization Machine employs several advanced techniques for effective algae cultivation and resource extraction:
Algae Cultivation:
Photobioreactors: Utilize closed-system photobioreactors for controlled algae growth, optimizing light, CO2, and nutrient levels.
Wastewater Treatment:
Ultrafiltration and Microfiltration: Advanced membrane filtration for wastewater treatment, ensuring algae receive nutrient-rich water.
Bioenergy Production:
Anaerobic Digestion: Convert algal biomass to biogas (methane) through anaerobic digestion.
Biodiesel Production: Extract and convert lipids from algae into biodiesel via transesterification.
High-Value Bioproduct Extraction:
Omega-3 Fatty Acids: Solvent extraction and purification of omega-3s.
Protein Extraction: Ultrasound-assisted cell disruption and centrifugation for protein isolation.
Lipid Extraction: Mechanical pressing and solvent extraction for biofuel production.
By-Product Utilization:
Biofertilizers: Process residual biomass into organic fertilizers.
Nutraceuticals and Animal Feed: Develop high-value products from remaining biomass.
Block Diagram Overview:
Algae Cultivation
Wastewater Treatment
Biomass Processing:
Biofuel Production
Protein Extraction
Lipid Extraction
This project showcases expertise in integrating biology, chemistry, and engineering to harness algae for sustainable bioenergy and bioproducts.</t>
  </si>
  <si>
    <t>https://drive.google.com/open?id=1BCP1ft59YzyqkGaaWmV40vSqGEctHQv5</t>
  </si>
  <si>
    <t>The Indian market potential for algae utilization, across biofuels, nutraceuticals, food and beverages, and wastewater treatment, is estimated to exceed INR 1,80,000 crore by 2026. This substantial market presents a significant opportunity for the Algae Utilization Machine to capture a notable share across these industries.</t>
  </si>
  <si>
    <t>https://drive.google.com/open?id=1tOzui_mncTIWWOklPSjUBrMZbK5qw-Xg</t>
  </si>
  <si>
    <t>Till january 2025</t>
  </si>
  <si>
    <t>Team Phoenix</t>
  </si>
  <si>
    <t>Ritu</t>
  </si>
  <si>
    <t>ritu.ritu.bahuguna@gmail.com</t>
  </si>
  <si>
    <t>Delhi</t>
  </si>
  <si>
    <t>https://drive.google.com/open?id=1kPop_s1Zp2LfTKSYyZJldHhVOcFCr0N_</t>
  </si>
  <si>
    <t>Deepanshu Prajapati</t>
  </si>
  <si>
    <t>Tail Baby</t>
  </si>
  <si>
    <t>Pet Industry</t>
  </si>
  <si>
    <t xml:space="preserve">Personal Experience: As a dedicated pet parent, I have personally experienced the anxiety and concern of leaving my pet alone at home. This challenge of ensuring my pet’s safety and happiness while being away has been a significant motivation for developing Tail Baby. The emotional bond with my pet drives my passion for creating a solution that addresses the common concerns of modern pet owners.
Market Validation: Tail Baby is inspired by similar successful products in the US market, demonstrating a proven demand and effective functionality. The concept of smart pet cameras with features like live updates, two-way communication, and treat dispensers has already gained popularity and trust among pet parents in the US. This validation indicates a strong potential for adoption in the Indian market, where pet ownership is rapidly increasing.
Not Shortlisted in Competitions: As of now, Tail Baby has not been shortlisted in or won any competitions. This grant application represents our first attempt to secure funding for prototyping. Winning this grant will enable us to bring the product from concept to reality, providing Indian pet parents with an innovative tool to care for their pets.
</t>
  </si>
  <si>
    <t>Tail Baby stands out with its all-in-one features, integrating live updates, barking alerts, activity detection, a treat dispenser, and two-way communication into a single device, providing a comprehensive solution for pet care. Designed specifically for the Indian market, it addresses local pet care practices and pricing sensitivity, setting it apart from similar products in other regions. The focus on maintaining an emotional connection between pets and their owners through real-time communication and treat dispensing enhances its appeal. Advanced technology ensures seamless integration with smart home systems and real-time monitoring via a dedicated app. Additionally, Tail Baby plans to build a supportive community of pet parents, further enhancing user experience and loyalty. Its future-ready design includes scalability and planned enhancements, ensuring it remains innovative and relevant.</t>
  </si>
  <si>
    <t>Technical Methods for Tail Baby Implementation
1. Hardware Components:
Camera Module: High-definition camera with night vision capabilities to provide clear video feed.
Microcontroller: Central processing unit to handle data processing, communication, and integration of various components (e.g., Raspberry Pi or Arduino).
Sensors: Motion detectors and sound sensors to monitor pet activity and detect barking.
Treat Dispenser: Mechanism controlled by servos or motors to dispense treats remotely.
Speakers and Microphone: For two-way communication, enabling interaction between the pet and owner.
Connectivity Module: Wi-Fi or Bluetooth module for connectivity to the mobile app.
2. Software and Firmware:
Embedded Firmware: Developed for the microcontroller to manage hardware interactions, process sensor data, and control the camera and treat dispenser.
Mobile App: Developed for iOS and Android to provide a user interface for live video streaming, alerts, communication, and treat dispensing. Technologies like React Native or Flutter can be used for cross-platform development.
Cloud Integration: For data storage and processing, such as storing video footage, managing user accounts, and processing alerts. Cloud services like AWS or Google Cloud can be utilized.
AI and Machine Learning: Implemented for activity recognition, such as detecting continuous barking or unusual behavior patterns. Pre-trained models and custom algorithms can be employed for accurate detection.
3. Communication Protocols:
MQTT or HTTP: For communication between the hardware and the mobile app, ensuring reliable data transfer and real-time updates.
WebRTC: For real-time video and audio streaming between the camera and mobile app.
4. Security Measures:
Encryption: Secure data transmission using encryption protocols (e.g., AES) to protect video feeds and user data.
Authentication: Secure login and user authentication mechanisms to ensure only authorized users can access the pet’s data.</t>
  </si>
  <si>
    <t>https://drive.google.com/open?id=11p0x9WudF9mDCA7YZy2tdiMCTIQNX-al</t>
  </si>
  <si>
    <t>8 million pet parents in metro cities like Delhi, mumbai, Pune</t>
  </si>
  <si>
    <t>4. 5 lakhs</t>
  </si>
  <si>
    <t>https://drive.google.com/open?id=1kOi_rURoxgG4q6JEF-oSCbAFEYgGoOG8</t>
  </si>
  <si>
    <t>https://drive.google.com/open?id=128u6N5AuMt6pGDFHPXQMJ1VpQgNoJHt6</t>
  </si>
  <si>
    <t xml:space="preserve">Personal Experience: As a dedicated pet parent, I have personally experienced the anxiety and concern of leaving my pet alone at home. This challenge of ensuring my pet’s safety and happiness while being away has been a significant motivation for developing Tail Baby. The emotional bond with my pet drives my passion for creating a solution that addresses the common concerns of modern pet owners.
Market Validation: Tail Baby is inspired by similar successful products in the US market, demonstrating a proven demand and effective functionality. The concept of smart pet cameras with features like live updates, two-way communication, and treat dispensers has already gained popularity and trust among pet parents in the US. This validation indicates a strong potential for adoption in the Indian market, where pet ownership is rapidly increasing.
Not Shortlisted in Competitions: As of now, Tail Baby has not been shortlisted in or won any competitions. This grant application represents our first attempt to secure funding for prototyping. Winning this grant will enable us to bring the product from concept to reality, providing Indian pet parents with an innovative tool to care for their pets.
</t>
  </si>
  <si>
    <t xml:space="preserve">Tail Baby stands out with its all-in-one features, integrating live updates, barking alerts, activity detection, a treat dispenser, and two-way communication into a single device, providing a comprehensive solution for pet care. Designed specifically for the Indian market, it addresses local pet care practices and pricing sensitivity, setting it apart from similar products in other regions. The focus on maintaining an emotional connection between pets and their owners through real-time communication and treat dispensing enhances its appeal. Advanced technology ensures seamless integration with smart home systems and real-time monitoring via a dedicated app. Additionally, Tail Baby plans to build a supportive community of pet parents, further enhancing user experience and loyalty. Its future-ready design includes scalability and planned enhancements, ensuring it remains innovative and relevant.
</t>
  </si>
  <si>
    <t xml:space="preserve">1. Hardware Components:
Camera Module: High-definition camera with night vision capabilities to provide clear video feed.
Microcontroller: Central processing unit to handle data processing, communication, and integration of various components (e.g., Raspberry Pi or Arduino).
Sensors: Motion detectors and sound sensors to monitor pet activity and detect barking.
Treat Dispenser: Mechanism controlled by servos or motors to dispense treats remotely.
Speakers and Microphone: For two-way communication, enabling interaction between the pet and owner.
Connectivity Module: Wi-Fi or Bluetooth module for connectivity to the mobile app.
2. Software and Firmware:
Embedded Firmware: Developed for the microcontroller to manage hardware interactions, process sensor data, and control the camera and treat dispenser.
Mobile App: Developed for iOS and Android to provide a user interface for live video streaming, alerts, communication, and treat dispensing. Technologies like React Native or Flutter can be used for cross-platform development.
Cloud Integration: For data storage and processing, such as storing video footage, managing user accounts, and processing alerts. Cloud services like AWS or Google Cloud can be utilized.
AI and Machine Learning: Implemented for activity recognition, such as detecting continuous barking or unusual behavior patterns. Pre-trained models and custom algorithms can be employed for accurate detection.
3. Communication Protocols:
MQTT or HTTP: For communication between the hardware and the mobile app, ensuring reliable data transfer and real-time updates.
WebRTC: For real-time video and audio streaming between the camera and mobile app.
4. Security Measures:
Encryption: Secure data transmission using encryption protocols (e.g., AES) to protect video feeds and user data.
Authentication: Secure login and user authentication mechanisms to ensure only authorized users can access the pet’s data.
</t>
  </si>
  <si>
    <t>https://drive.google.com/open?id=1WKp05wdTyLZ7LGyMaR9smb5WslK5X59b</t>
  </si>
  <si>
    <t>8 million pet parents just in metro cities</t>
  </si>
  <si>
    <t>4 lakhs</t>
  </si>
  <si>
    <t>https://drive.google.com/open?id=1XD-uMoDxszQcnSqrlwtn6TpiQWBShXgW</t>
  </si>
  <si>
    <t>Kunal Sharma</t>
  </si>
  <si>
    <t>kunalsharmaa1043@gmail.com</t>
  </si>
  <si>
    <t>8 and 9, Knowledge Park II, Greater Noida, Uttar Pradesh 201310</t>
  </si>
  <si>
    <t>https://drive.google.com/open?id=1t72trgwtHXllvApdPMIZpIVct5Ym0uNp</t>
  </si>
  <si>
    <t xml:space="preserve">Manglamay Institute of Engineering &amp; Technology </t>
  </si>
  <si>
    <t xml:space="preserve">Priya Chaudhary and Divya Tiwari </t>
  </si>
  <si>
    <t xml:space="preserve">AgroDrone: Future for smart farming </t>
  </si>
  <si>
    <t xml:space="preserve">Their ability to provide precise, efficient, and detailed data collection makes them invaluable tools for modern agriculture.
1. Precision Agriculture
Drones enable precise application of fertilizers, pesticides, and herbicides, reducing waste and environmental impact.
2. Enhanced Data Collection
Equipped with high-resolution cameras and multispectral sensors, drones capture detailed imagery and data on crop health, soil conditions, and water stress levels.
3. Cost and Time Efficiency
Drones can survey large areas quickly, significantly reducing the time and labor costs associated with manual field inspections. 
Early stage this idea was selected in Jamia Millia Islamia DU.
And second runner up in Sharda University </t>
  </si>
  <si>
    <t>Modern technology in Agriculture sector</t>
  </si>
  <si>
    <t>The integration of drones in agriculture provides a powerful tool for precision farming, enabling efficient data collection and analysis. By adopting this technical methodology, farmers can optimize their operations, improve crop health, and increase yields, ultimately contributing to sustainable and profitable agriculture.</t>
  </si>
  <si>
    <t>https://drive.google.com/open?id=1F7TAoWou7ISWaKF8-qlwo-MhF9tOqHIc</t>
  </si>
  <si>
    <t>Approx 1cr in North India</t>
  </si>
  <si>
    <t>2.5lakh</t>
  </si>
  <si>
    <t>https://drive.google.com/open?id=1gM7TwsgHuv1MJ1Hg8Pnxe8uZNjOBIa3q</t>
  </si>
  <si>
    <t>2 months</t>
  </si>
  <si>
    <t>Ujjwal Krishi</t>
  </si>
  <si>
    <t>Unique homes, Sector 110 , NOIDA</t>
  </si>
  <si>
    <t>https://drive.google.com/open?id=1BJNoVK4-YL6cKjmmq2VelHelGaHeNyEc</t>
  </si>
  <si>
    <t>Mangalmay Institute Of Engineering And Technology</t>
  </si>
  <si>
    <t>Nitish Kumar</t>
  </si>
  <si>
    <t>UJJWAL KRISHI</t>
  </si>
  <si>
    <t>Agriculture</t>
  </si>
  <si>
    <t>Agriculture faces water scarcity,  chemical overuse. Ujwal krishi provides tools to empower farming practices and promoting resilence and prosperity in agriculture sector</t>
  </si>
  <si>
    <t>Innovative technology,  Cost effectiveness, Sensor management</t>
  </si>
  <si>
    <t>I am going to use the raspberry pi5 along with sensor and application interface by which a farmer can regulate the water and chemical level at their field</t>
  </si>
  <si>
    <t>https://drive.google.com/open?id=1_7sfGmmfzb_VZDKo9gFh760zEup-tIh2</t>
  </si>
  <si>
    <t>₹5 Crores (in 2 years)</t>
  </si>
  <si>
    <t>₹ 2,10,000</t>
  </si>
  <si>
    <t>https://drive.google.com/open?id=1nZgpYJMH93vMYg0pKZEFqa59yqfMJ5mA</t>
  </si>
  <si>
    <t>This project's prototype will be completed by December 2024</t>
  </si>
  <si>
    <t>AlGinie</t>
  </si>
  <si>
    <t xml:space="preserve">Anant Kushwaha </t>
  </si>
  <si>
    <t>anant.kushwaha2004@gmail.com</t>
  </si>
  <si>
    <t>10060, Mahagun Mywoods, Sector 12C</t>
  </si>
  <si>
    <t>https://drive.google.com/open?id=1UKuJ-vgyeP_hkOUxAvKeaf1RC9fxDMIM</t>
  </si>
  <si>
    <t>MIET</t>
  </si>
  <si>
    <t>Algae Utilisation Machine (AUM)</t>
  </si>
  <si>
    <t>Agnostic</t>
  </si>
  <si>
    <t>Sustainable Development 
Pollution Control
Large Market Potential and Huge Profits
Low Cost Budget
Shortlisted thrice and won twice.</t>
  </si>
  <si>
    <t xml:space="preserve">Complete Utilisation and Integration </t>
  </si>
  <si>
    <t>3 main phases required for complete extraction and use of Algae used.
4 different machines required.
Chemical Processes and extracting elements are required.</t>
  </si>
  <si>
    <t>https://drive.google.com/open?id=1AMag7Zd95kYWZpkYTIJcBKxjs0Mbnt1u</t>
  </si>
  <si>
    <t>₹ 6.6 Lakh Crores (only in India)</t>
  </si>
  <si>
    <t>₹ 2 Lakhs</t>
  </si>
  <si>
    <t>https://drive.google.com/open?id=1ee5kX00vN9ib-hez7L-0jwrqq9uTBQYi</t>
  </si>
  <si>
    <t xml:space="preserve">6 months </t>
  </si>
  <si>
    <t>INNOVATION PRESENTERS</t>
  </si>
  <si>
    <t>Florence Glaudia J</t>
  </si>
  <si>
    <t>studentaffairs@krct.ac.in</t>
  </si>
  <si>
    <t>K.RAMAKRISHNAN COLLEGE OF TECHNOLOGY,TRICHY</t>
  </si>
  <si>
    <t>https://drive.google.com/open?id=1M-Eo5h4jOJtYO7NZCY_xeVB-cvno8TbR</t>
  </si>
  <si>
    <t>K Ramakrishnan College of Technology</t>
  </si>
  <si>
    <t>R.M.MANASA SHREE , K.NANDHINI</t>
  </si>
  <si>
    <t>SOLAR POWERED SEED SOWING MACHINE</t>
  </si>
  <si>
    <t>AGRICULTURE</t>
  </si>
  <si>
    <t xml:space="preserve">Problem Addressed:
1.	Traditional seed sowing methods can be labour-intensive, requiring significant time and effort from farmers, especially for large-scale farming operations.
2.	Seed placement and uniform spacing is crucial for optimal crop growth and yield. Inaccuracies in seeding can lead to uneven emergence, competition among plants, and reduced yields.
3.	External factors such as weather conditions, soil types, and terrain can affect seed sowing effectiveness.
4.	Many smallholder farmers, particularly in developing regions, lack access to modern seed sowing equipment and technologies, limiting their ability to adopt practices that are more efficient.
Innovation &amp; Solution:
Mechanized Seed Sowing Equipment:
This equipment could include precision seed drills designed for various crop types and farming conditions.
Integrating precision agriculture technologies such as GPS-guided seeders and variable rate seeding systems can enhance the accuracy and efficiency of seed sowing operations. These technologies enable farmers to adjust seeding rates and patterns based on soil characteristics and field variability, optimizing seed placement for better crop performance.
Solar panels integrated into the machine would capture sunlight and convert it into electricity to power the seed sowing mechanism. This eliminates the need for traditional fuel sources like diesel or gasoline, making the machine more environmentally friendly and cost-effective to operate.
</t>
  </si>
  <si>
    <t xml:space="preserve">Its eco-friendly use of solar energy, reducing reliance on non-renewable power sources
 It is suitable for various seed types and soil conditions.
It has less time consumption and it also requires single man power
</t>
  </si>
  <si>
    <t xml:space="preserve">Stage of the development of solution
State/Stage the Technology Readiness Level (TRL)
Highlight the Intellectual Property (IP) component 
Innovation &amp; Uniqueness 
</t>
  </si>
  <si>
    <t>https://drive.google.com/open?id=1FEMyFdvX4UhaqhP3KkXS3dSiFnZQ5OcW</t>
  </si>
  <si>
    <t>its automation enhances efficiency and addresses labour shortages benefiting both small and large scale farmers</t>
  </si>
  <si>
    <t>raw material(Rs.30000) , Product Development(Rs.50000) , Other expenditure(Rs.20000)</t>
  </si>
  <si>
    <t>https://drive.google.com/open?id=1RBgvPqiXnS5NgmDmy77FmUyAlEiKOl5v</t>
  </si>
  <si>
    <t>4 MONTHS</t>
  </si>
  <si>
    <t>dream world team</t>
  </si>
  <si>
    <t>m.sahirabanu</t>
  </si>
  <si>
    <t>sbanu3899@gmail.com</t>
  </si>
  <si>
    <t>plot no 4 thangaraja nagar arasankalani chennai -600130</t>
  </si>
  <si>
    <t>https://drive.google.com/open?id=17vRZbnZ3dy-Eu-l7VUU5eF7SwChtxgao</t>
  </si>
  <si>
    <t>prince shri venkateshwara padmavathy enineering college</t>
  </si>
  <si>
    <t>IT</t>
  </si>
  <si>
    <t>p.swetha and M.Emlyn Manuela</t>
  </si>
  <si>
    <t xml:space="preserve">saline water purification and salt </t>
  </si>
  <si>
    <t xml:space="preserve">healthcare sector </t>
  </si>
  <si>
    <t xml:space="preserve">Our motivation for pursuing this innovative project to convert saltwater into drinkable water and separate salt is driven by a deep commitment to ensuring that clean, safe, and affordable water is accessible to all. Recognizing that water scarcity is a critical global issue affecting millions of people, we are dedicated to developing a solution that can provide a sustainable and low-cost water resource to underserved communities, particularly those in coastal and arid regions .The inspiration for our project emerged from witnessing the daily struggles faced by people in water-scarce regions. Many coastal communities are surrounded by seawater, yet they lack the infrastructure and resources to convert it into drinkable water. Traditional desalination methods are often prohibitively expensive and environmentally unfriendly, making them inaccessible to those who need them most. Our goal is to bridge this gap by creating an efficient, cost-effective, and environmentally sustainable desalination system that can be widely implemented. and this is our startup project and  we not go any hackathon for this project this is our first hackathon for this saline project </t>
  </si>
  <si>
    <t xml:space="preserve">Our project stands out due to its innovative approach to solving the global issue of water scarcity by providing an affordable and sustainable solution to convert saltwater into drinkable water and usable salt. The following key aspects highlight the uniqueness of our project:
Our system incorporates two vending machines: one for dispensing purified water and another for dispensing salt. This dual-benefit system maximizes the utility of desalination, providing both essential drinking water and usable salt to the community.
The salt vending machine uses a lithium phosphate battery powered by solar and wind energy. This integration of renewable energy sources ensures that the system is environmentally friendly and sustainable, reducing its carbon footprint.
By leveraging advanced technologies and renewable energy sources, our project aims to significantly reduce the costs associated with traditional desalination methods. This cost-effectiveness makes the purified water and salt affordable for underserved and low-income communities.
The project promotes a circular economy by repurposing the separated salt, reducing waste, and minimizing environmental impact. The use of state-of-the-art energy recovery systems further emphasizes our commitment to environmental sustainability.
</t>
  </si>
  <si>
    <t>1. Water Vending Machine
Underground Pipeline Connection:
Source: Seawater is sourced directly from the beach through an underground pipeline system. This setup ensures a continuous supply of raw material for desalination.
Pipeline: The pipeline is designed to minimize contamination and maintain water quality.
Five-Step Desalination Process:
Pretreatment Filtration:
Objective: Remove large particles and sediments from seawater.
Method: Using coarse filters to prevent clogging and damage to subsequent filtration stages.
Cartridge Filter:
Objective: Further purification to remove smaller particles and impurities.
Method: Employing fine filters to enhance water clarity and prepare it for the reverse osmosis stage.
Reverse Osmosis Membrane Treatment with State-of-the-Art Energy Recovery:
Objective: Desalinate seawater by removing dissolved salts and impurities.
Method: High-pressure pumps force seawater through semi-permeable membranes, separating salt and other contaminants.
Energy Recovery: Utilizing energy recovery devices to capture and reuse energy, increasing efficiency and reducing operational costs.
Reverse Osmosis Process:
Objective: Final stage of salt and impurity removal.
Method: Utilizing reverse osmosis membranes for high-efficiency desalination, ensuring potable water quality.
Post Treatment:
Objective: Adjust water chemistry to meet drinking water standards.
Method: Adding necessary minerals and ensuring the water's pH is balanced for safe consumption.</t>
  </si>
  <si>
    <t>https://drive.google.com/open?id=1UverL1aDQSrPrYo8CaYr1n6qB2KFeMO7</t>
  </si>
  <si>
    <t>The market potential for the project that aims to supply affordable water and salt through innovative vending machines is significant. Given the global challenges of water scarcity and the demand for sustainable and cost-effective solutions, this project addresses critical needs and opens up multiple market opportunities.</t>
  </si>
  <si>
    <t>. Cost of Purchase of Raw Materials:
Desalination System Components:
Pretreatment Filtration System: 10,000
Cartridge Filters: 5,000
Reverse Osmosis Membranes (including energy recovery systems): 20,000
Post-Treatment Equipment: 5,000
Piping and Underground Pipeline Construction: 10,000
Salt Refining Equipment :10000
Solar and Wind Energy Systems: 15,000
Lithium Phosphate Batteries: 7,000
2. Product Development / Consultancy Cost:
Consultancy Fees (technical, environmental, and regulatory): 10,000
3. Other Expenditures:
Testing and Quality Assurance: 5,000
Permits and Licensing: 3,000
Operational Costs (initial setup and maintenance): 10,000
Grand Total Estimated Budget: 100000</t>
  </si>
  <si>
    <t>IDEATHON RESULT- 2024</t>
  </si>
  <si>
    <t>https://drive.google.com/open?id=1hYqAdkwM8j-xvlmwZltSrrXi33ig5NIm</t>
  </si>
  <si>
    <t>we need 2 months for complete this project because we already done our R&amp;D work .</t>
  </si>
  <si>
    <t>Smart Titans</t>
  </si>
  <si>
    <t>Hemanth B</t>
  </si>
  <si>
    <t>M.Kumarasamy College Of Engineering</t>
  </si>
  <si>
    <t>Flovepal</t>
  </si>
  <si>
    <t>S. John Paul</t>
  </si>
  <si>
    <t xml:space="preserve">Harley </t>
  </si>
  <si>
    <t>Mathavan R K V</t>
  </si>
  <si>
    <t>sjohnpauljps@gmail.com</t>
  </si>
  <si>
    <t>K. Ramakrishnan college of technology</t>
  </si>
  <si>
    <t>4-407, RajParis Crystal Spring, Medavakkam-Maambakkam main road, sithalapakkam, chennai</t>
  </si>
  <si>
    <t>FireFlight squad</t>
  </si>
  <si>
    <t>https://drive.google.com/open?id=17VO1jpOeeaEI3gzvBek9rRt8z5BXHjT2</t>
  </si>
  <si>
    <t>ABISHEKA PRIYAN T R</t>
  </si>
  <si>
    <t xml:space="preserve">K.RAMAKRISHNAN COLLEGE OF TECHNOLOGY </t>
  </si>
  <si>
    <t>Green Guardians</t>
  </si>
  <si>
    <t>Akanksha Chauhan</t>
  </si>
  <si>
    <t>Tula's Institute</t>
  </si>
  <si>
    <t>PREeVENT</t>
  </si>
  <si>
    <t xml:space="preserve">Sarthak Upadhyay </t>
  </si>
  <si>
    <t xml:space="preserve">Iet Lucknow </t>
  </si>
  <si>
    <t>Prince Shri Venkateshwara Padmavathy Engineering College</t>
  </si>
  <si>
    <t>S.John Paul</t>
  </si>
  <si>
    <t>Automatic Plant Watering Pot</t>
  </si>
  <si>
    <t>From my young age, I always loved the colour green. But with changing times, the surroundings bore that colour lesser day by day. When i researched why this brings me so much sadness, that's when I found out that it is not only me who faces mental disturbannces but every human who has feelings does feel it. but they donot realise it. They think of other reasons and satisfy themselves. Researches proved that the colour green can bring calmness and stability to one's mind. If we donot have that color in our daily life, it can give us depression, overthinking and so on. To tackle this problem i developed this product which can eliminate all the complications that one have so that they can no longer pose it as a reason to not have green plants in their house. This also helps us solve the problem of depriving oxygen and deforestation to create a self-sustaining environment where we can live peacefully.</t>
  </si>
  <si>
    <t>The IOT based product that we have is far more advanced than the currently existing products as it is A.I. compatible which can help us monitor the health condition of the plant without any human intervention. This can self-sustain for 6 months once filled with water and charge. This can take care of a whole garden depending upon the user's desire.</t>
  </si>
  <si>
    <t>We are planning to use the 3d printing technology to build our product because it is fast, durable and completely reliable. We planned on using ESP32 which has the option of deep sleep which can help the battery last longer. we planned on using channel relays which can help us monitor many devices simultaneously. 
We are going to use PCB design for the circuit so that the finished product can have a decent look and complete feel.</t>
  </si>
  <si>
    <t>https://drive.google.com/open?id=18X6Ey2eLyct-WdnSyiRCk8f9izsZGxnb</t>
  </si>
  <si>
    <t>This is an unexplored business field which can very well be the first blooming sector in this decade due to growing need of cultivating plants in our house and neighbourhood to tackle the global warming. Research says that by the year 2029, this field can generate a value of USD 259.18 billion economy.</t>
  </si>
  <si>
    <t>All Raw materials cost: Rs. 1200 (Reducable with proper research)
Product Development cost: Rs. 100
Setting cost: Rs. 200
Overall Cost Of the Product: Rs. 1500</t>
  </si>
  <si>
    <t>https://drive.google.com/open?id=1JI2gF-dIehXDuTYiUkAR1N-8VQBrSEYC</t>
  </si>
  <si>
    <t>We prepared a timeline where we aim to complete the MVP and start commercialising within 5 months. 2 months will be used for researching and prototype development; 1 month will be used to gather grant and perfecting our prototype to a MVP and last 2 months will be used for the marketing and so on.</t>
  </si>
  <si>
    <t>Aman Singh</t>
  </si>
  <si>
    <t>desamansingh@gmail.com</t>
  </si>
  <si>
    <t>JBBS Residency, F75, Sector 58, Bishanpura, Uttar Pradesh, (201301).</t>
  </si>
  <si>
    <t>https://drive.google.com/open?id=1ouDG1eXNELOJfVGUVpEoDJgrUboyOapz</t>
  </si>
  <si>
    <t>Uttar Pradesh Institute of Design</t>
  </si>
  <si>
    <t>B.des</t>
  </si>
  <si>
    <t xml:space="preserve">PlanetGarden </t>
  </si>
  <si>
    <t>Public Sector</t>
  </si>
  <si>
    <t>Motivation Behind PlanetGarden:
The inspiration for PlanetGarden stems from the pressing need to address the growing challenges faced by individuals and organizations in maintaining and designing green spaces. As urbanization increases, many people find it difficult to dedicate time and resources to their gardens and plants, leading to a disconnect from nature. This issue is compounded by a lack of knowledge about proper plant care and garden design, resulting in suboptimal green spaces that fail to thrive.
PlanetGarden aims to bridge this gap by offering a comprehensive solution that integrates technology, expert knowledge, and sustainable practices. Our motivation is driven by several key factors:
Environmental Sustainability: The increasing awareness of environmental issues and the importance of green spaces in urban settings motivates us to provide solutions that promote sustainable living. By offering services that encourage planting and maintaining healthy gardens, we aim to contribute to a greener and healthier environment.
Convenience and Accessibility: Many people desire beautiful gardens but lack the time, expertise, or resources to achieve this. PlanetGarden's app-based platform makes it easy for users to access professional gardening services and expert advice, ensuring that everyone can enjoy the benefits of a well-maintained garden.
Educational Empowerment: We believe in empowering our users with knowledge. By providing resources on topics such as home-made fertilizers and sustainable gardening practices, we aim to educate and inspire a new generation of environmentally conscious gardeners.
Economic Opportunity: The gardening and landscaping market is poised for significant growth, with a forecasted market size of USD 610.94 billion by 2026. PlanetGarden seeks to capitalize on this opportunity by offering innovative services that meet the evolving needs of consumers, thereby creating a profitable and sustainable business model.</t>
  </si>
  <si>
    <t>Our app offers a unique combination of convenience, expertise,
and comprehensive gardening services, ensuring that every
garden, regardless of its type or location, is meticulously cared
for and beautifully designed.</t>
  </si>
  <si>
    <t>1. Phase 1 - Research and Planning
○ Market research
○ Define project requirements
○ Assemble project team
2. Phase 2 - Development
○ Design and develop the mobile app
○ Integrate service provider network
○ Develop educational content
3. Phase 3 - Testing
○ Conduct beta testing with a select group of users
○ Gather feedback and make necessary improvements
4. Phase 4 - Launch
○ Official app launch
○ Marketing and promotion
5. Phase 5 - Post-Launch
○ Continuous support and updates
○ Expand assistance provider network
○ Introduce new features based on user feedback</t>
  </si>
  <si>
    <t>https://drive.google.com/open?id=1kWvWxO4Bp8Vo0Pe80stqyMLoXDR04z1h</t>
  </si>
  <si>
    <t>The gardening services market is poised for significant growth, with a current market size of USD 300.20 billion in 2023, projected to reach USD 610.94 billion by 2026. This growth is driven by increasing urbanization, a rising focus on sustainable living, and a growing interest in home and office greenery. PlanetGarden is positioned to tap into this expanding market by offering comprehensive and innovative solutions that cater to both individual and commercial needs, ensuring a wide customer base and robust revenue potential.</t>
  </si>
  <si>
    <t>2. Phase 2 - Development
○ Design and develop the mobile app
○ Integrate service provider network
○ Develop educational content
3. Phase 3 - Testing
○ Conduct beta testing with a select group of users
○ Gather feedback and make necessary improvements
4. Phase 4 - Launch
○ Official app launch
○ Marketing and promotion
5. Phase 5 - Post-Launch
○ Continuous support and updates
○ Expand service provider network
○ Introduce new features based on user feedback</t>
  </si>
  <si>
    <t>https://drive.google.com/open?id=1PI273wTfLrEhmMJuE3ZnmgGiIccr9VdJ</t>
  </si>
  <si>
    <t>3-4 monthes</t>
  </si>
  <si>
    <t>Trashtreasure</t>
  </si>
  <si>
    <t>Satyaprakash Srivastava</t>
  </si>
  <si>
    <t>satyaprakashsrivastava4804@gmail.com</t>
  </si>
  <si>
    <t>Knowledge park 2 greater Noida</t>
  </si>
  <si>
    <t>https://drive.google.com/open?id=1mo_YkM8MEcQPxAiioPyp6efAmNMBmBjN</t>
  </si>
  <si>
    <t>Mangalamay Institute of engeenering and technology</t>
  </si>
  <si>
    <t>Satyaprakash</t>
  </si>
  <si>
    <t>We are focusing on the sustainable development, waste management and green environment etc. 
Yes I have already pitch at other Institute's like Sharda university, GBU, Bimtech and my Institute also and I have won the prize from our Institute also from GBU is interested to collaborate with my project and thay are motivated for providing me the separate space for my project</t>
  </si>
  <si>
    <t xml:space="preserve">Providing online platform for recyclable waste management
User friendly interface, Recycling waste for sustainable output, Innovative GUI
</t>
  </si>
  <si>
    <t>Developing the play store application</t>
  </si>
  <si>
    <t>https://drive.google.com/open?id=1E38LLJ0p2PQXl2norYN72MUHjangfzvN</t>
  </si>
  <si>
    <t>ESDM Prototypes</t>
  </si>
  <si>
    <t>S.No.</t>
  </si>
  <si>
    <t>Innovation Name</t>
  </si>
  <si>
    <t>$517.26 billion </t>
  </si>
  <si>
    <t>Stage of Technology</t>
  </si>
  <si>
    <t>2lakh</t>
  </si>
  <si>
    <t>https://drive.google.com/open?id=1uYaGEqrxP8vJLNBXeHNve0QI2uEuVXn7</t>
  </si>
  <si>
    <t>Financial Year</t>
  </si>
  <si>
    <t>Automatic Gardening System</t>
  </si>
  <si>
    <t>TRL 9</t>
  </si>
  <si>
    <t>2019-20</t>
  </si>
  <si>
    <t>Smart Solar Panel Cleaning System</t>
  </si>
  <si>
    <t>TRL 4</t>
  </si>
  <si>
    <t>Heart Monitoring Systems</t>
  </si>
  <si>
    <t>Smart Inhailer</t>
  </si>
  <si>
    <t>4 months</t>
  </si>
  <si>
    <t>Smart Trolley</t>
  </si>
  <si>
    <t>Smart E Bike</t>
  </si>
  <si>
    <t>TRL 5</t>
  </si>
  <si>
    <t>1focusedongoals@gmail.com</t>
  </si>
  <si>
    <t>Reception Robot</t>
  </si>
  <si>
    <t>TRL 6</t>
  </si>
  <si>
    <t>Dehradun, Uttarakhand</t>
  </si>
  <si>
    <t>https://drive.google.com/open?id=1l0-l9H1KRcwF1zqtMogX9VdxUzssvbEW</t>
  </si>
  <si>
    <t>Milk Spilling Control Unit</t>
  </si>
  <si>
    <t>2020-21</t>
  </si>
  <si>
    <t>Continuous Variable Generator</t>
  </si>
  <si>
    <t>Accelerator Enhancer ForBikes</t>
  </si>
  <si>
    <t>Ai Based Glue Inspection System On S-Cards</t>
  </si>
  <si>
    <t>Cutting Fluid Optimizer</t>
  </si>
  <si>
    <t>Wireless Laptop Charging Plateform</t>
  </si>
  <si>
    <t>Akanksha Chauhan, Ankriti Karn</t>
  </si>
  <si>
    <t>Hi-Tech Waste Segregator</t>
  </si>
  <si>
    <t>Green Technology(CleanTech, Smart City and Renewable Energy)</t>
  </si>
  <si>
    <t>Hospital Assistant Robot (Import Solution)</t>
  </si>
  <si>
    <t>TRL 7</t>
  </si>
  <si>
    <t>With increasing urbanisation( roads, tourism, infrastructure) the installation of this project has great marketing future in government and private sector also, with efficient waste segregation supported by alarm system and solar energy, the  sustainable development is also achieved. With the urge to save environment and establish such feasible project we believe prototyping grant as soon as possible will help us to complete our mission.</t>
  </si>
  <si>
    <t>The patent was published on this project which proves its unique in the world, the facts that prove it's uniqueness are: This single project is solving three major problems with regards to cleanliness in the society, renewable energy generation and waste disposal using feasible sensors and alarm systems.</t>
  </si>
  <si>
    <t>the methods include: investigation(organic or non organic), segregation(NIR sensors, servo mechanics), alarm based system(notifies if container full and transported to biogas power plant and waste disposal plant respectively), solar power(supported with batteries in rainy season).</t>
  </si>
  <si>
    <t>Smart Thermal Testing Goggle</t>
  </si>
  <si>
    <t>https://drive.google.com/open?id=1iwZgZnhye1d4qhjG3BBXStTrNM7Dh2cB</t>
  </si>
  <si>
    <t>TRL 3</t>
  </si>
  <si>
    <t>Self -Cleaned Saniized Dining Table</t>
  </si>
  <si>
    <t>Ev-Vcu Development</t>
  </si>
  <si>
    <t>E-Tractor With Variable Power</t>
  </si>
  <si>
    <t>2021-22</t>
  </si>
  <si>
    <t>Cost effective, feasible to install and in return creates its demand in municipalities adopting smart technologies for efficient waste management, industries generating significant waste would benefit due to easy and smart waste management, biogas plants and solar power energy will attract government and private sectors to implement such project with cost effective sensors.</t>
  </si>
  <si>
    <t>Under 1 lakh</t>
  </si>
  <si>
    <t>QR Code AndPacking List Inspection System</t>
  </si>
  <si>
    <t>https://drive.google.com/open?id=1Gb9VM_KrI5oX-LZtNYgUUkH1thkMkxfp</t>
  </si>
  <si>
    <t>Mid-Day Meal Automated Reporting AndManagement System</t>
  </si>
  <si>
    <t>Endurance Tester ForGeyser</t>
  </si>
  <si>
    <t>High Power Density Modular BLDC Motor Controller</t>
  </si>
  <si>
    <t>3 months</t>
  </si>
  <si>
    <t>Vehicle Alignment Indicator</t>
  </si>
  <si>
    <t>Online Payment Device For Machine Of Beverages</t>
  </si>
  <si>
    <t>sarthakup1012001@gmail.com</t>
  </si>
  <si>
    <t>Iet Lucknow, 226021</t>
  </si>
  <si>
    <t>The Marvel Tooth Brush</t>
  </si>
  <si>
    <t>https://drive.google.com/open?id=1TR4R8tyjCYg3CP8dEYFBhfdFmGBNhyEz</t>
  </si>
  <si>
    <t>Flexible 5g Antenna</t>
  </si>
  <si>
    <t>If Yono(Open Source Microcontroller)</t>
  </si>
  <si>
    <t>Attendance Monitoring System</t>
  </si>
  <si>
    <t>Udaan(Flight Controller For Drone)</t>
  </si>
  <si>
    <t>Vertical Mop Robot</t>
  </si>
  <si>
    <t xml:space="preserve">Vatsa kartikeya </t>
  </si>
  <si>
    <t xml:space="preserve">PREeVENT </t>
  </si>
  <si>
    <t>Rice Age Finder Machine</t>
  </si>
  <si>
    <t xml:space="preserve">App development </t>
  </si>
  <si>
    <t>I want to build it as startup , not presented in any compatition.</t>
  </si>
  <si>
    <t>Solving a big problem and have a very big market .</t>
  </si>
  <si>
    <t>Multi-Level Encryption</t>
  </si>
  <si>
    <t>We need a application to launch aur startup .</t>
  </si>
  <si>
    <t>https://drive.google.com/open?id=1dGFy0kvUXfHaihjPAcA1rLJ0KKBZa3RT</t>
  </si>
  <si>
    <t>Digital Healthcare Assistant</t>
  </si>
  <si>
    <t>Smart Mirror Connected To IOT</t>
  </si>
  <si>
    <t>Automatic Physiotherapy Assistance Machine</t>
  </si>
  <si>
    <t>Very big (lower middle class to high class people)</t>
  </si>
  <si>
    <t xml:space="preserve">1 lakh </t>
  </si>
  <si>
    <t>https://drive.google.com/open?id=1WPJRy-HcpOMDuS1_1pt3R5C2Er2YIzoa</t>
  </si>
  <si>
    <t>Solar Powered Battery Swapping Station</t>
  </si>
  <si>
    <t>Triple Power Advance Pcu</t>
  </si>
  <si>
    <t>Smart Solar Bench</t>
  </si>
  <si>
    <t>Kinetic Chandelier</t>
  </si>
  <si>
    <t xml:space="preserve">4 months </t>
  </si>
  <si>
    <t>phoenix squard</t>
  </si>
  <si>
    <t>Milk Adulteration Testing Unit</t>
  </si>
  <si>
    <t xml:space="preserve"> P Swetha</t>
  </si>
  <si>
    <t>swetha0932005@gmail.com</t>
  </si>
  <si>
    <t>Enterprise Security AndAutomation</t>
  </si>
  <si>
    <t>No 3 gandhi cross street kp oil mill pallikaranai chennai</t>
  </si>
  <si>
    <t>https://drive.google.com/open?id=1xTQIK5YPSgIEazCwly9pFBWnR1XbQkpE</t>
  </si>
  <si>
    <t>prince shri venkateshwara padmavathy engineering college</t>
  </si>
  <si>
    <t>informatiom technology</t>
  </si>
  <si>
    <t>M Sahira Banu</t>
  </si>
  <si>
    <t>Yoga guru(Digital yoga mat)</t>
  </si>
  <si>
    <t xml:space="preserve"> Demographics: Yoga enthusiasts, fitness professionals, and individuals interested in wellness and mindfulness practices. - Psychographics: People who value sustainability, eco-friendliness, and high-quality products.</t>
  </si>
  <si>
    <t>no.we this project has already not  been shortlisted in or has already won any competition etc. 
Introduction:
Yoga is a popular practice that requires precision and correct alignment to achieve its full benefits. However, it can be challenging for beginners or even experienced practitioners to maintain accurate poses. Our project aims to develop an AI-powered yoga practice assistant using Raspberry Pi, which provides real-time feedback on yoga pose accuracy.
System Components:
- Raspberry Pi (mini-computer)
- Face recognition software/library
- Display board
- Red and green LEDs (lights)
- Predefined yoga pose database
System Functionality:
1. User performs yoga poses in front of the Raspberry Pi camera.
2. The face recognition software captures images of the user's poses and compares them with the predefined yoga pose database.
3. The system analyzes the pose accuracy and displays the result on the display board:
    - Red light indicates an incorrect pose, alerting the user to adjust their alignment.
    - Green light indicates a correct pose, providing positive reinforcement.
4. The system can store user progress, allowing for tracking of improvement over time.
Benefits:
- Improved pose accuracy reduces the risk of injury and enhances the effectiveness of yoga practice.
- Real-time feedback enables users to adjust their alignment and technique immediately.
- The system is portable and can be used in various settings, such as yoga studios, homes, or gyms.
- The AI-powered technology provides a personalized practice experience, catering to individual needs and skill levels.
Technical Details:
- The face recognition software uses machine learning algorithms to detect and compare yoga poses.
- The predefined yoga pose database contains images of various asanas, allowing the system to recognize and analyze different poses.
- The Raspberry Pi camera captures high-quality images, ensuring accurate pose detection.
- The display board and LEDs provide a user-friendly interface, making it easy to understand the feedback.
Conclusion:
Our AI-powered yoga practice assistant using Raspberry Pi offers a innovative solution for yoga enthusiasts, instructors, and studios. By providing real-time feedback on pose accuracy, this system enhances the yoga practice experience, promotes correct alignment, and reduces the risk of injury. With its portability and personalized approach, this project has the potential to revolutionize the way we practice yoga.</t>
  </si>
  <si>
    <t xml:space="preserve"> In our product we have made a smart yoga mate which can be 
used by anyone. In a normal yoga mate we need physical guide to 
make yoga practice. But in our smart yoga mate we doesn’t need 
any physical guide which guide us through the instructions voice 
over and alerting through green and red light
Also,In our project we have used to Raspberry Pi, face recognisation, display and red green light. Raspberry Pi perform has mini computer which contain almost all the AI technology and function in it.And In face recognition we will be inserting some poses and structures of yoga asanasRaspberry Pi captures the asanas and poses of yoga while a person is performing Yoga,then it compare the yoga poses with face recogntion of already inserted yoga poses and displays the result.It display the result in the Display Board,it indicate red light if the yoga is not correct and indicate green light if yoga is correctIn our project we have used to Raspberry Pi, face recognisation, display and red green light. Raspberry Pi perform has mini computer which contain almost all the AI technology and function in it.And In face recognition we will be inserting some poses and structures of yoga asanasRaspberry Pi captures the asanas and poses of yoga while a person is performing Yoga,then it compare the yoga poses with face recogntion of already inserted yoga poses and displays the result.It display the result in the Display Board,it indicate red light if the yoga is not correct and indicate green light if yoga is correct
</t>
  </si>
  <si>
    <t>https://drive.google.com/open?id=1Xoj1K_nx4Eo-XkQ56d6kLETqkgmkcfw4</t>
  </si>
  <si>
    <t>The 2024 Yoga Mat Market Insights report provides a comprehensive analysis of the market's size, share, revenue, and growth prospects, offering valuable insights to help businesses make informed decisions and capitalize on the market's potential, which is expected to continue growing beyond the 2030 forecast period.</t>
  </si>
  <si>
    <t>https://drive.google.com/open?id=1WtB4-N7L6umh_4fTXoPVfanLCgc3R4IA</t>
  </si>
  <si>
    <t>2months</t>
  </si>
  <si>
    <t>Girt and Grind</t>
  </si>
  <si>
    <t>Jaikaruna S</t>
  </si>
  <si>
    <t>jaikaruna.2206022@srec.ac.in</t>
  </si>
  <si>
    <t>168,2ns street Poombugar nagar, Amman kovil east, saravanampatti, coimbatore,Tamilnadu-641035</t>
  </si>
  <si>
    <t>https://drive.google.com/open?id=1ZwCcZZUvKduz9Yhwt9bzrO3l3YWZU3nA</t>
  </si>
  <si>
    <t>EIE</t>
  </si>
  <si>
    <t>Ishwarya.M</t>
  </si>
  <si>
    <t>Line Following Autocart For Customizable Transportation</t>
  </si>
  <si>
    <t>Transport</t>
  </si>
  <si>
    <t xml:space="preserve">
In today’s fast-paced industrial landscape, automation is key to enhancing efficiency and productivity. However, small-scale industriesoftenstrugglewithhighcostsandcomplexitywhenadoptingadvancedroboticsystems.Our proposed work aimstobridge this gap by developing an affordable and user-friendly line-following mechanism for transporting items within small-scale industries.
Small-scale industries are crucial to many economies, providing employment and contributing to GDP. These industries face significantchallengesinadoptingmodernautomationtechnologiesduetohighinitialcosts,complicatedmaintenance, andthe needforskilledoperators.Ourprojectseekstoprovideacost-effectiveandpracticalalternativethatintegratesseamlesslyinto existing workflows.
Ourprimarygoalistoenhanceoperationalefficiencybyautomatingitemtransportation,therebyreducingtimeandlabor.This allows workers to focus on skilled and value-added activities, improving overall productivity. Safety is also a key concern; our deviceincludes an alarm system for obstacledetection and clear visual indicators (green light for load-free, red light for full)to reduce errors and ensure smooth operation.
Incorporating IoT technology enables remote monitoring and control, aligning small-scale industries with modern Industry 4.0 standards.Thisintegrationnotonlyimprovesefficiencybutalsoprovidesvaluabledatainsightsforbetterdecision-makingand predictive maintenance, making our solution a forward-looking approach that evolves with technological advancements.
Developinganaffordablesolutionforsmall-scaleindustriesisacriticalmotivationforourproject.Byusingreadilyavailable components and focusing on simplicity in design, proposed work keep costs low without compromising functionality. This accessibility encourages widespread adoption of automation across various industries.
Easeofuseis essentialforourproject.Thedeviceis intuitive,requiringminimaltrainingforoperators.Itsstraightforward installationandmaintenanceproceduresfurtherreducebarrierstoadoption,makingitapracticalsolutionforsmall-scale industries with limited technical expertise.
The proposed work aims to democratize access to automation for small-scale industries, enhancing their productivity and competitiveness.Byprovidinganaffordable,reliable,andeasy-to-usesolution,wecanempowertheseindustriestothrive.With the support of a prototyping grant, we can bring this vision to fruition and make a significant impact on the industrial sector.
</t>
  </si>
  <si>
    <t xml:space="preserve">
Ou rproject stands out by offering an affordable, user-friendly line-following mechanism tailoredfor small-scale industries. Using cost-effective, readily available components, it ensures minimal disruption with seamless workflow integration. The device is intuitive, requiring minimal training, and includes safety features like obstacle detection and visual indicators. IoT technology enables remote monitoring and aligns with Industry 4.0 standards, providing data for better decision- making and predictive maintenance. By focusing on the unique needs of small-scale industries, our scalable solution democratizes access to automation, enhancing productivity and competitiveness in a budget-friendly manner.</t>
  </si>
  <si>
    <t xml:space="preserve">In our project ,we will utilize acombination of sensors, microcontrollers, Arduino, DCmotors, ultrasonic sensors, LED indicators, and IoT integration to create a sophisticated automation system. The color sensors will detect the line path, guiding the movement of the mechanism along predefined routes. An Arduino will serve asthe central control unit, processing inputs from the sensors and controlling the motors. DC motors will facilitate movement, managed by motor driver circuits to ensure precise speed and direction control.
Ultrasonic sensors will be employed to detect obstacles in the path, triggering an alarm system to ensure safety and efficiency. LED indicators, specifically green and red LEDs, will display the load status—green for load-free and red for full—providing clear visual signals.
An ESP8266 module will enable remote monitoring and control via an IoT platform, utilizing the Blynk application for a user-friendly interface. The system will be programmed in C, ensuring robust performance and reliability.
This approach guarantees a robust, scalable, and user-friendly solution tailored for small-scale industries. By leveraging cost-effective components and modern IoT technology, we aim to deliver a reliable automation system. Our methodology emphasizes to meet the needs of small-scale industrial automation effectively.
</t>
  </si>
  <si>
    <t>https://drive.google.com/open?id=1_qSAim4plHNtNYb8of6-vTmb5x35MqKL</t>
  </si>
  <si>
    <t>he proposed work holdssubstantialmarketpotentialandispoisedtomakesignificantimpactsonthe Indian industrial landscape. India's small-scale industries, which constitute a vital part of the manufacturing sector, face persistent challenges such as operational inefficiencies, high labor costs, and inconsistent production quality. By introducing an automated line-following mechanism,ourworkaddresses theseissues,enhancing operationalefficiency,reducing labor dependency, and ensuring consistent production standards.  Leveraging IoT technology, supported by the Indian government's Digital India initiative, The proposed workispositionedinafavorableenvironmentforadvancedautomationsolutions.Theuseof  cost-effective components, including Arduino microcontrollers, sensors, and IoT modules, ensures economic viability for small-scale industries, which often operate within stringentbudget constraints. The growing acceptance and integration of automation in manufacturing processes further underscore the relevance andpotentialof our solution forwidespread adoption.  Our work incorporates remote monitoring and control capabilities via the ESP8266 module and the Blynk application, significantly enhancing operational oversight and efficiency. This functionalityallowsforreal-timemonitoring,predictivemaintenance,andswiftissueresolution, thereby minimizing downtime and optimizing production processes. The user-friendly interface oftheBlynkapplicationensuresaccessibilityevenforoperatorswithlimitedtechnicalexpertise.  Aligned with the "Make in India" initiative, The proposed work promotes the use of indigenous technology and locally sourced components, fostering domestic innovation and reducing relianceonimports.Thisstrategicalignmentnotonlyenhancesmarketacceptancebutalso contributes to national economic goals.</t>
  </si>
  <si>
    <t>The cost of purchase of raw material: 8260
Product Development / consultancy Cost:2000
Other expenditure:7000
Total cost=17260</t>
  </si>
  <si>
    <t>https://drive.google.com/open?id=11ajvS4IT1IVMH5G7izAbtb2cpYVDvW8J</t>
  </si>
  <si>
    <t>Month 1: Planning and Procurement  Month 2: Design and Prototyping  Month 3: Integration and Testing  Month 4: Refinement and Deployment</t>
  </si>
  <si>
    <t>mathavanrani521975@gmail.com</t>
  </si>
  <si>
    <t xml:space="preserve">Details of Partnership &amp; Collaboration </t>
  </si>
  <si>
    <t xml:space="preserve">K. Ramakrishnan college of technology samayapuram </t>
  </si>
  <si>
    <t>https://drive.google.com/open?id=1p1zzOcJJJxPUR_ph_nTXh5PF-8EhPktZ</t>
  </si>
  <si>
    <t xml:space="preserve">Duration </t>
  </si>
  <si>
    <t>Industry Name</t>
  </si>
  <si>
    <t>Location</t>
  </si>
  <si>
    <t>About Collaboration</t>
  </si>
  <si>
    <t>PudUP Ventures Private Limited</t>
  </si>
  <si>
    <t>S. Reshma begam, Lavanya . V</t>
  </si>
  <si>
    <t>Angel Investor</t>
  </si>
  <si>
    <t>CELESTIAL SENTINEL INITIATIVE</t>
  </si>
  <si>
    <t>Public, private, defence</t>
  </si>
  <si>
    <t>20-04-2022</t>
  </si>
  <si>
    <t>Syscom Corporation limited</t>
  </si>
  <si>
    <t>Project and Knowledge sharing</t>
  </si>
  <si>
    <t>The "Celestial Sentinel Initiative" introduces a groundbreaking approach to urban surveillance, disaster response, and delivery logistics. By deploying autonomous drones equipped with advanced sensors and AI capabilities, the initiative establishes a vigilant network of aerial sentinels.
The Vision:
The Celestial Sentinel Initiative envisions a network of autonomous drones patrolling our urban skies like celestial guardians.
These drones are equipped with cutting-edge technology, including advanced sensors, artificial intelligence (AI), and real-time communication capabilities.
Urban Surveillance:
Picture these drones silently gliding over cityscapes, scanning streets, parks, and rooftops.
Their sensors detect anomalies, monitor traffic flow, and identify potential safety hazards.
From spotting accidents to tracking suspicious activities, they provide a bird’s-eye view of our urban environment.
Swift Disaster Response:
Emergencies strike unexpectedly—natural disasters, fires, or accidents.
The Celestial Sentinels react instantly. They relay critical information to emergency services.
Imagine a wildfire outbreak: Drones identify hotspots, assess wind patterns, and guide firefighters to the most critical areas.
Lives are saved, and property damage minimized—all thanks to their rapid response.
Delivery Logistics Revolution:
Urban congestion is a challenge. Delivery trucks clog streets, emitting pollutants.
The initiative optimizes logistics. Drones deliver packages efficiently, bypassing traffic.
Imagine your online order arriving via a drone, landing gently on your balcony.
It’s not science fiction; it’s efficient, eco-friendly delivery.
Balancing Privacy and Security:
Critics raise concerns about surveillance and privacy.
The initiative must strike a delicate balance: safeguarding citizens while respecting their rights.
Strict regulations ensure that data collected is used responsibly and transparently.
Resilience and Sustainability:
By reducing road traffic, the Celestial Sentinels contribute to cleaner air and less noise pollution.
They optimize energy consumption, using renewable sources whenever possible.
Our cities become more resilient, adapting swiftly to changing circumstances.
Collaboration with Ground Forces:
The drones don’t replace ground-based responders; they complement them.
Police, firefighters, and medical teams work in tandem with the Sentinels.
Together, they form an integrated safety net for urban dwellers.
The Promise of Tomorrow:
The Celestial Sentinel Initiative isn’t just about technology; it’s about reimagining urban life.
Safer streets, faster responses, and a healthier environment—these are the promises of tomorrow’s cities.
In summary, the Celestial Sentinel Initiative isn’t just about flying machines; it’s about weaving safety, efficiency, and sustainability into the fabric of our urban existence.</t>
  </si>
  <si>
    <t>SINCGRID LLP</t>
  </si>
  <si>
    <t>* To Improve urban safety through advanced surveillance and rapid disaster response capabilities.
* To optimize delivery logistics in urban areas, reducing congestion and enhancing
efficiency.
* To Safeguard communities and critical infrastructure through continuous aerial surveillance and proactive disaster management strategies.</t>
  </si>
  <si>
    <t>South west Delhi</t>
  </si>
  <si>
    <t>Electrical and Electronics hardware supply</t>
  </si>
  <si>
    <t>23-06-2022</t>
  </si>
  <si>
    <t>Emplife India Private Limited</t>
  </si>
  <si>
    <t>NewDelhi</t>
  </si>
  <si>
    <t>Employability.</t>
  </si>
  <si>
    <t xml:space="preserve">Speed and Coverage:
Launch Efficiency: Drones can be deployed rapidly. Unlike ground teams, which may take hours to reach remote or rugged areas, drones take off within minutes.
Vast Coverage: Drones cover large areas quickly. Their aerial perspective allows them to survey expansive terrain, forests, and bodies of water efficiently.
Search Patterns and Techniques:
Grid Search: Drones fly in a systematic grid pattern, capturing images or video of each grid cell. This method ensures comprehensive coverage.
Spiral Search: For localized areas, drones fly spirals outward from a central point. This technique is useful for pinpointing specific targets.
Pattern Recognition: AI algorithms analyze imagery to detect anomalies (such as a person or a stranded vessel) against the background.
Sensors and Imaging Systems:
Thermal Cameras: Detect body heat, even in dense vegetation or darkness. Useful for locating missing persons.
High-Resolution Cameras: Capture detailed images for visual inspection.
LiDAR (Light Detection and Ranging): Measures distances using laser pulses, creating 3D maps of terrain and structures.
Multispectral Sensors: Detect specific wavelengths (e.g., for identifying gas leaks or assessing vegetation health).
Communication and Data Transmission:
Real-Time Video: Drones stream live video to ground stations, allowing SAR teams to assess situations remotely.
GPS and Telemetry: Drones provide precise location data, aiding ground teams in navigation.
Cellular or Satellite Communication: Enables remote control and data transfer even in areas with no direct line of sight.
Autonomous Behavior:
Waypoint Navigation: Drones follow predefined flight paths autonomously.
Obstacle Avoidance: Sensors detect obstacles (trees, buildings) and adjust flight paths.
Return-to-Home (RTH): If communication is lost, drones automatically return to their launch point.
Collaboration with Ground Teams:
Drones don’t replace humans; they enhance their capabilities.
Ground teams guide drones based on their expertise, while drones provide critical data.
Safety Considerations:
Redundancy: Dual batteries or redundant systems ensure safe return even if one fails.
Emergency Procedures: Drones are programmed to land safely if critical issues arise.
Legal and Ethical Aspects:
Regulations: Compliance with aviation authorities’ rules ensures safe and legal operations.
Privacy: Balancing public safety with privacy concerns is crucial.
In summary, rescue drones combine technology, speed, and precision to save lives. They bridge gaps in traditional SAR methods, providing eyes in the sky and critical data for responders. As technology evolves, our rescue drones will continue to play a pivotal role in search and rescue missions. </t>
  </si>
  <si>
    <t>18-10-2022</t>
  </si>
  <si>
    <t>VerveGen Tech Pvt Ltd</t>
  </si>
  <si>
    <t>https://drive.google.com/open?id=1P8CbTRcorP7auxWu1luhi3YH-AbsMq5t</t>
  </si>
  <si>
    <t>Dehradun, Uttrakhand</t>
  </si>
  <si>
    <t>Providing Support in Research and Development</t>
  </si>
  <si>
    <t>15-01-2023 to  15-01-2026</t>
  </si>
  <si>
    <t>Sarthak Mechatronics</t>
  </si>
  <si>
    <t>Greater Noida</t>
  </si>
  <si>
    <t>Electrical and Electronics Supply</t>
  </si>
  <si>
    <t>23-03-2023</t>
  </si>
  <si>
    <t>Softpro India Computer Technology Pvt. Ltd</t>
  </si>
  <si>
    <t>Lucknow</t>
  </si>
  <si>
    <t>Firmware  development of IoT, Training.</t>
  </si>
  <si>
    <t>24-03-2023</t>
  </si>
  <si>
    <t>Sagar Tools and machines</t>
  </si>
  <si>
    <t>Product Fabrication</t>
  </si>
  <si>
    <t>As of early 2022, more than 2,000 commercial drone deliveries occur daily worldwide, indicating that drone activity extends beyond mere test flights. Drones are already making an impact in last-mile delivery, especially for small packages and prepared food. They also serve B2B needs, such as transporting medical samples to labs1.  ost-Effectiveness and Environmental Impact: Drones have the potential to become cost-competitive for delivery, especially in regions with poor road infrastructure or where pooling deliveries isn’t practical. Their direct operating costs are influenced significantly by labor (up to 95% of total costs). Environmentally, drones emit less CO₂ than electric cars and vans for single deliveries and significantly less than gasoline-powered vehicles 2.  Challenges and Innovations: Labor costs associated with drone delivery remain high due to current regulations (one operator per drone). Innovations like autonomous flight, unmanned traffic management, and sense-and-avoid systems will be crucial. Regulatory changes allowing larger drone fleets per operator will enhance cost competitiveness2.  Market Projections: The commercial drone market is expected to grow significantly. By 2032, autonomous drones alone could generate around $15 billion in revenue3. Companies like Amazon Prime Air, UPS Flight Forward, and Google’s Wing are actively testing and implementing autonomous drone delivery systems 4.  Evolving Regulations: As technology matures, regulations must evolve to accommodate innovations. Once autonomous features are in place, allowing larger drone fleets per operator will be essential 2.  Overall Impact: The Celestial Sentinel Initiative, with its vigilant network of aerial sentinels, can revolutionize urban mobility and resilience. Safer cities, faster emergency responses, and efficient delivery logistics are within reach.</t>
  </si>
  <si>
    <t xml:space="preserve">1 lakh - 1.25 lakh </t>
  </si>
  <si>
    <t>Team Prabal Labs</t>
  </si>
  <si>
    <t>https://drive.google.com/open?id=12o3iAaGhnz2g1DiGvviC_utXv2B048i4</t>
  </si>
  <si>
    <t>Electronics and mechanical Hardware Supply</t>
  </si>
  <si>
    <t>Sunrise Mentors Private Limited</t>
  </si>
  <si>
    <t>Advance Learning in Tech and Coding</t>
  </si>
  <si>
    <t>Sara Enterprises</t>
  </si>
  <si>
    <t>Electronics Hardware Supply</t>
  </si>
  <si>
    <t>07-02-2024  to  07-02-2026</t>
  </si>
  <si>
    <t xml:space="preserve">4 months - 6 months </t>
  </si>
  <si>
    <t>Batra Engineering</t>
  </si>
  <si>
    <t>Injection molding and setting up manufacturing  Unit</t>
  </si>
  <si>
    <t>04-03-2024 to 03-03-2026</t>
  </si>
  <si>
    <t>CSHARP INC</t>
  </si>
  <si>
    <t xml:space="preserve">Tech Titans </t>
  </si>
  <si>
    <t>Manufacturing Consulting &amp; Industrial Training</t>
  </si>
  <si>
    <t>Vimal Raj A</t>
  </si>
  <si>
    <t>04-03-2024 to 03-03-2025</t>
  </si>
  <si>
    <t>CEPTA</t>
  </si>
  <si>
    <t>Design Support &amp; Industrial Training</t>
  </si>
  <si>
    <t>Vimalrajanand85@gmail.com</t>
  </si>
  <si>
    <t>13-03-2024 to 12-032025</t>
  </si>
  <si>
    <t>69/74 N.N.NAGAR , C.B.ROAD ,6TH STREET ,CHENNAI-600021</t>
  </si>
  <si>
    <t>Skill Academy</t>
  </si>
  <si>
    <t>https://drive.google.com/open?id=1izxGybtk3OfBD9TQ83bBU3aJ7tPG5k0S</t>
  </si>
  <si>
    <t>Industry  connect ( Upskilling)</t>
  </si>
  <si>
    <t>23-04-2024</t>
  </si>
  <si>
    <t>E-Cosys Consultancy Private Limited</t>
  </si>
  <si>
    <t>Software Design and Development VLSI, EDA, Telecom and Financial Domains</t>
  </si>
  <si>
    <t>10-07-2024 to 10-07-2025</t>
  </si>
  <si>
    <t>IIT Guwahati, TIDF</t>
  </si>
  <si>
    <t>Guwahati</t>
  </si>
  <si>
    <t>Research and Synergy between Entrepreneur, Innovators, Startups, and Students.</t>
  </si>
  <si>
    <t>Sapro Electrical &amp; Electronics (India) Pvt Ltd</t>
  </si>
  <si>
    <t>Ghaziabad</t>
  </si>
  <si>
    <t>Electrical and Electronics hardware Supply</t>
  </si>
  <si>
    <t xml:space="preserve">Prince Shri Venkateshwara Padmavathy Engineering College </t>
  </si>
  <si>
    <t>B.TECH IT</t>
  </si>
  <si>
    <t>05-11-2024 to  05-11-2027</t>
  </si>
  <si>
    <t>N G Transformers</t>
  </si>
  <si>
    <t>Industrial Product design</t>
  </si>
  <si>
    <t>07-12-2024  to  07-12-2026</t>
  </si>
  <si>
    <t>V S Energy Pvt. Ltd.</t>
  </si>
  <si>
    <t>Vishwa R, Pavithran R</t>
  </si>
  <si>
    <t xml:space="preserve">Electrical and Electronics manufacturing support </t>
  </si>
  <si>
    <t>Drowsiness Detection System</t>
  </si>
  <si>
    <t>10-01-2025  to  10-01-2026</t>
  </si>
  <si>
    <t>IOT (Both Hardware and Software)</t>
  </si>
  <si>
    <t>Voltworks Pvt. Ltd.</t>
  </si>
  <si>
    <t xml:space="preserve">EV Motor and controller support </t>
  </si>
  <si>
    <t>I have had the opportunity to participate in several significant competitions that have allowed me to showcase my skills and gain valuable experience. One notable project was the "Hybrid Solar Generator" at RVS College of Engineering in Coimbatore. This project aimed to develop a sustainable and efficient energy solution by integrating solar power with traditional generators. The experience provided me with deep insights into renewable energy technologies and the challenges associated with hybrid systems.
Another significant achievement was at KPR College of Engineering in Coimbatore, where I worked on a "Smart Parking" system. This project focused on creating an intelligent and automated parking solution to address urban parking challenges. Our innovative approach and practical implementation got us selected and shortlisted for the final round, where we achieved 4th place. This competition taught me the importance of teamwork, problem-solving, and presenting complex technical solutions in an understandable manner.
Additionally, I participated in the Assistive Technology Hackathon in Chennai, where my team and I developed a project that earned us the title of 2nd Runner-up. This hackathon was particularly rewarding as it focused on creating technology solutions to assist individuals with disabilities. Our project aimed to improve the quality of life for users, and being recognized as the 2nd Runner-up was a testament to the impact and feasibility of our solution. This experience reinforced my commitment to using technology for social good and provided me with a platform to innovate and address real-world problems.
These competitions have been instrumental in shaping my technical abilities, teamwork, and problem-solving skills. They have also fueled my passion for creating innovative solutions that can make a positive difference in society. I look forward to leveraging these experiences in future projects and contributing to meaningful technological advancements.</t>
  </si>
  <si>
    <t xml:space="preserve">Driving while feeling sleepy is a danger, on the road. It's important to have good systems in place to detect and warn about it. This study suggests a system for spotting drowsiness that uses a camera, microphone, vibrator and health sensors. The camera watches for signs by looking at expressions and eye movements. At the time the microphone listens for changes in speech that show tiredness. 
When drowsiness is noticed a vibrator gives the driver a nudge to stay alert.Additionally the system includes health sensors to check things, like heart rate and blood pressure giving an idea of how healthy the driver's overall and how it affects their alertness. All this information is analyzed instantly using algorithms to make sure it's accurate and quick.This new system wants to make roads safer by reducing the risks linked with driver tiredness through warnings and health checks keeping both drivers and other road users safe.
</t>
  </si>
  <si>
    <t>27-03-2025</t>
  </si>
  <si>
    <t>https://drive.google.com/open?id=1rrG_XZ0v4VBx3rZvuVvNqzi6ntm9iqvF</t>
  </si>
  <si>
    <t>Nspire Automation Private Limited (Zartthi)</t>
  </si>
  <si>
    <t>IT Products and services for startups</t>
  </si>
  <si>
    <t>22-04-2025 to 22-04-2028</t>
  </si>
  <si>
    <t>Kaushalya World School</t>
  </si>
  <si>
    <t>Student Mentorship and  Support</t>
  </si>
  <si>
    <t>Rupee Funda</t>
  </si>
  <si>
    <t>Financial Assistance for startups</t>
  </si>
  <si>
    <t>15-05-2025</t>
  </si>
  <si>
    <t xml:space="preserve">Inordinate Industrial Innovations Private Limited </t>
  </si>
  <si>
    <t>The Person who Drives the vehicle are Benefited</t>
  </si>
  <si>
    <t>New Delhi</t>
  </si>
  <si>
    <t>Around 6000-9000</t>
  </si>
  <si>
    <t>Support in Electronics and IoT</t>
  </si>
  <si>
    <t>https://drive.google.com/open?id=1514wxFIPd3fdeC0iNKgZ0P47zwkkP3Ev</t>
  </si>
  <si>
    <t>25-05-2025</t>
  </si>
  <si>
    <t>DesignTech System Private Limited</t>
  </si>
  <si>
    <t>Design and Simulation support</t>
  </si>
  <si>
    <t>28-05-2025</t>
  </si>
  <si>
    <t xml:space="preserve">Indus AI Private Limited </t>
  </si>
  <si>
    <t xml:space="preserve">Greater Noida </t>
  </si>
  <si>
    <t xml:space="preserve">Support in LLM Model Training </t>
  </si>
  <si>
    <t>29-06-2025</t>
  </si>
  <si>
    <t xml:space="preserve">MyDigital Dudes </t>
  </si>
  <si>
    <t xml:space="preserve">Graphics designing and website development support  </t>
  </si>
  <si>
    <t>30-05-2025</t>
  </si>
  <si>
    <t xml:space="preserve">UPRIO Digital Private Limited </t>
  </si>
  <si>
    <t xml:space="preserve">Website, ERP, Digital Marketing and App Development </t>
  </si>
  <si>
    <t>BigBlare Innovations LLP</t>
  </si>
  <si>
    <t>Research and Development Support</t>
  </si>
  <si>
    <t>abisheh366@gmail.com</t>
  </si>
  <si>
    <t xml:space="preserve">Mine Pack Developers Private Limited </t>
  </si>
  <si>
    <t xml:space="preserve">K.Ramakrishnan college of technology  </t>
  </si>
  <si>
    <t xml:space="preserve">Noida </t>
  </si>
  <si>
    <t>https://drive.google.com/open?id=1SS61-KPoazglzUSSfhjorAWUbmmWpHmu</t>
  </si>
  <si>
    <t>Complete Packageing Solution for starups</t>
  </si>
  <si>
    <t>Subasree.s,Florence Glaudia J</t>
  </si>
  <si>
    <t>Fire extension drone</t>
  </si>
  <si>
    <t xml:space="preserve">Public,private,emergency </t>
  </si>
  <si>
    <t>The development of firefighting drones addresses the limitations of traditional firefighting methods by enhancing safety, efficiency, and effectiveness. Firefighting is inherently dangerous, especially in high-rise buildings, chemical fires, forest fires, or industrial accidents. Drones mitigate these risks by reaching hazardous areas without endangering human lives, surveying fire scenes, identifying hotspots, and delivering firefighting agents precisely where needed. They also navigate challenging environments, such as high-rise buildings, remote forests, and congested urban settings, where human firefighters or ground vehicles struggle. Rapid deployment allows drones to reach fire scenes faster than traditional methods, providing real-time data for more efficient coordination and response. Moreover, drones are cost-effective, reducing the need for extensive manpower and expensive equipment while minimizing property damage. Equipped with advanced technologies like thermal imaging, high-definition cameras, and sensors, drones provide critical information that enhances decision-making and operational efficiency. Artificial intelligence and machine learning further optimize drone performance for autonomous navigation and intelligent firefighting strategies. Recognized in innovation and technology competitions, firefighting drones have received accolades and funding, validating their potential impact. They have won prototype grants from governmental agencies, technology incubators, and environmental groups and have been highlighted at industry conferences and in media coverage, underscoring their significance in advancing firefighting capabilities and protecting communities.</t>
  </si>
  <si>
    <t>The firefighting drone project is special because it uses cutting-edge technology to solve important firefighting challenges and greatly improves safety, accessibility, efficiency, and cost-effectiveness.In contrast to conventional techniques, these drones can swiftly and safely access dangerous or difficult-to-reach locations, like crowded cities, isolated forests, and high-rise buildings, offering vital support without endangering human life.The drones provide comprehensive situational awareness and real-time data thanks to their advanced technologies, which include thermal imaging, high-definition cameras, and sensors for detecting toxic gases and structural integrity. This makes it possible to deliver firefighting agents precisely and make better decisions. This project is made even more unique by the addition of artificial intelligence and machine learning, which allows for intelligent firefighting tactics and autonomous navigation while improving response times and performance. The project's cost-effectiveness also sticks out because it minimizes property damage while requiring less expensive equipment and a large amount of labor. The project's innovative approach and potential to completely transform firefighting operations have been recognized through prototype grants, awards from innovation competitions, and media and academic attention. As such, it is an essential innovation in emergency response technology.</t>
  </si>
  <si>
    <t>1. Drone Design and Development Team
Design drones with heat-resistant materials and extended flight times.
Develop payload capacities for carrying firefighting agents.
Integrate thermal imaging cameras and high-definition video cameras.
Install sensors to detect toxic gases and fire hotspots.
2. Communications and Data Transmission Team
Use high-speed communication systems for real-time data relay from drones to ground control stations.
Develop tools for analyzing and presenting data to firefighting teams.
3. Operational Deployment Team
Establish protocols for the rapid deployment of drones to fire scenes.
Integrate drone operations with traditional firefighting efforts.
3. Testing and Validation Team
Conduct tests in controlled environments simulating various fire scenarios.
Implement field trials in collaboration with fire departments.
4. Regulatory and Safety Compliance Team
Ensure compliance with aviation regulations and obtain necessary certifications.
Develop robust safety protocols.
5. Training and Education Team
Provide comprehensive training for firefighters and drone operators.
Educate the public and stakeholders about the benefits and capabilities of firefighting drones.
6. Continuous Improvement Team
Establish mechanisms to gather data and insights from drone operations.
Invest in R&amp;D to explore new technologies and methodologies</t>
  </si>
  <si>
    <t>https://drive.google.com/open?id=1xoXPX_c40iOGoqO_UYRXJSObwvy3MGNI</t>
  </si>
  <si>
    <t>Growing Demand for Advanced Firefighting Solutions Government and Institutional Support Cost Savings and Efficiency Technological Advancements Increasing Adoption in Diverse Sectors Expanding Global Market Competitive Advantage and Differentiation</t>
  </si>
  <si>
    <t>1.5 lakhs- 2 lakhs</t>
  </si>
  <si>
    <t>https://drive.google.com/open?id=1pDUCsavUOvpv4GkgxzZACrqCSO26y9yh</t>
  </si>
  <si>
    <t xml:space="preserve">3 months </t>
  </si>
  <si>
    <t>Grit and Grind</t>
  </si>
  <si>
    <t>Jaikaruna S.</t>
  </si>
  <si>
    <t>168 2nd street, boombakar nagar,Saravanampatti, Coimbatore-641035</t>
  </si>
  <si>
    <t>https://drive.google.com/open?id=1iXvvrj5ME-koGxkTcrK9Tl-HsKdDRXqw</t>
  </si>
  <si>
    <t>BE-EIE</t>
  </si>
  <si>
    <t>Ishwarya M.</t>
  </si>
  <si>
    <t>Line following Autocart for Customizable Transportation</t>
  </si>
  <si>
    <t>Industrial Automation</t>
  </si>
  <si>
    <t xml:space="preserve">In today’s fast-paced industrial landscape, automation is key to enhancing efficiency and productivity. However, small-scale industries often struggle with high costs and complexity when adopting advanced robotic systems. Our proposed work aims to bridge this gap by developing an affordable and user-friendly line-following mechanism for transporting items within small-scale industries.
Small-scale industries are crucial to many economies, providing employment and contributing to GDP. These industries face significant challenges in adopting modern automation technologies due to high initial costs, complicated maintenance,  and the need for skilled operators .Our project seeks to provide a cost-effective and practical alternative that integrates seamlessly into existing workflows.
Our primary goal is to enhance operational efficiency by automating item transportation, there by reducing time and labor. This allows workers to focus on skilled and value-added activities, improving overall productivity. Safety is also a key concern; our device includes an alarm system for obstacle detection and clear visual indicators (green light for load-free, red light for full) to reduce errors and ensure smooth operation.
Incorporating IoT technology enables remote monitoring and control, aligning small-scale industries with modern Industry 4.0 standards. This integration not only improves efficiency but also provides valuable data insights for better decision-making and predictive maintenance, making our solution a forward-looking approach that evolves with technological advancements.
Developing an affordable solution for small-scale industries is a critical motivation for our        project. By using readily available components and focusing on simplicity in design, proposed work keep costs low without compromising functionality. This accessibility encourages widespread adoption of automation across various industries.
Ease of use is essential for our project. The device is intuitive, requiring minimal training for operators. Its straightforward installation and maintenance procedures further reduce barriers to adoption, making it a practical solution for small-scale industries with limited technical expertise.
The proposed work aims to democratize access to automation for small-scale industries, enhancing their productivity and competitiveness. By providing an affordable, reliable, and easy-to-use solution, we can empower these industries to thrive. With the support of a prototyping grant, we can bring this vision to fruition and make a significant impact on the industrial sector.
</t>
  </si>
  <si>
    <t>Our project stands out by offering an affordable, user-friendly line-following mechanism tailored for small-scale industries. Using cost-effective, readily available components, it ensures minimal disruption with seamless workflow integration. The device is intuitive, requiring minimal training, and includes safety features like obstacle detection and visual indicators. IoT technology enables remote monitoring and aligns with Industry 4.0 standards, providing data for better decision-making and predictive maintenance. By focusing on the unique needs of small-scale industries, our scalable solution democratizes access to automation, enhancing productivity and competitiveness in a budget-friendly manner.</t>
  </si>
  <si>
    <t xml:space="preserve">In our project, we will utilize a combination of sensors, microcontrollers, Arduino, DC motors, ultrasonic sensors, LED indicators, and IoT integration to create a sophisticated automation system. The color sensors will detect the line path, guiding the movement of the mechanism along predefined routes. An Arduino will serve as the central control unit, processing inputs from the sensors and controlling the motors. DC motors will facilitate movement, managed by motor driver circuits to ensure precise speed and direction control.
Ultrasonic sensors will be employed to detect obstacles in the path, triggering an alarm system to ensure safety and efficiency. LED indicators, specifically green and red LEDs, will display the load status—green for load-free and red for full—providing clear visual signals.
An ESP8266 module will enable remote monitoring and control via an IoT platform, utilizing the Blynk application for a user-friendly interface. The system will be programmed in C, ensuring robust performance and reliability.
This approach guarantees a robust, scalable, and user-friendly solution tailored for small-scale industries. By leveraging cost-effective components and modern IoT technology, we aim to deliver a reliable automation system. Our methodology emphasizes to meet the needs of small-scale industrial automation effectively.
</t>
  </si>
  <si>
    <t>https://drive.google.com/open?id=1PAwqm0XJZXWcsl9UpkARsSV8MwLQHk8e</t>
  </si>
  <si>
    <t xml:space="preserve"> The proposed work holdssubstantialmarketpotentialandispoisedtomakesignificantimpactsonthe Indian industrial landscape. India's small-scale industries, which constitute a vital part of the manufacturing sector, face persistent challenges such as operational inefficiencies, high labor costs, and inconsistent production quality. By introducing an automated line-following mechanism,ourworkaddresses theseissues,enhancing operationalefficiency,reducing labor dependency, and ensuring consistent production standards.  Leveraging IoT technology, supported by the Indian government's Digital India initiative, The proposed workispositionedinafavorableenvironmentforadvancedautomationsolutions.Theuseof   cost-effective components, including Arduino microcontrollers, sensors, and IoT modules, ensures economic viability for small-scale industries, which often operate within stringentbudget constraints. The growing acceptance and integration of automation in manufacturing processes further underscore the relevance andpotentialof our solution forwidespread adoption.  Our work incorporates remote monitoring and control capabilities via the ESP8266 module and the Blynk application, significantly enhancing operational oversight and efficiency. This functionalityallowsforreal-timemonitoring,predictivemaintenance,andswiftissueresolution, thereby minimizing downtime and optimizing production processes. The user-friendly interface oftheBlynkapplicationensuresaccessibilityevenforoperatorswithlimitedtechnicalexpertise.  Aligned with the "Make in India" initiative, The proposed work promotes the use of indigenous technology and locally sourced components, fostering domestic innovation and reducing relianceonimports.Thisstrategicalignmentnotonlyenhancesmarketacceptancebutalso contributes to national economic goals.</t>
  </si>
  <si>
    <t xml:space="preserve">The cost of purchase of raw material: 8260
Product Development / consultancy Cost:2000
Other expenditure:7000
Total cost=17260
</t>
  </si>
  <si>
    <t>https://drive.google.com/open?id=1-L6NKFN7LyMmiWPiQq5nr-YwE0Vz7Sla</t>
  </si>
  <si>
    <t>Visionary Triplets</t>
  </si>
  <si>
    <t>SHIVA NATH</t>
  </si>
  <si>
    <t>nathshiva907@gmail.com</t>
  </si>
  <si>
    <t>06200744685</t>
  </si>
  <si>
    <t>A-11 VEER BAZAR ROAD KIRARI SULEMAN NAGAR NORTH WEST DELHI</t>
  </si>
  <si>
    <t>https://drive.google.com/open?id=19rM5xbFJM-8P9KUOTT1QNsuL0NK2S7f2</t>
  </si>
  <si>
    <t>Complete Details of Incubated Startups</t>
  </si>
  <si>
    <t>iilm university</t>
  </si>
  <si>
    <t>CS2241260</t>
  </si>
  <si>
    <t>MD FIRDOUSH ALI</t>
  </si>
  <si>
    <t>Developing an AI-Driven Knowledge Assessment Platform Based on YouTube Video Content</t>
  </si>
  <si>
    <t xml:space="preserve"> Using Artificial Intelligence  to solve real world problems</t>
  </si>
  <si>
    <t>Despite the wealth of educational content available, a significant challenge remains: the immediate assessment of knowledge retention and understanding. Currently, there is a gap in tools and methods to evaluate what viewers have learned from YouTube videos promptly and effectively. Being a student we were facing the problem at the time of studying that's why wanted to develop a solution through which can solve this issue.</t>
  </si>
  <si>
    <t xml:space="preserve"> it dynamically generates and delivers MCQ questions based on the content of a YouTube video, allowing users to test their knowledge in real-time and receive instant feedback.</t>
  </si>
  <si>
    <t>We are using AI,ML,Python,github ,google colab(code editor)</t>
  </si>
  <si>
    <t>https://drive.google.com/open?id=1ggT7OXURMy6waDJoiJy_quks4xQCUgqX</t>
  </si>
  <si>
    <t>Revenue
 (Rs.) 2023-24</t>
  </si>
  <si>
    <t>Revenue
 (Rs.) 2024-25</t>
  </si>
  <si>
    <t>Revenue
 (Rs.) 2025-26</t>
  </si>
  <si>
    <t>1. Education: - Schools and universities could use it to create quick assessments based on educational videos. - Online learning platforms might integrate it to offer interactive quizzes alongside video content.  2. Corporate Training: - Companies could use it to generate quizzes from training videos, enhancing employee learning and retention.  3. Content Creators: - YouTubers and online educators could use it to create engaging content and assess viewer comprehension.  4. Language Learning: - It could be used to generate questions from foreign language videos, aiding comprehension and vocabulary acquisition.  5. Exam Preparation: - Students could use it to create practice questions from educational YouTube content.  6. Market Research: - Companies could use it to gauge viewer understanding of product demonstrations or explainer videos.  7. Gamification: - The tool could be used to create trivia games or quizzes based on popular video content.</t>
  </si>
  <si>
    <t>60k</t>
  </si>
  <si>
    <t>https://drive.google.com/open?id=1UIUAx7eiAQMrlo3uUdJJTDlaUrOoqOsO</t>
  </si>
  <si>
    <t>1 months</t>
  </si>
  <si>
    <t>Ingenuity</t>
  </si>
  <si>
    <t>Amritanshu Monarch</t>
  </si>
  <si>
    <t>amritanshumonarch@gmail.com</t>
  </si>
  <si>
    <t>Knowledge Park 2, Greater Noida</t>
  </si>
  <si>
    <t>https://drive.google.com/open?id=1l-xNFZQKfjqeogxdSyP4ba-0KrUw45ex</t>
  </si>
  <si>
    <t>Artificial Intelligence &amp; Machine Learning</t>
  </si>
  <si>
    <t xml:space="preserve">IILM University, Greater Noida </t>
  </si>
  <si>
    <t>CS-2341028</t>
  </si>
  <si>
    <t>S.O.S. Jewellery</t>
  </si>
  <si>
    <t>Emergency and Disaster Response</t>
  </si>
  <si>
    <t>Introducing Wearable S.O.S. devices,
integrated with the jewellery of your choice.By embedding specially-tuned GPS-based
telecommunications hardware into the
jewelleries.To tackle the unfortunate deaths of rurals and
people of remote regions, due to
inaccessibility of timely emergency services at
the location of incident.</t>
  </si>
  <si>
    <t>Highly accessible and Very Affordable.</t>
  </si>
  <si>
    <t>Using telecommunications technologies like GPS and GSM.</t>
  </si>
  <si>
    <t>https://drive.google.com/open?id=1GhoWF4AGqthD0YfNfDy44zAO5fUVz-J-</t>
  </si>
  <si>
    <t>Intelligentia Woods</t>
  </si>
  <si>
    <t>High.</t>
  </si>
  <si>
    <t>INR 1-2 Lakhs</t>
  </si>
  <si>
    <t>https://drive.google.com/open?id=1O1Xm5gY92Dg6DVmZ66tcNM1TkljETPgB</t>
  </si>
  <si>
    <t>2-3 months.</t>
  </si>
  <si>
    <t>AgriInnovators</t>
  </si>
  <si>
    <t>Sanjaiprasath S</t>
  </si>
  <si>
    <t>Artificial Intelligence and Machine Learning</t>
  </si>
  <si>
    <t>sanjayprasath2005@gmail.com</t>
  </si>
  <si>
    <t>Sri Ramakrishna Engineering College,coimbatore,MH1</t>
  </si>
  <si>
    <t>https://drive.google.com/open?id=1eRAhDydsnnbUiaIUh7iceQwHjnROxNQ1</t>
  </si>
  <si>
    <t>Sasidharan M, Sathiya sarvanan M</t>
  </si>
  <si>
    <t>AgriBot: Revolutionizing Precision Agriculture with Adaptive Snake Robotics and AI-Driven Data Analytics</t>
  </si>
  <si>
    <t>Robotics and Machine Learning</t>
  </si>
  <si>
    <t>1. Tackling Food Security Challenges
Objective: Address the critical issue of food security amidst India's growing population and increasing food demand.
Solution: The snake robot offers a sophisticated approach to data collection, providing detailed insights into soil conditions and crop health.
Impact: By potentially increasing crop yields by 15%, this technology can significantly enhance food availability, support the goal of self-sufficiency, and reduce the dependency on food imports. The increased productivity is crucial for meeting the needs of a burgeoning population while combating hunger and malnutrition.
2. Optimizing Resource Management
Objective: Address inefficiencies in water and fertilizer use, which are major concerns in Indian agriculture.
Solution: The robot’s sensors provide real-time measurements of soil moisture, pH, and nutrient levels, enabling precise and targeted resource application.
Impact: This approach can reduce water consumption by up to 30% and minimize fertilizer waste, contributing to environmental conservation and lowering production costs. The optimization of these resources aligns with sustainable agricultural practices, reducing ecological impact and supporting India’s water conservation efforts.
3. Advancing Precision Agriculture
Objective: Revolutionize traditional farming methods through data-driven precision agriculture.
Solution: By integrating machine learning with real-time data collection, the snake robot provides accurate, actionable insights into crop and soil conditions.
Impact: This advanced approach can boost crop yields by up to 20%, enhance productivity, and ensure efficient resource use. It supports the National Mission for Sustainable Agriculture by promoting modern farming techniques and improving overall farm efficiency, thus aiding in the achievement of sustainable development goals.
4. Facilitating Real-Time Monitoring
Objective: Provide farmers with immediate, actionable information to improve farm management.
Solution: The robot transmits data in real-time to cloud platforms like ThingSpeak, enabling timely analysis and generating alerts for issues such as pest infestations or nutrient deficiencies.
Impact: Early detection and rapid response to emerging issues can significantly reduce crop losses and increase farm productivity. Real-time monitoring empowers farmers with the tools needed to make informed decisions, leading to more effective and proactive farm management.</t>
  </si>
  <si>
    <t>1. Adaptive Snake-Like Mobility:
Design: The robot’s flexible, snake-like movement allows it to navigate through various terrains and tight spaces within agricultural fields, which traditional equipment cannot access.
2. Comprehensive Sensor Suite:
Capabilities: Equipped with a diverse range of sensors including soil moisture, pH, nutrient levels, temperature, humidity, and high-resolution cameras.
Benefit: Provides a holistic view of field conditions, enabling detailed and accurate data collection.
3. Real-Time Data Transmission and Analysis:
Technology: Uses wireless modules to transmit data in real-time to cloud platforms like ThingSpeak.
Benefit: Facilitates immediate analysis and decision-making, allowing farmers to respond swiftly to emerging issues.
4. AI-Driven Predictive Analytics:
Integration: Employs machine learning algorithms to analyze collected data and provide predictive insights and recommendations.
Benefit: Enhances decision-making by forecasting potential issues and suggesting optimized interventions.
5. Advanced Data Visualization:
Tool: Utilizes MATLAB for creating sophisticated visualizations such as 3D plots, heatmaps, and time series graphs.
Benefit: Improves data interpretation and allows farmers to easily understand and act on the insights provided.
6. Precision Resource Management:
Function: Offers targeted recommendations for irrigation and fertilization based on real-time data.
Benefit: Reduces resource waste, conserves water, and minimizes environmental impact, aligning with sustainable farming practices.
7. Early Detection and Alerts:
Capability: Generates real-time alerts for issues like pest infestations or nutrient deficiencies.
Benefit: Enables timely interventions and reduces potential crop damage and loss.
8. Scalability and Adaptability:
Design: The robot's technology and data collection methods are scalable and adaptable to various crop types and field conditions.
Benefit: Provides flexibility and broad applicability across different agricultural environments</t>
  </si>
  <si>
    <t>Technique and Methodology for AgriBot Project
1. Hardware Components
Robot Structure:
Actuators: High-torque servomotors or stepper motors for precise movement and flexibility.
Frame: Modular, flexible chassis designed for optimal maneuverability in diverse field conditions.
Sensors:
Soil Moisture Sensor: Monitors soil moisture levels to guide irrigation.
pH Sensor: Measures soil pH to assess soil health.
Nutrient Sensor: Evaluates nutrient levels in the soil.
Temperature and Humidity Sensor: Tracks environmental conditions for optimal crop management.
Camera: High-resolution imaging for assessing crop health and detecting diseases.
Communication Modules:
Wi-Fi Module: Enables real-time data transmission to cloud-based platforms.
GPS Module: Provides accurate location tracking for effective navigation and data mapping.
Processing Unit:
Microcontroller/Single Board Computer (e.g., Raspberry Pi or Arduino): Central unit for processing sensor data and controlling the robot.
Power Supply:
Battery Pack: Supplies power to all robotic components and sensors.
2. Technical Methods
Data Collection:
Sensors: Collect data on soil conditions, environmental factors, and crop health.
Camera: Captures images for visual analysis of crop conditions.
Data Transmission:
Cloud Connectivity: Data from sensors and cameras is transmitted via a Wi-Fi module to cloud platforms like ThingSpeak for remote access and analysis.
Data Processing and Analysis:
Machine Learning: Implements algorithms to analyze collected data, detect patterns, and provide predictive insights.
MATLAB: Utilizes MATLAB for advanced visualization, including 3D plots and heatmaps, to interpret complex data sets effectively.
Real-Time Alerts:
Alert System: Generates notifications for detected issues such as pest infestations or nutrient deficiencies, enabling prompt action.
Resource Management:
Recommendations: Provides actionable advice on irrigation and fertilization based on real-time data analysis.
3. Step-by-Step Methodology
Design and Assembly:
Assemble the snake robot frame and integrate motors, sensors, and communication modules.
Connect and secure the power supply to ensure stable operation.
Sensor Calibration:
Calibrate soil moisture, pH, and nutrient sensors to ensure accurate readings.
Test and calibrate the camera to capture high-quality images of crops.
Software Development:
Develop and deploy firmware for the microcontroller or single board computer to manage sensor data and control robot functions.
Implement data transmission protocols to upload data to cloud platforms.
Data Integration and Analysis:
Set up cloud infrastructure ThingSpeak for data storage and processing.
Develop and train machine learning models to analyze data and generate predictive insights.
Use MATLAB for data visualization and analysis.
Real-Time Monitoring and Alerts:
Creating an alert system to notify users of critical issues detected by the robot.
Ensure alerts are delivered in real-time through a user-friendly interface.
Testing and Calibration:
Conduct comprehensive field tests to verify robot performance and data accuracy.</t>
  </si>
  <si>
    <t>https://drive.google.com/open?id=1sNnpPyNnvrjWWlY6BzK_zcqpmQGgFyY4</t>
  </si>
  <si>
    <t xml:space="preserve"> The market potential for AgriBot is significant, driven by the growing global precision agriculture market projected to reach $10 billion by 2025 and the vast $370 billion Indian agricultural sector. Targeting small to medium-sized farms, agricultural cooperatives, and government agencies, AgriBot addresses key challenges in modern farming. With over 85% of Indian farms being small to medium-sized, AgriBot provides an affordable, effective solution that aligns with government initiatives like the Digital Agriculture Mission. The increasing adoption of technology in agriculture, a shift towards sustainable farming practices, and strong government support create a conducive environment for AgriBot's success, offering a scalable solution to enhance productivity, optimize resource use, and promote sustainability.</t>
  </si>
  <si>
    <t>Cost of Raw Materials: 10000
Product Development / Consultancy Cost: 5000
Total:15000</t>
  </si>
  <si>
    <t>https://drive.google.com/open?id=1VEC9XFbEx9qm1hTIyawro8pJhayKifa1</t>
  </si>
  <si>
    <t>4 Months</t>
  </si>
  <si>
    <t>Park Me</t>
  </si>
  <si>
    <t>Aniket singh</t>
  </si>
  <si>
    <t>anu888197@gmail.com</t>
  </si>
  <si>
    <t>Knowledge park 1, Greater noida</t>
  </si>
  <si>
    <t>https://drive.google.com/open?id=1KuCW2mV8BxGmcsbnsJriUjC5aoC5xlJt</t>
  </si>
  <si>
    <t>Mangalmay istitute of Management and Technology</t>
  </si>
  <si>
    <r>
      <rPr>
        <rFont val="Calibri"/>
        <color rgb="FF1155CC"/>
        <sz val="11.0"/>
        <u/>
      </rPr>
      <t>bigblareinnovations1@gmail.com</t>
    </r>
  </si>
  <si>
    <t>N/A</t>
  </si>
  <si>
    <t xml:space="preserve">Park Me ( The modern way of parking) </t>
  </si>
  <si>
    <t xml:space="preserve">Information Technology (IOT) </t>
  </si>
  <si>
    <t>Motivation Behind the Project
The "Park Me" project is driven by a profound desire to address the critical challenges faced by urban dwellers in finding efficient and convenient parking solutions. As urbanization accelerates, the demand for parking spaces has surged, leading to traffic congestion, increased pollution, and significant frustration among drivers. The genesis of "Park Me" lies in our commitment to leveraging technology to mitigate these issues, enhance the urban living experience, and contribute to sustainable development.
Our team, which includes experts in technology, urban planning, and environmental sciences, recognized that traditional parking systems are no longer adequate to meet the needs of modern cities. The frequent struggle to find parking not only wastes time and fuel but also exacerbates traffic congestion and environmental degradation. Inspired by these challenges, we envisioned "Park Me" as an innovative platform that integrates smart parking solutions, on-demand valet services, and vehicle health monitoring using OBD-II sensors. By providing real-time data and predictive analytics, "Park Me" aims to streamline the parking process, reduce vehicle emissions, and promote better vehicle maintenance.
Achievements and Recognitions
The "Park Me" project has received significant recognition and accolades, reflecting its potential to revolutionize urban mobility. We are proud to highlight the following achievements:
1. Second Prize in Business Plan Competition at Sharda University : "Park Me" secured the second prize in this prestigious competition, where it was recognized for its innovative approach and potential impact on urban parking solutions. This accolade provided us with valuable validation and visibility, encouraging us to further develop our concept.
2. Third Prize in Mini Shark Tank 2.0 at Maharishi University  (MUIT)*: Our project earned third place in this competitive event, showcasing its viability and attractiveness to potential investors. The feedback and support received during this competition were instrumental in refining our business model and enhancing our value proposition.
3. Third Prize in "Launch It" at Mangalmay Institute of Management*: "Park Me" was awarded third prize in this event, further underscoring its potential and the confidence that industry experts have in our solution. This recognition has been crucial in building our credibility and attracting interest from stakeholders and partners.
4. Appraisal for Publishing a Research Paper in International conference at Mangalmay institute of technology : In addition to competition accolades, "Park Me" has also achieved academic recognition through the publication of its research paper. This publication highlights the theoretical underpinnings and practical implications of our project, contributing to the broader discourse on smart urban mobility solutions.
Conclusion
The motivation behind "Park Me" is to create a smarter, more efficient, and environmentally friendly urban mobility solution. Our project aims to alleviate the daily struggles of urban drivers, reduce traffic congestion, and contribute to environmental sustainability. The recognition we have received through various competitions and academic platforms validates our approach and inspires us to continue innovating. 
As we move forward, we are committed to refining our prototype, expanding our features, and making "Park Me" an indispensable tool for modern urban living. Our vision is to set a new standard in smart parking solutions, ensuring that cities can better manage their parking resources while enhancing the overall quality of life for their residents. By addressing the pressing challenges of urban mobility, "Park Me" aims to be a catalyst for positive change in cities worldwide.</t>
  </si>
  <si>
    <t>"Park Me" stands out due to its comprehensive suite of innovative features designed to enhance user convenience and vehicle management. The platform offers real-time availability of parking slots, allowing users to effortlessly locate and reserve parking spaces in advance. Beyond basic parking, "Park Me" introduces a unique drop-shop service where our representatives pick up your car for parking, adding unparalleled convenience. Additionally, the platform provides vehicle health monitoring through OBD-II sensors, ensuring users can keep track of their car’s condition. For added value, "Park Me" offers car washing services, allowing users to maintain their vehicle’s cleanliness without any hassle. The app also helps users find nearby parking lots within a 150-meter radius, making it easier to find parking even in crowded urban areas. These features collectively make "Park Me" a comprehensive, user-friendly solution that goes beyond traditional parking apps, setting a new standard in urban mobility.</t>
  </si>
  <si>
    <t>The "Park Me" project integrates a range of technical methods to ensure a seamless and efficient user experience. Below, I outline the key components and methodologies we plan to use for implementation:
1. Real-Time Parking Slot AvailabilityIoT Sensors: Implement IoT sensors in parking lots to monitor the occupancy of parking spaces in real-time.Data Aggregation: Use a central server to collect data from these sensors.Cloud Integration: Host the data on a cloud platform (e.g., AWS, Google Cloud) to ensure scalability and accessibility.
2. Reservation and Booking System Mobile App Development: Develop a mobile application using Flutter for a cross-platform experience.Backend Infrastructure: Use Node.js for the backend server to handle user requests and reservations.Database Management: Implement a relational database (e.g., PostgreSQL) to manage user data, reservations, and parking slots.
3. Drop-Shop Service Request Module: Integrate a service request feature within the app for users to request drop-shop service.GPS Tracking: Use GPS technology to track the location of service representatives and vehicles in real-time.Notification System: Implement push notifications to keep users informed about the status of their service requests.
4. Vehicle Health MonitoringOBD-II Integration: Utilize OBD-II sensors to gather data on vehicle health metrics (e.g., engine status, fuel levels).Data Processing: Develop a data processing module using Python to analyze and interpret the sensor data.User Dashboard: Provide a user-friendly dashboard in the app to display vehicle health information.
5. Car Washing Service Scheduling: Allow users to schedule car washing services through the app.Service Provider Integration: Partner with local car wash service providers and integrate their availability into the app.Payment Gateway: Implement secure payment gateways (e.g., Stripe, PayPal) for users to pay for services.
6. Finding Nearby Parking Lots Geo-Location Services: Use geo-location services to identify parking lots within a 150-meter radius of the user.Map Integration: Integrate maps (e.g., Google Maps API) to display nearby parking lots and guide users to them.</t>
  </si>
  <si>
    <t>https://drive.google.com/open?id=1oYVq13Km7PX9xYITq6Lrs_duuj682ZPq</t>
  </si>
  <si>
    <t>"Park Me" has strong market potential in the rapidly growing smart parking industry. With urbanization and vehicle ownership on the rise, cities face significant parking challenges, driving demand for efficient solutions. The global smart parking market is expected to grow substantially, projected to reach $12.3 billion by 2027, with a CAGR of 17.5% from 2020 to 2027. "Park Me" offers unique features like on-demand valet services and vehicle health monitoring, differentiating it from competitors. By addressing pain points such as parking space scarcity and vehicle maintenance, "Park Me" can capture a significant market share and attract diverse customer segments, including urban drivers, commercial enterprises, and municipalities.</t>
  </si>
  <si>
    <t>1. Cost of Purchase of Raw Material (as per technology):
- Ultrasonic Sensors: 9 units at ₹150 each, totaling ₹750.
- RFID Sensors: 2 units at ₹10,000 each, totaling ₹20,000.
- Servo Motor: 2 units at ₹3,000 each, totaling ₹6,000.
- Boom Barrier: 2 units at ₹1,000 each, totaling ₹2,000.
-WiFi Module: 4 units at ₹500 each, totaling ₹2,000.
- Arduino UNO: 5 units at ₹1,000 each, totaling ₹5,000.
- Relay Sensor: 2 units at ₹300 each, totaling ₹600.
- LoRa Module: 4 units at ₹2,000 each, totaling ₹8,000.
- Wires: 2 bundles at ₹500 each, totaling ₹1,000.
- Raspberry Pi 4: 1 unit at ₹7,500, totaling ₹7,500.
- Soldering Station: 1 unit at ₹4,000, totaling ₹4,000.
- Wire Coating Pipe:  20 meters at ₹50 per meter, totaling ₹1,000.
The total cost of raw materials is ₹57,850.
2. Product Development / Consultancy Cost:
The development and consultancy costs are crucial for creating the software components of "Park Me," including the mobile application and backend systems. This includes:
- Web &amp; App Development (Android &amp; iOS):The comprehensive development cost is estimated at ₹1,20,000, which includes enhancements to ensure high-quality development and additional features.
3. Any Other Expenditure:
To cover additional expenses, the budget includes:
- Miscellaneous Costs: ₹10,000 to cover unforeseen expenses that may arise during the project.
- Marketing and Promotions: ₹10,000 allocated for marketing activities to promote the "Park Me" solution.
- Additional Research &amp; Development: ₹2,150 allocated for continuous improvement and testing of the system.
Total Budget:
- Raw Material Cost:  ₹57,850
- Product Development / Consultancy Cost: ₹1,20,000
- Other Expenditure: ₹22,150
Grand Total: ₹2,00,000
This financial budget is for making prototype of my startup Park Me.</t>
  </si>
  <si>
    <t>https://drive.google.com/open?id=1yFi-rBbo0r40rbexjvJjzUPM7brdnkLc</t>
  </si>
  <si>
    <t>Rajat Pandit</t>
  </si>
  <si>
    <t xml:space="preserve"> The project is set to be completed within 6 months, but I am committed to finalizing it in just 3 months. This accelerated timeline ensures prompt delivery while maintaining high standards. By focusing on efficiency and strategic planning, I will achieve all milestones swiftly, guaranteeing the project’s success well before the maximum deadline.</t>
  </si>
  <si>
    <t>MOON</t>
  </si>
  <si>
    <t>Naresh Meena</t>
  </si>
  <si>
    <t>meenanaresh862@gmail.com</t>
  </si>
  <si>
    <t>Chaudhari Villa G-194 beta 2, greater Noida</t>
  </si>
  <si>
    <t>https://drive.google.com/open?id=1K1wukknJmmal4XBlDjPO4zfSg3HNrHGw</t>
  </si>
  <si>
    <t>Niranjan Kumar</t>
  </si>
  <si>
    <t>Mangalmay institute of engineering and technology</t>
  </si>
  <si>
    <t>TEAM NAME</t>
  </si>
  <si>
    <t>PROBLEM STATEMENT NO</t>
  </si>
  <si>
    <t>Shivansh Agarwa</t>
  </si>
  <si>
    <t>Naresh Meena, Satya Prakash Shrivastav</t>
  </si>
  <si>
    <t>B2B E-commerce</t>
  </si>
  <si>
    <t xml:space="preserve">Mission of our company 'MOON' is to connect all the retailers of the country from all sectors directly to the manufacturers, just like Alibaba in china. Traditionally retailers have to relay on Different distributors and wholesalers for various products in their store. we want to create a E-commerce platform for the retailers to get all the products they want in their stores. Concept of MOON is simple we will purchase the goods directly from manufacturers just like D-mart and Walmart , and this way we will remove the middle men such as distributor, wholesaler, dealer and stockist. The margin we save by removing the middle men will be give to retailers. The motivation for us is to connect the entire manufacturing sector of India to the retailers by building this company which affect large numbers of people.
</t>
  </si>
  <si>
    <r>
      <rPr>
        <rFont val="Arial"/>
        <b/>
        <color theme="1"/>
      </rPr>
      <t>GitHub</t>
    </r>
    <r>
      <rPr>
        <rFont val="Arial"/>
        <color theme="1"/>
      </rPr>
      <t xml:space="preserve"> Link</t>
    </r>
  </si>
  <si>
    <t>Uniqueness of the project is that we will give goods to the retailers in least price possible because of the uniqueness of the business model. secondly, retailers always prefers to purchase goods at the credit cycle of usually 30 days, so we will be providing credit solution to the retailers and this way we will charge interest on credit from retailers. Thirdly, when the company will become large in size we will launch MOON ADWORD which is exactly like GOOGLE ADWORD where we will charge the bidding amount from the manufacturers to list their product higher in ranking of the search results of a particular keyword.</t>
  </si>
  <si>
    <t>The major technological break through in building the company is to create the software algorithm based on the behaviour of retailers to predict the credit worthiness of the retailers. We will also improve the search engine capabilities so that we can implement MOON ADWORD.</t>
  </si>
  <si>
    <t>https://drive.google.com/open?id=10prIswwIE5xPKdTo8n2M1-XYsXGvSUak</t>
  </si>
  <si>
    <t xml:space="preserve">Neurovia </t>
  </si>
  <si>
    <t>Revive Ev Llp</t>
  </si>
  <si>
    <t>https://github.com/Shivampg1/SanAzle.git</t>
  </si>
  <si>
    <t>Nidhi Sharma</t>
  </si>
  <si>
    <t>B2B retail market size in India is of 1.2 trillion dollars which is 5 time bigger then that of B2C.</t>
  </si>
  <si>
    <t>purchasing goods 200,000  ,  warehousing 30,000  ,  manpower 60,000  ,  logistics  4000</t>
  </si>
  <si>
    <t>https://drive.google.com/open?id=13OTwQZrS2_2wveiULdz9ui067m3IVhB0</t>
  </si>
  <si>
    <t>Vercel</t>
  </si>
  <si>
    <t>https://github.com/er-anubhav/Nirvana</t>
  </si>
  <si>
    <t>Void AI</t>
  </si>
  <si>
    <t>1.5 months</t>
  </si>
  <si>
    <t>https://github.com/Ayush95697/Jashn-E-Hub.git</t>
  </si>
  <si>
    <t>KRIDIKSHIT</t>
  </si>
  <si>
    <t>Rahul Singh</t>
  </si>
  <si>
    <t>Team Alpha</t>
  </si>
  <si>
    <t>https://github.com/Alexa88879/Nivaran..git</t>
  </si>
  <si>
    <t>Anannya Sharma</t>
  </si>
  <si>
    <t>Anannyasharma8300@gmail.com</t>
  </si>
  <si>
    <t>Room no. 34, block - E, 16th avenue, gaur city 2, greater noida west, 201009</t>
  </si>
  <si>
    <t>https://drive.google.com/open?id=1mGfX5nFTsHjsAAnwIPKH5ytB4TVMXdly</t>
  </si>
  <si>
    <t>Mohammad Waseem Siddiqui</t>
  </si>
  <si>
    <t>Hackstone</t>
  </si>
  <si>
    <t>04</t>
  </si>
  <si>
    <t>https://github.com/vishnuj29/AI-Sanitization_Hackstone</t>
  </si>
  <si>
    <t>Thinktechno engineering solutions</t>
  </si>
  <si>
    <t>invincible</t>
  </si>
  <si>
    <t>https://github.com/Alkush-Pipania/hack-the-issue/tree/master</t>
  </si>
  <si>
    <t>Anannya Sharma, Sachin Sharma, Lalit Yadav</t>
  </si>
  <si>
    <t xml:space="preserve">Cloud Based Advertisement Solution </t>
  </si>
  <si>
    <t>Advertising industry</t>
  </si>
  <si>
    <t>As we all know, businesses, brands, and startups need to promote their products and services through various platforms such as digital marketing and social media. One effective method is utilizing digital screens in malls, buildings, metros, and sector market complexes. However, it is noticeable that the advertising space on these screens is limited, and the cost is often too high for small-scale brands to afford for their promotions. Additionally, accessing these screens to run ads is often unorganized.</t>
  </si>
  <si>
    <t>All-in-One Hardware Solution
Simplified Advertising Process
Seamless Integration</t>
  </si>
  <si>
    <t>Hardware part: We are designing hardware with a unique identity that features internet connectivity, Wi-Fi capability, and an Android-based operating system. It comes equipped with 4 GB of RAM and 32 GB of storage space. Furthermore, it includes a Universal HDMI connector, facilitating seamless integration with existing screens available in the market.
Software part: We are developing a cloud-based application where small-scale brands, new brands, or startups can promote their advertisements by simply uploading them onto our platform. They can then select specific screens located in their desired areas within the city, along with their preferred timing for the ads to be displayed.</t>
  </si>
  <si>
    <t>https://drive.google.com/open?id=1rIQE2GwZLamw4tQ0ZS4LYun1uIPG6OdZ</t>
  </si>
  <si>
    <t xml:space="preserve">Already Winners </t>
  </si>
  <si>
    <t>https://github.com/Devashish-1/herbal</t>
  </si>
  <si>
    <t>algoforce</t>
  </si>
  <si>
    <t>03</t>
  </si>
  <si>
    <t>https://github.com/harxit13/Projects</t>
  </si>
  <si>
    <t>1. Targeted Advertising Demand: Businesses want to reach specific audiences efficiently.  2. Cost-Effective Solutions: Our platform offers affordable advertising without heavy infrastructure investments.  3. Digital Signage Growth: The digital signage market is expanding rapidly, and our hardware taps into this trend.  4. Startup Market Need: Startups require accessible advertising platforms tailored to their budgets.  5. Flexibility and Customization: Advertisers can customize campaigns to meet their goals and target demographics easily.</t>
  </si>
  <si>
    <t>The cost of purchase of raw material(as per technology): 1,20,000
Product Development / consultancy Cost: 1,80,000</t>
  </si>
  <si>
    <t>https://drive.google.com/open?id=1_5fmcPHnGRkZY7BGWmdnviO_bnBpCnng</t>
  </si>
  <si>
    <t>Data Dynamo</t>
  </si>
  <si>
    <t>https://github.com/Ashaddd/Data_Dynamo</t>
  </si>
  <si>
    <t>PDF</t>
  </si>
  <si>
    <t>https://github.com/almostalok/citizen-connect-saarthi-hub</t>
  </si>
  <si>
    <t>hemanthb2021ai@gmail.com</t>
  </si>
  <si>
    <t>10 lic colony , pasupathi palayam, karur.</t>
  </si>
  <si>
    <t>https://drive.google.com/open?id=19kYQCr9B484OiHGT5au9-if3GFq0W-fY</t>
  </si>
  <si>
    <t>Dead arms</t>
  </si>
  <si>
    <t xml:space="preserve">Problem Statement 7: AI Library Management System </t>
  </si>
  <si>
    <t>https://github.com/GUPTA-AMBAR/e-libaray</t>
  </si>
  <si>
    <t>ARDUBOTZ</t>
  </si>
  <si>
    <t>AI&amp;DS</t>
  </si>
  <si>
    <t>https://github.com/erikaSKOOL/ArduBotz-TechTrix</t>
  </si>
  <si>
    <t>927621bad017</t>
  </si>
  <si>
    <t xml:space="preserve"> Hemanth B</t>
  </si>
  <si>
    <t>AI VIRTUAL KEYBOARD FOR ATM</t>
  </si>
  <si>
    <t>HEATH CARE</t>
  </si>
  <si>
    <t>The COVID-19 pandemic has drastically altered our understanding of public health, particularly the transmission of viruses through commonly touched surfaces. Automated Teller Machines (ATMs), used daily by millions worldwide, are frequently touched surfaces that pose a significant risk for viral transmission. The primary motivation behind this project is to mitigate these risks by developing a touchless interaction module for ATMs, enhancing both hygiene and user safety.
Key Motivations:
    Public Health and Safety:
    The pandemic highlighted the need for innovative solutions to minimize direct physical contact with surfaces in public spaces. ATMs, being high-touch surfaces, became a focal point for potential viral transmission. This project aims to address this concern by creating a touchless interaction module, thereby significantly reducing the risk of virus transmission.
    Technological Advancement:
    Leveraging advancements in computer vision, sensor technology, and artificial intelligence, the project seeks to push the boundaries of what is currently possible in ATM interactions. By integrating finger detection and hand-tracking capabilities, the project aims to revolutionize the way users interact with ATMs, making transactions safer and more efficient.
    Enhanced User Experience:
    The touchless module not only addresses hygiene concerns but also aims to improve the overall user experience. By providing a seamless, intuitive interface, the project ensures that users can complete their transactions quickly and without the hassle of physical contact. This is particularly beneficial in high-traffic areas where quick and efficient service is essential.
    Inclusivity and Accessibility:
    Traditional ATM keypads can be challenging for individuals with disabilities. The touchless interaction module offers an inclusive solution, allowing users with limited mobility or dexterity issues to use ATMs more easily and independently. This aligns with broader goals of making public services more accessible to all individuals.</t>
  </si>
  <si>
    <t>Code Blooded</t>
  </si>
  <si>
    <t>https://github.com/Nishu-18/serenity</t>
  </si>
  <si>
    <t>The touchless interaction module for ATMs is unique in its comprehensive approach to addressing hygiene, accessibility, and user experience. It leverages cutting-edge technologies, including advanced computer vision and AI, to detect and track finger movements without physical contact. Unlike traditional ATMs, it integrates an inbuilt camera and sophisticated hand-tracking algorithms to ensure accurate and reliable input detection. The system's dual-component setup not only enhances user safety by minimizing viral transmission but also improves accessibility for individuals with disabilities. By eliminating the need for tactile interaction, it offers a seamless and intuitive interface, setting a new standard for ATM interactions. Additionally, its innovative design has garnered recognition in various competitions, highlighting its potential to revolutionize public ATM usage and contribute significantly to public health and safety.</t>
  </si>
  <si>
    <t>The implementation of the touchless interaction module for ATMs involves the integration of computer vision and AI technologies, specifically leveraging MediaPipe and OpenCV. MediaPipe, a framework by Google, will be utilized for real-time hand detection and tracking, enabling precise identification of finger movements. OpenCV, an open-source computer vision library, will handle image processing tasks such as capturing and processing video feeds from the inbuilt ATM mini camera. The system will first preprocess the captured images to enhance clarity and reduce noise. Using MediaPipe’s hand tracking module, the system will detect hand landmarks and interpret finger positions. These detected positions will then be mapped to corresponding keys on the virtual ATM keypad using advanced algorithms. The processed inputs will be used to execute the desired ATM functions. This combination of MediaPipe and OpenCV ensures high accuracy, real-time performance, and robustness, making the touchless interaction seamless and efficient. Below is a flowchart that outlines the methodology:
    Capture real-time video feed using ATM mini camera.
    Preprocess the video feed using OpenCV to enhance clarity and reduce noise.
    Use MediaPipe's hand tracking module to detect and track hand landmarks.
    Map detected finger positions to corresponding virtual keypad keys.
    Execute ATM functions based on the interpreted inputs.
    Provide immediate visual feedback on the screen for user confirmation.
    Ensure continuous monitoring and adjustment for accuracy and responsiveness.
    Collect user feedback for iterative improvements.</t>
  </si>
  <si>
    <t>https://drive.google.com/open?id=1kil0T0O_OnDelwiQ_lxHpGOwjA0I-lM0</t>
  </si>
  <si>
    <t>Patch Force</t>
  </si>
  <si>
    <t>https://github.com/adityagaur00/SereneMind</t>
  </si>
  <si>
    <t>Code Elevater</t>
  </si>
  <si>
    <t>Tarendra Prakash Srivastava</t>
  </si>
  <si>
    <t>https://github.com/M-zhar/HackThe-Issue</t>
  </si>
  <si>
    <t>Global ATM Market: The global ATM market is substantial, with millions of machines in operation worldwide. Financial institutions continuously seek to enhance ATM security and user experience, making the touchless module an attractive upgrade. As of 2021, the global ATM market was valued at over $20 billion, and it is expected to grow due to ongoing technological advancements.  Public Health Awareness: The COVID-19 pandemic has heightened awareness regarding the transmission of viruses through commonly touched surfaces. This increased focus on hygiene and safety makes the touchless ATM module highly relevant. Consumers are more inclined to use ATMs that offer a safer, contact-free experience, thereby driving demand.</t>
  </si>
  <si>
    <t xml:space="preserve">  </t>
  </si>
  <si>
    <t>https://drive.google.com/open?id=1oclMR4nsLRFKFRroK0YfUrGam7JLeMGc</t>
  </si>
  <si>
    <t>Dev Ninjas</t>
  </si>
  <si>
    <t>https://github.com/adityaguptareal/Cosync</t>
  </si>
  <si>
    <t>NITIN PRASAD</t>
  </si>
  <si>
    <t>MadeInIndia</t>
  </si>
  <si>
    <t>5th</t>
  </si>
  <si>
    <t>https://github.com/Aniket-Chugh/hacktheissueproblemsolutionwebs</t>
  </si>
  <si>
    <t xml:space="preserve">Just different </t>
  </si>
  <si>
    <t xml:space="preserve">Pushpendra </t>
  </si>
  <si>
    <t xml:space="preserve">Pushpendrauks_cse23@its.edu.in </t>
  </si>
  <si>
    <t>Ankita Kanojia</t>
  </si>
  <si>
    <t xml:space="preserve">Eldico golf view apartment omega-1 greater noida </t>
  </si>
  <si>
    <t>https://drive.google.com/open?id=1yrOtZbyE0QCpxp1JlWNwpJmEAy4uedAu</t>
  </si>
  <si>
    <t>Rising sun</t>
  </si>
  <si>
    <t>6th</t>
  </si>
  <si>
    <t>https://github.com/24f2005749/hackathon-its.git</t>
  </si>
  <si>
    <t>Anshuman singh</t>
  </si>
  <si>
    <t xml:space="preserve">ITSENGG College </t>
  </si>
  <si>
    <t>ASHISH SHUKLA</t>
  </si>
  <si>
    <t>Khusbu gautam , pushpendra</t>
  </si>
  <si>
    <t>PASS ( Prototype advance security system )</t>
  </si>
  <si>
    <t>Security of personal , society,  business and plants</t>
  </si>
  <si>
    <t>PASS is a new way of security system enabling the camera's to work with full potential and actually work for security and not just for recognising culprits after a miss happening but help before something happene.
PASS is a machined learned AI bot which is tread to find threat by the pre feed data and match the current images and videos ( raw data ) provided by the cameras Located in various places . It works by detecting the treats by various ways such as:
1. It identity the threat by the trained model on the different behavior patters which we get by other Robberies recordings as a raw data .
2. It tracks the suspect interning the fence or the boundary if it is coated as no entry zone .
3. If the suspect is spotted in one camera the the signal is sent to the main camera room to check the recording to finally identity it as a treat and take actions asap.
4. All the cameras are interconnected in a neural network too if one camera suddenly stopped working or something/ someone blocked it . Then with the motor automobility function the camera is focused to that specific area .
5. The camera nerual network also help to track the suspect where it is going . The track record and its path and auto zoom at face .</t>
  </si>
  <si>
    <t>It one of its own in the market . No project is in the market like this or ever existed.  This project have a huge business potential and will give a huge benefit if invested time and money .</t>
  </si>
  <si>
    <t xml:space="preserve">We are using :
.Camera and motor hardware 
.Ai ml model building and training 
.Cloud data storing and processing 
.neural networking 
</t>
  </si>
  <si>
    <t>https://drive.google.com/open?id=1cqHwXKbIpJW2ORmeA5G66hSsx7njwMJx</t>
  </si>
  <si>
    <t xml:space="preserve">This project have a huge market potential as it's totally a  business idea to execute and provide security to many societies,  companies,  factories and personal living in personal houses in sectors. We can also link our services with security providing companies as share business like SIS </t>
  </si>
  <si>
    <t xml:space="preserve">The cost of the raw materials depends upon the testing and failure of the prototype and we currently too don't have the approx. Idea about the  costing but it will be in the budget. 
Main spending will be :
CCTV camera
Motors , motor shafts , gears and body
Prototype model building 
AI model data checking,  working and storing
Cloud storage buying </t>
  </si>
  <si>
    <t>https://drive.google.com/open?id=15_GlsQ96RyZKB9d4IyY-X230uJzsNqdE</t>
  </si>
  <si>
    <t xml:space="preserve">Time of the completion of the project is around 5-6 months </t>
  </si>
  <si>
    <t>C-Air</t>
  </si>
  <si>
    <t xml:space="preserve">Abhishek Maddheshiya </t>
  </si>
  <si>
    <t>abhimaddheshiya2004@gmail.com</t>
  </si>
  <si>
    <t>Tugalpur, near Pari Chowk, Greater Noida</t>
  </si>
  <si>
    <t>https://drive.google.com/open?id=1aNaNYQagapVuH7SPEkltFQGbIu7v2Fc1</t>
  </si>
  <si>
    <t>Rishabh Chaudhry</t>
  </si>
  <si>
    <t xml:space="preserve">Mangalmay Institute of Engineering and Technology </t>
  </si>
  <si>
    <t xml:space="preserve">Abhishek </t>
  </si>
  <si>
    <t xml:space="preserve">Reduction in usage of Air Conditioners </t>
  </si>
  <si>
    <t xml:space="preserve">Environment </t>
  </si>
  <si>
    <t>AJAY KUMAR</t>
  </si>
  <si>
    <t>The harmful effects of ACs and increasing Global Warming
New Idea, never been present</t>
  </si>
  <si>
    <t xml:space="preserve">New Architectural Design </t>
  </si>
  <si>
    <t>Earthenware Pots, Hydroponic Plants, Pipes, Electric Fans and Pumps are being used</t>
  </si>
  <si>
    <t>https://drive.google.com/open?id=1FFAOPRfqZv7bJYJGfMCKdqAYF0JgWDWv</t>
  </si>
  <si>
    <t>NOMADNX</t>
  </si>
  <si>
    <t>Ankit Shukla</t>
  </si>
  <si>
    <t>₹ 25 Crores</t>
  </si>
  <si>
    <t>₹ 75,000</t>
  </si>
  <si>
    <t>https://drive.google.com/open?id=1SrHrY_u_na_Pz_4sTgjnR_IwZDUbd-Ov</t>
  </si>
  <si>
    <t>Acceleration</t>
  </si>
  <si>
    <t>MEEMANSHA PRIYADARSHINI</t>
  </si>
  <si>
    <t>NewGen 1st Year (2019-20) Projects Detail</t>
  </si>
  <si>
    <t xml:space="preserve">Project Number </t>
  </si>
  <si>
    <t>Aditi Mishra</t>
  </si>
  <si>
    <t>Mentee</t>
  </si>
  <si>
    <t>Description</t>
  </si>
  <si>
    <t>Patent Status</t>
  </si>
  <si>
    <t>Patent ID</t>
  </si>
  <si>
    <t>5 Months</t>
  </si>
  <si>
    <t>EXPENDITURE(in RS)</t>
  </si>
  <si>
    <t>7/28/2024 19:00:08</t>
  </si>
  <si>
    <t>MAV AEROSPACE</t>
  </si>
  <si>
    <t>Mayank Pratap Singh</t>
  </si>
  <si>
    <t>Dr.Monika Jain</t>
  </si>
  <si>
    <t>memayankpratap@gmail.com</t>
  </si>
  <si>
    <t>Anuj Katiyar,Deepak</t>
  </si>
  <si>
    <t>Aashchrya Shrivastava</t>
  </si>
  <si>
    <t>Many people forget to water their plants during their daily routine, which makes it difficult to keep them healthy. Managing watering also becomes challenging during water shortages or when maintaining a garden regularly. To solve this, we developed an automated plant watering system designed for home gardening. This system takes care of plants by monitoring essential conditions and watering them when needed. We believe technology can support plant care not only through automation but also through digital communication, making gardening easier and more efficient</t>
  </si>
  <si>
    <t>333380-001</t>
  </si>
  <si>
    <t>Rail Generator</t>
  </si>
  <si>
    <t>Harshit kumar singh,</t>
  </si>
  <si>
    <t>This project presents a novel multi-rotor Induction/Permanent Magnet Generator designed for higher efficiency, increased power density, compact size, and cost-effective operation.Unlike conventional generators, this system eliminates the use of a stationary stator. Instead, it uses multiple rotors—either identical or a combination of different types—that rotate in opposite directions. This innovative rotor arrangement allows the generator to produce more electrical power within a smaller physical space. The design supports both AC and DC power generation and introduces a new approach to alternator architecture for improved performance.</t>
  </si>
  <si>
    <t>F-287, Alpha-2, Greater Noida, UP 201308</t>
  </si>
  <si>
    <t>https://drive.google.com/open?id=1z9iC-8HVfB0YJt0I3Q6spOUvsnNXK18D</t>
  </si>
  <si>
    <t>Prince Ranjan</t>
  </si>
  <si>
    <t>Sewage Cleaning Machine</t>
  </si>
  <si>
    <t>Mr.Manvendra yadav</t>
  </si>
  <si>
    <t>Aashu kumar jha,Md Shafique,Aman Shriivastva,Shamsad Ahmad,Prashant Mishra</t>
  </si>
  <si>
    <t>Manual scavenging is the process where workers are forced to enter manholes, sewers, or septic tanks to manually clean human waste. This practice is illegal in India since 2013, yet it continues in many places due to lack of alternatives and affordable cleaning machines.Every year, hundreds of workers lose their lives while cleaning sewers. According to a study by the Tata Institute of Social Sciences, around 80% of these workers die before the age of 60 because of accidents, toxic gases, or work-related health issues. Many scavengers report that they have no choice but to enter manholes for their livelihood.Despite the known dangers and existing laws, manual scavenging still exists in India due to the absence of low-cost mechanized solutions for sewer cleaning.</t>
  </si>
  <si>
    <t>E-Sugarcane Crusher</t>
  </si>
  <si>
    <t>MAV Aerospace</t>
  </si>
  <si>
    <t>Mayank Raj,Nitish kumar yadav,Aakash Bhati,Rituraj kumar,Shwetank Gupta</t>
  </si>
  <si>
    <t>The E-Sugarcane Mobile Juicer Machine is an eco-friendly sugarcane crusher that replaces the traditional diesel engine with an electric DC motor powered by a lithium ferro phosphate battery. This system efficiently extracts sugarcane juice while reducing noise and air pollution.</t>
  </si>
  <si>
    <r>
      <rPr>
        <rFont val="Calibri"/>
        <color rgb="FF1155CC"/>
        <sz val="11.0"/>
        <u/>
      </rPr>
      <t>Anujkatiyar12@gmail.com</t>
    </r>
  </si>
  <si>
    <t>Micro Personnel Surveillance UAV</t>
  </si>
  <si>
    <t>Smart Solar panel Cleaning System</t>
  </si>
  <si>
    <t>Aerospace &amp; Defence</t>
  </si>
  <si>
    <t>Mr.Mahip Singh</t>
  </si>
  <si>
    <t xml:space="preserve">The Personal Surveillance Micro UAV (PSM-UAV) is an advanced, lightweight, and highly maneuverable drone designed for personal surveillance applications in military operations. The PSM-UAV aims to enhance situational awareness, provide real-time intelligence, and ensure the safety of soldiers in hostile environments. This UAV is equipped with state-of-the-art technology to deliver high-resolution imagery, night vision capabilities, and seamless communication with ground control stations.
Motivation Behind the Project
The primary motivation for developing the PSM-UAV stems from the critical need for enhanced situational awareness and real-time intelligence in military operations. In modern warfare, soldiers often operate in complex and unpredictable environments where immediate access to accurate information can mean the difference between success and failure. The PSM-UAV addresses several key three challenges faced by soldiers on the battlefield which are 1- Situational Awareness 2- Real-Time Intelligence 3- Safety and Efficiency.
</t>
  </si>
  <si>
    <t>Solar energy is produced in the sun through fusion reactions, and in just one hour, it generates enough energy to power the entire world for a year. This energy can be captured using photovoltaic cells, which convert sunlight into electricity through the photoelectric effect. As a clean and renewable resource, solar power has the potential to meet global energy demands.Solar panels work best when they are positioned directly toward the sun, especially between 9 AM and 3 PM. To ensure maximum efficiency, the panels must also be kept clean and free from dust and dirt, as unclean surfaces reduce power generation.</t>
  </si>
  <si>
    <t>The Personal Surveillance Micro UAV (PSM-UAV) stands out for its unique features that cater specifically to the demanding needs of military operations. First and foremost, its quick deployment capability ensures that soldiers can rapidly deploy the drone in critical situations, gaining immediate situational awareness without delay. The UAV’s compact and lightweight design makes it easily transportable, allowing soldiers to carry it effortlessly as part of their standard equipment. One of the standout features is its GPS-denied navigation, enabling the UAV to operate effectively in environments where GPS signals are unavailable or compromised, thus ensuring mission continuity. Additionally, the PSM-UAV is engineered for silent operation, reducing the risk of detection by adversaries and enhancing stealth capabilities during reconnaissance missions. Finally, its secure communication systems guarantee that all data transmitted between the UAV and ground control is encrypted and protected from interception, maintaining the integrity and confidentiality of mission-critical information. These features collectively make the PSM-UAV an indispensable tool for modern military operations.</t>
  </si>
  <si>
    <t>Heart Monitoring System</t>
  </si>
  <si>
    <t>Mr.Rajiv Ranjan</t>
  </si>
  <si>
    <t xml:space="preserve">1. Quick Deployment
• Technique: Compact and Small Size
• Methodology: Design the UAV with a foldable frame and collapsible arms to reduce its size during transport. Utilize lightweight materials such as carbon fiber for the frame to maintain strength while minimizing weight.
• Components: Carbon fiber frame, foldable arms, high-torque micro servos.
• Technique: Communication Bypass in Case of Emergency
• Methodology: Implement a fail-safe communication protocol that allows the UAV to switch to a direct peer-to-peer communication mode if the main communication link is compromised or fails.
• Components: Dual communication modules, emergency communication protocol software.
• Technique: Ready to Launch Within 10 Seconds
• Methodology: Develop a quick-locking mechanism for the foldable arms and a single-button deployment system that unfolds the UAV and initiates pre-flight checks within 10 seconds.
• Components: Quick-locking joints, automated pre-flight check system.
2. Easily Transportable
• Technique: Man Packed Jacket
• Methodology: Design a custom jacket with dedicated compartments for each component of the UAV, ensuring it can be comfortably carried by soldiers.
• Components: Lightweight fabric, custom compartments for the UAV and its components.
• Technique: Using Smallest Electronics Possible
• Methodology: Select and integrate miniaturized electronic components to reduce overall weight and size. Use high-density batteries and compact sensors.
• Components: Miniature microcontroller, high-density lithium-polymer battery, compact sensors.
• Technique: Modular Design
• Methodology: Design the UAV with easily detachable modules for the battery, camera, and sensors, allowing for quick assembly and disassembly.
• Components: Quick-connect interfaces, detachable battery, camera, and sensor modules.
3. GPS-Denied Flying
• Technique: Visual Based Flying
• Methodology: Implement Visual Odometry (VO) using high-resolution cameras and integrate with Inertial Measurement Units (IMUs) to enable navigation without GPS.
• Components: High-resolution camera, IMU, onboard processing unit (e.g., NVIDIA Jetson).
• Technique: Different Flying Modes
• Methodology: Develop multiple flight modes (e.g., manual, semi-autonomous, autonomous) to adapt to various mission requirements and operator preferences.
• Components: Flight control software, mode selection interface.
• Technique: Propeller Guards
• Methodology: Install lightweight propeller guards to protect the propellers from damage and ensure safe operation in confined spaces.
• Components: Carbon fiber or plastic propeller guards.
4. Silent Operation
• Technique: Low-Noise Brushless Motors
• Methodology: Select high-efficiency brushless motors specifically designed for low noise operation. Conduct acoustic testing to ensure compliance with noise level requirements.
• Components: Low-noise brushless motors, motor controller.
• Technique: Specially Designed Propellers
• Methodology: Use propellers with a design optimized for high efficiency and low noise. Test various designs to find the optimal balance between performance and noise reduction.
• Components: Custom-designed low-noise propellers.
5. Secure Communication
• Technique: Secure Communication Modules and Encryption Software
• Methodology: Integrate secure communication modules that support AES-256 encryption. Implement encryption software to secure all data transmissions between the UAV and ground control.
• Components: Secure communication modules, AES-256 encryption software.
</t>
  </si>
  <si>
    <t>Anil prajapati,tuiba Mushtaq,Aakash Gupta</t>
  </si>
  <si>
    <t>https://drive.google.com/open?id=1EsUa-wx8aKtY2a33HreQXDnJ18EmZ0eN</t>
  </si>
  <si>
    <t>Today, medical technology is advancing rapidly, especially in areas like diabetes and cardiac care. However, real-time health issues such as sudden heart attacks, asthma, and other cardiac conditions often occur far from medical facilities, making timely treatment difficult.Heart disease is one of the leading causes of death worldwide. Each year, millions of people die due to complications related to high blood pressure, cholesterol, and delayed medical response.With the growing use of smartphones and internet connectivity, technology can help bridge this gap. Most people carry smartphones equipped with GPS, sensors, and real-time communication features. Using this advantage, we developed a mobile application that works with wearable sensors to continuously monitor, store, and transmit a patient’s health data to doctors from anywhere.Wearable technology helps track vital signs even when the user is moving, thanks to multiple compact sensors built into a single device. This project focuses on integrating wearable sensors with smartphones to create a real-time remote monitoring system for heart patients. The device collects health data and transfers it to the application via Bluetooth or Wi-Fi, enabling faster medical support when needed</t>
  </si>
  <si>
    <t>Farmers Friend/Rice Planting Machine</t>
  </si>
  <si>
    <t>Jeevesh Gupta,Srishti Kumari</t>
  </si>
  <si>
    <t>Agriculture plays a major role in India’s economy and employs a large portion of the population. Among various crops, rice is the most widely grown and consumed. However, with a growing population and the need for development, it is important to reduce manual labour in farming and shift the workforce to other sectors. Mechanization in paddy farming can help achieve this by increasing productivity and reducing dependency on manual labour.The aim of this project is to design a paddy transplanting mechanism that helps small-scale farmers plant rice seedlings more efficiently. The proposed machine, named Farmer’s Friend, is developed to solve the challenges faced during manual paddy planting. It ensures proper spacing between plants, which improves crop growth and overall yield.
Powered by a 300cc engine and capable of planting 8 rows at a time, this machine is significantly more efficient than traditional manual planting methods, helping farmers save time, effort, and labour costs while increasing productivity.</t>
  </si>
  <si>
    <t>Cipher 10Infinity Pvt Ltd</t>
  </si>
  <si>
    <t>Market Overview India's UAV (Unmanned Aerial Vehicle) market is on a trajectory of significant growth, driven by rapid technological advancements and a burgeoning need for sophisticated security systems. The market is expected to reach USD 1,810 million by FY2026, growing at a CAGR of 14.61%. This growth is bolstered by the evolving defense and homeland security needs, as well as increasing civilian applications of drone technology. Defense and Homeland Security Segment According to the Federation of Indian Chambers of Commerce &amp; Industry (FICCI), the potential for India’s drone and counter-drone market up to 2030 is approximately $40 billion. A substantial 50% of this market will be driven by defense and homeland security, emphasizing the critical role of UAVs in national security infrastructure. The Personal Surveillance Micro UAV (PSM-UAV) aligns perfectly with this segment by providing enhanced situational awareness, real-time intelligence, and operational efficiency for military operations. Economic Projections The civil aviation ministry's estimate places the turnover for India's drone sector at Rs 12,000-15,000 crore by 2026, a substantial increase from the current Rs 80 crore. This projection underscores the rapid adoption and integration of drone technology across various sectors, including agriculture, infrastructure, and logistics, apart from defense. Global Market Context On a global scale, the drone market, predominantly led by the US, China, and Israel, is set to reach $28.47 billion this year. India is expected to contribute about 4.25% to this market, highlighting its emerging presence in the global drone ecosystem. This positioning offers significant opportunities for Indian companies to innovate and capture a share of the growing market.</t>
  </si>
  <si>
    <t>Mr.Ashish Gupta</t>
  </si>
  <si>
    <t>Sagar kumar,Yashraj jaiswal,Nanu kumar</t>
  </si>
  <si>
    <t>Asthma is a condition where a person's airways become inflamed, narrow, and produce excess mucus, making it difficult to breathe. It can range from mild to severe and may interfere with daily activities. In serious cases, it can even become life-threatening.According to available data, around 235 million people worldwide are affected by asthma, and nearly one in every ten patients is from India. In India alone, about 4,000 deaths occur each year due to asthma. Currently, most inhalers use medications like sodium cromoglicate or nedocromil, which have been highly effective in providing quick relief and saving lives</t>
  </si>
  <si>
    <t>Detailed Funding Requirement for Personal Surveillance Micro UAV (PSM-UAV) Project
1. Electronics, Equipment, Machines, and Materials Consumables
Estimated Expenses: INR 1,20,000
Justification: This expense covers the procurement of essential electronic items such as cameras, motors, GPS modules, VTX (Video Transmitters), RX (Receivers), and other necessary components. Additionally, it includes the cost of 3D printed parts and a carbon fiber frame, which are crucial for the lightweight and durable construction of the UAV.
2. Flight Controller, ESCs, Transmitter, and Ground Control Station (GCS)
Estimated Expenses: INR 40,000
Justification: This cost is allocated for the development and procurement of PCB (Printed Circuit Board) for an indigenous flight controller and Electronic Speed Controllers (ESCs). It also includes the expense for a reliable transmitter and a Ground Control Station, which are pivotal for the UAV's operation and control.
3. Software Tuning
Estimated Expenses: INR 12,000
Justification: The software tuning expense is for the autonomous and manual tuning of the UAV’s software. This process ensures that the UAV operates optimally in various conditions and modes, enhancing its reliability and performance.
4. Patent and Intellectual Properties
Estimated Expenses: INR 20,000
Justification: This allocation is for the design registration and securing patents for the UAV. Protecting intellectual property is essential to safeguard the innovative aspects of the PSM-UAV and to maintain a competitive edge in the market.
5. Manpower and Other Essential Resources
Estimated Expenses: INR 24,000
Justification: This covers the cost of hiring two interns with expertise in software, hardware, IoT, and testing. Skilled workforce is necessary to drive the development, testing, and optimization of the UAV.
6. Flying Practice Simulator
Estimated Expenses: INR 3,200
Justification: The simulator software for flying practice is an important tool for training and honing the skills of the operators. It helps in practicing flight maneuvers and understanding the UAV’s capabilities without risking the actual hardware.
7. Miscellaneous
Estimated Expenses: INR 20,000
Justification: This category includes expenses related to traveling, transportation, consumables, and packaging. These are essential for the logistics and smooth operation of the project, ensuring that all necessary materials and components are available when needed.
Total Estimated Expenses
Grand Total: INR 2,39,200
This comprehensive breakdown of expenses ensures that all critical aspects of the PSM-UAV project are adequately funded. The allocation covers the procurement of high-quality electronic components, development of essential systems, software tuning, patenting, skilled workforce, training simulators, and miscellaneous expenses, providing a solid foundation for the successful development and deployment of the Personal Surveillance Micro UAV.</t>
  </si>
  <si>
    <t>https://drive.google.com/open?id=1ccWs4J1j_Ctjjqls_9PNtx86EtBtME92</t>
  </si>
  <si>
    <t>Mr. Mukesh Kumar</t>
  </si>
  <si>
    <t>Mr. Hari Om Kumar Vishal Gaurav Buchchas Himanshi Garg</t>
  </si>
  <si>
    <t>Shopping in malls is now a common activity, especially in big cities. However, during weekends and holidays, long queues form at billing counters because barcode scanning takes time. To solve this problem, we developed an RFID-based smart trolley system that makes billing faster and reduces waiting time.</t>
  </si>
  <si>
    <t>Traffic free ambulance</t>
  </si>
  <si>
    <t>Mr.Agha Hussain</t>
  </si>
  <si>
    <t>Sameer,Rahul Raj,Satyam Jaiswal</t>
  </si>
  <si>
    <t>A lot of brainstorming has gone into developing this product, which focuses on improving traffic conditions for emergency vehicles like ambulances by integrating electronics, communication technology, and programming. The idea was inspired by the heavy traffic situations commonly seen in metropolitan cities, where ambulances often get delayed due to congestion. This system works by detecting an approaching ambulance and automatically switching traffic signals to green, ensuring that the vehicle gets a clear route without delay. By clearing the road in advance, the system helps reduce travel time and enables ambulances to reach hospitals faster, ultimately increasing the chances of saving lives. The main objective of this project is to ensure that traffic is cleared at intersections before the ambulance arrives, enabling smooth and uninterrupted emergency transportation.</t>
  </si>
  <si>
    <t>1 month</t>
  </si>
  <si>
    <r>
      <rPr>
        <rFont val="Calibri"/>
        <color rgb="FF1155CC"/>
        <sz val="11.0"/>
        <u/>
      </rPr>
      <t>protovillallp@gmail.com</t>
    </r>
  </si>
  <si>
    <t>7/29/2024 1:10:55</t>
  </si>
  <si>
    <t>Guardian Tech</t>
  </si>
  <si>
    <t>Govind Kumar Mishra</t>
  </si>
  <si>
    <t>Smart E-Bike</t>
  </si>
  <si>
    <t>mishra266558@gmail.com</t>
  </si>
  <si>
    <t>Mr. Akarsh Pandey Keshav Kashyap Arshad Iqbaal Azarharudin Ansari Akash Kumar Abhishek Shrivastava Achal Khanna Bhartendu Kumar Akhand Pandey</t>
  </si>
  <si>
    <t>The main objective of the E-Smart Bike is to reduce air pollution, noise pollution, and global warming by using an eco-friendly electric system. It also focuses on improving rider safety and security through IoT-based features, while supporting automation in the automobile sector.The bike offers a top speed of 80 km/h, a charging time of 2–2.5 hours, and a long range on a full charge. Its running cost is much lower compared to petrol bikes.For security, it includes advanced IoT features such as biometric thumb start, GPS tracking, and complete vehicle monitoring through an Android/iOS application.</t>
  </si>
  <si>
    <t>F-287, Block F Alpha 2, Grater Noida U.P 201308</t>
  </si>
  <si>
    <t>https://drive.google.com/open?id=1z-dDlHKZ8TvYPbq4X_UbIb0ByER54QYD</t>
  </si>
  <si>
    <t>Reception Bot</t>
  </si>
  <si>
    <t>Mr. Saurav Kumar</t>
  </si>
  <si>
    <t>Syed Yusuf Amin Harshit Singh Yadav Mayank Raj</t>
  </si>
  <si>
    <t>A Reception Robot is designed to welcome and assist visitors at offices, colleges, or malls. It can greet guests, provide information about the place, show videos, share news or product details, and even help with basic services like receiving payments.This robot can also serve items like water, tea, or coffee—reducing the need for helper staff. With Google Home integration, visitors can ask questions and get answers directly from the robot. It is equipped with face recognition, so it can identify returning visitors.The robot uses two powerful BLDC motors and can carry up to 5 kg along with its own weight. It can be controlled through a remote, voice commands, or programmed tasks. A front storage space is provided to hold and deliver items safely.</t>
  </si>
  <si>
    <t>G.L Bajaj Institute of Technology and Management</t>
  </si>
  <si>
    <t>Govind Kumar Mishra, Himanshu Maurya</t>
  </si>
  <si>
    <t>Yash Kumar</t>
  </si>
  <si>
    <t>Remote-Controlled Ground-Wheeled Robot (RCGWR)</t>
  </si>
  <si>
    <t>Rescue and Safety Robot</t>
  </si>
  <si>
    <t>Develop a remote-controlled ground-wheeled robot capable of detecting hazardous gases or chemical leaks and assisting in rescue operations. The robot will be equipped with sensors to identify dangerous substances, cameras for visual inspection, and tools to perform basic rescue tasks.</t>
  </si>
  <si>
    <t xml:space="preserve">1. Gas and Chemical Detection: Equipped with sensors to identify various hazardous gases and chemicals.
2. Visual Inspection: High-resolution cameras for real-time video streaming and inspection.
3. Remote Control: Controlled via a mobile app or web interface.
4. Rescue Tools: Basic tools to assist in rescue operations, such as a robotic arm or gripper.
5. Obstacle Avoidance: Sensors to detect and navigate around obstacles.
</t>
  </si>
  <si>
    <t xml:space="preserve">1. Chassis and Mobility
o Four-Wheeled Chassis: Durable and capable of navigating rough terrain.
o Motors: High-torque DC motors for robust movement.
o Wheels: All-terrain wheels for better traction and mobility.
2. Sensors
o Gas Sensors: MQ series sensors (e.g., MQ-2, MQ-5, MQ-7) to detect different gases like methane, LPG, carbon monoxide, etc.
o Chemical Sensors: Specific sensors for detecting hazardous chemicals.
o Obstacle Avoidance Sensors: Ultrasonic or infrared sensors for navigation.
3. Electronics and Control
o Microcontroller: Arduino or Raspberry Pi for processing sensor data and controlling the robot.
o Camera: High-resolution camera for video streaming.
o Communication Module: Wi-Fi or RF module for remote control.
o Power Supply: Rechargeable battery pack with sufficient capacity for extended operation.
4. Rescue Tools
o Robotic Arm or Gripper: Controlled remotely to manipulate objects or assist in rescue operations.
o Additional Tools: As per the specific rescue requirements (e.g., cutters, lights).
________________________________________
Development Steps
Step 1: Concept and Design
• Define Requirements: List all the functionalities and requirements for the robot.
• Design Sketches: Create initial sketches and detailed design drawings.
• Component Selection: Choose appropriate components based on functionality and budget.
Step 2: Prototype Development
• Mechanical Assembly: Build the chassis and attach the motors and wheels. Ensure the structure is sturdy and capable of handling rough terrain.
• Sensor Integration: Attach and wire the gas, chemical, and obstacle detection sensors.
• Electronic Assembly: Connect the microcontroller, camera, and communication modules. Ensure proper power supply connections.
• Robotic Arm Installation: Attach and configure the robotic arm or gripper for remote operation.
Step 3: Software Development
• Control Software: Develop software to control the robot and process sensor data. Use open-source libraries and platforms to save costs.
• User Interface: Create a mobile app or web interface for remote control and monitoring. Ensure the interface is user-friendly and responsive.
Step 4: Testing and Iteration
• Initial Testing: Test the robot in controlled environments to ensure all components function correctly.
• Field Testing: Conduct tests in real scenarios to evaluate performance and identify areas for improvement.
• Feedback and Refinement: Gather feedback, make necessary adjustments, and refine the robot’s design and functionality.
</t>
  </si>
  <si>
    <t>https://drive.google.com/open?id=1ElxWW0Sg2otx0BTva7pDquy5Tmsg3Syz</t>
  </si>
  <si>
    <t>The market for remote-controlled ground-wheeled robots designed for hazardous gas and chemical leak identification and rescue operations is poised for significant growth. As industries become increasingly aware of the importance of safety and risk management, the demand for advanced robotic solutions is rising. This section outlines the potential market segments, growth drivers, and economic projections for the RCGWR. Key Market Segments Industrial Safety and Risk Management Oil and Gas Industry: High demand for robots to detect gas leaks, inspect pipelines, and ensure safety in hazardous environments. Chemical Manufacturing: Need for real-time monitoring and leak detection to prevent accidents and comply with safety regulations. Nuclear Facilities: Use of robots to handle hazardous materials and monitor radiation levels. Emergency Services and Disaster Response Fire Departments: Robots equipped to enter hazardous environments and provide real-time data to firefighters. Disaster Management Authorities: Use of robots for search and rescue operations in scenarios involving chemical spills or gas leaks. Military and Defense: Deployment of robots in conflict zones to detect chemical weapons and ensure the safety of personnel. Environmental Monitoring Pollution Control Agencies: Monitoring of industrial emissions and detection of hazardous pollutants. Environmental Protection Organizations: Use of robots for environmental assessments and cleanup operations. Growth Drivers Increasing Safety Regulations Stricter safety regulations in industries such as oil and gas, chemicals, and nuclear power are driving the adoption of advanced robotic solutions. Technological Advancements Rapid advancements in sensor technology, AI, and robotics are making it feasible to deploy sophisticated robots for hazardous environment applications. Rising Awareness of Workplace Safety Growing awareness of the importance of workplace safety and risk management is leading industries to invest in advanced safety solutions. Cost Savings and Efficiency Robots can perform hazardous tasks more efficiently and cost-effectively than humans, leading to reduced operational costs and improved safety outcomes. Economic Projections Global Market Context: The global market for industrial robots is expected to grow significantly, with the hazardous environment robots segment seeing substantial demand. According to market research, the global industrial robotics market is projected to reach USD 33.8 billion by 2025, growing at a CAGR of 10.9% from 2020 to 2025. Indian Market Potential: India's robotics market is also on a growth trajectory, driven by rapid industrialization and increasing safety concerns. The Indian robotics market is expected to reach USD 710 million by 2023, growing at a CAGR of 20% from 2018 to 2023. The demand for safety and inspection robots in hazardous environments will be a significant contributor to this growth.</t>
  </si>
  <si>
    <t xml:space="preserve">Budget Allocation
Item Estimated Cost (INR)
Chassis and Motors 30,000
Gas and Chemical Sensors 30,000
Camera 20,000
Microcontroller and Electronics 30,000
Robotic Arm/Gripper 40,000
Communication Module 20,000
Power Supply 10,000
Software Development 10,000
Prototyping Tools and Materials 10,000
Testing and Iteration 10,000
Miscellaneous 10,000
Total 2,20,000
</t>
  </si>
  <si>
    <t>https://drive.google.com/open?id=1W14AC1UvmBlEoaipau_IZWv4QCRNJ-Tg</t>
  </si>
  <si>
    <t>7/29/2024 1:27:50</t>
  </si>
  <si>
    <t>Electrocode</t>
  </si>
  <si>
    <t>Shubhang mishra</t>
  </si>
  <si>
    <t>Its engineering college ,dhruv hostel , knowledge park 3 greater noida uttar pradesh</t>
  </si>
  <si>
    <t>https://drive.google.com/open?id=1k0WOSFjr32t5LWDh5kVyccmvoBv7jv3_</t>
  </si>
  <si>
    <t>AI</t>
  </si>
  <si>
    <t>I.T.S. Engineering college</t>
  </si>
  <si>
    <t>1. Gautam Negi, 2. MOH. Faizan</t>
  </si>
  <si>
    <t>OxyPure : Algae-Powered Air Purifier and Oxygen Generator​</t>
  </si>
  <si>
    <t>Green Technology/Sustainability, Biotechnology, Clean Energy</t>
  </si>
  <si>
    <t>Objective:
The OxyPure project aims to create an innovative system that uses microalgae to purify air and generate oxygen, leveraging modern technology for real-time monitoring and control. This project focuses on harnessing natural processes to improve air quality and sustainability.
Overview:
OxyPure combines the natural capabilities of microalgae with advanced technological components to develop a dual-function system. The project was showcased as a prototype during a hackathon, demonstrating its feasibility and potential for practical applications.
Function: Facilitates communication between the microcontroller and the web server or directly with the webpage.
Integration: Sends real-time sensor data to the server or webpage for display.
Webpage Interface:
Function: Provides a visual display of real-time data including temperature, humidity, and air quality.
Technologies Used: The webpage is built using HTML, CSS, and JavaScript, with backend support from languages such as Python (Flask/Django) or Node.js for handling and visualizing data.
Features:
Real-Time Monitoring:
Live updates on key metrics such as temperature, humidity, and water quality are displayed on the webpage.
Provides continuous insights into system performance and environmental conditions.
Data Logging and Analytics:
Records and analyzes sensor data over time to track trends and evaluate system efficiency.
Offers valuable insights into the effectiveness of the air purification and oxygen generation processes.
Remote Access and Control:
Users can monitor and control the system remotely through a web interface.
Features real-time adjustments and updates, allowing for convenient management of the system.
Energy Efficiency:
Includes functionalities to optimize energy consumption based on system activity and environmental conditions.
Alerts and Notifications:
Automated alerts for maintenance needs or system anomalies.
Safety notifications for critical issues to ensure the system operates effectively.
Benefits:
Environmental Impact: Enhances air quality by reducing CO2 levels and producing oxygen, contributing to a healthier environment.
Sustainability: Merges biological processes with technological advancements to offer an eco-friendly solution for air purification and oxygen generation.
Innovation: Demonstrates the practical application of integrating microalgae with modern technology, highlighting its potential for real-world deployment.
Hackathon Prototype:
The OxyPure prototype was developed and showcased at a hackathon, where it demonstrated its potential as an effective solution for air purification and oxygen generation. The prototype featured the integration of microalgae with sensors and real-time data visualization, providing a working model of its capabilities and laying the groundwork for further development</t>
  </si>
  <si>
    <t>"OxyPure: Algae-Powered Air Purifier and Oxygen Generator" is unique due to its innovative combination of natural and technological elements:
Biological Solution: Utilizes microalgae for both air purification and oxygen generation, employing a natural, eco-friendly approach.
Advanced Technology Integration: Incorporates real-time monitoring with sensors and a Raspberry Pi, and displays data via a web interface for remote management.
Customizability: Allows users to adapt and optimize the system based on real-time data and environmental conditions.
Sustainability: Aims for energy efficiency and environmental impact reduction, offering a greener alternative to traditional systems.
Hackathon Innovation: Developed as a prototype during a hackathon, showcasing rapid development and practical application.
Educational Value: Provides insights for educational and research purposes, blending environmental science with modern technology.
OxyPure stands out by effectively integrating biological processes with advanced tech to offer a scalable, sustainable solution for air quality improvement and oxygen generation.</t>
  </si>
  <si>
    <t>1. Technical Methods:
Microalgae Cultivation: Use microalgae in diluted water exposed to sunlight for CO2 absorption and oxygen generation.
Air Circulation: Implement a pump to circulate air through the algae mixture, controlled by a Raspberry Pi.
Sensors and Data Collection: Deploy sensors (temperature, humidity, pH, turbidity, CO2) to monitor the algae mixture and collect data using the Raspberry Pi.
Data Visualization: Develop a web interface to display real-time data using HTML, CSS, and JavaScript, with backend support from Flask or Node.js.
Communication: Use ESP8266/ESP32 for data transmission to the web server, allowing remote access and control.
Energy Efficiency: Optimize energy consumption through monitoring and adjustments based on system activity.
2. Methodology:
Collect Data: Sensors measure environmental parameters.
Process Data: Raspberry Pi processes data and adjusts system settings.
Control System: Manage pump operation and other components.
Display Data: Send data to the web server and update the web interface.
Maintain System: Regularly check and maintain system components.</t>
  </si>
  <si>
    <t>https://drive.google.com/open?id=1ql2TsnWyfJFjj5vW11Q_qh499KRaGBhM</t>
  </si>
  <si>
    <r>
      <rPr>
        <rFont val="Calibri"/>
        <color rgb="FF1155CC"/>
        <sz val="11.0"/>
        <u/>
      </rPr>
      <t>raosanjay111@gmail.com</t>
    </r>
  </si>
  <si>
    <t>The OxyPure project has significant market potential driven by increasing concerns about air quality, sustainability, and technological advancements. With applications across residential, commercial, and industrial sectors, and alignment with global green technology trends, the project is well-positioned for growth and impact.</t>
  </si>
  <si>
    <t>1. Raw Materials:
Microalgae Culture and Containers: ₹5,810 - ₹11,620
Air Pump and Relay: ₹3,320 - ₹6,640
Sensors (Temperature, Humidity, pH, Turbidity, CO2): ₹4,150 - ₹10,375
Microcontrollers (Raspberry Pi, ESP8266/ESP32): ₹4,565 - ₹9,545
Additional Materials (Wiring, Power Supply, Relay Modules): ₹1,245 - ₹2,905
Total Raw Material Cost: ₹19,090 - ₹40,085
2. Product Development / Consultancy:
Design and Prototyping: ₹49,800 - ₹1,07,900
Software Development (Web Interface and Backend): ₹41,500 - ₹83,000
Testing and Optimization: ₹12,450 - ₹24,900
Total Product Development / Consultancy Cost: ₹1,03,750 - ₹2,15,800
3. Other Expenditure:
Operational Costs (Electricity, Maintenance): ₹5,810 - ₹12,450
Miscellaneous (Shipping, Documentation): ₹4,150 - ₹9,130
Total Other Expenditure: ₹9,960 - ₹21,580
4. Overall Budget Estimate:
Total Estimated Budget: ₹1,32,800 - ₹2,77,465</t>
  </si>
  <si>
    <t>https://drive.google.com/open?id=1CWUW4MCRkDc-Gk5msmqsj3iRkcMaPfNR</t>
  </si>
  <si>
    <t>Smart Re-Energy Solutions LLP</t>
  </si>
  <si>
    <t>Suistanable &amp; Affordable Kichen waste solution</t>
  </si>
  <si>
    <t>HEXPRES LLP</t>
  </si>
  <si>
    <t>Udbhav Vasud</t>
  </si>
  <si>
    <t>Door to Destination Technology Pvt. ltd.</t>
  </si>
  <si>
    <t>epair</t>
  </si>
  <si>
    <t>Electronics Repairing</t>
  </si>
  <si>
    <t>Mr. Devendra Dixit</t>
  </si>
  <si>
    <t>NewGen 2nd Year (2020-21) Projects Detail</t>
  </si>
  <si>
    <t>Milk spilling Control Unit</t>
  </si>
  <si>
    <t>Er. Astha Singh,          Mr. Mahip Singh</t>
  </si>
  <si>
    <t>Utkarsh Srivastava</t>
  </si>
  <si>
    <t>Boiling milk requires constant attention to prevent spilling, wasting time. We developed a control unit to resolve this. Unlike expensive market options, our device automatically manages the boiling process. It allows users to multitask without worry, preventing spills and saving valuable time in daily kitchen routines.</t>
  </si>
  <si>
    <t>Missing 3-D Solar</t>
  </si>
  <si>
    <t>Mr. Mahip Singh,        Er. Astha Singh</t>
  </si>
  <si>
    <t>Vaibhav Kr Yadav, Jeevesh Gupta</t>
  </si>
  <si>
    <t>The "CV Generator with EM Sync" optimizes fuel consumption based on load conditions without affecting electricity parameters. This retrofitting unit fits between the engine and alternator of any genset. It significantly saves fuel and optimizes power generation, offering a smart, efficient solution for energy needs.</t>
  </si>
  <si>
    <t xml:space="preserve">EV Accelerator Enhancer </t>
  </si>
  <si>
    <t>Shivani Dubey,                  Md Samiruddin</t>
  </si>
  <si>
    <t>Electric two-wheelers often struggle with balancing acceleration and mileage. Our Accelerator Enhancer replaces one big motor with three smaller BLDC motors. This setup provides high acceleration when needed and optimal mileage on plain roads, effectively solving the trade-off between power and energy efficiency in EVs.</t>
  </si>
  <si>
    <t>Tadpol E-Mobility</t>
  </si>
  <si>
    <t>The Smart Trike is an electric tadpole-type three-wheeler with a rear drive wheel. It combines the stability of a car with the economy of a bike. Features include 150km range, fast charging, turning stabilizers, and an acceleration enhancer, offering a stable, efficient, and versatile transport solution.</t>
  </si>
  <si>
    <t xml:space="preserve">NO </t>
  </si>
  <si>
    <t>AI Based Glue Inspection System</t>
  </si>
  <si>
    <t>E-card manufacturers face issues with glue smearing on chips, causing defects. Our system uses Machine Vision and Artificial Intelligence to inspect glue application automatically. It detects faults early, preventing defective cards from reaching the market, reducing waste, and protecting the company's reputation for quality.</t>
  </si>
  <si>
    <t>NOT FILLED</t>
  </si>
  <si>
    <t>Development of Biodegradable Non-stick Coating</t>
  </si>
  <si>
    <t>Nitish Kumar Jha,           Yash Kumar</t>
  </si>
  <si>
    <t>We developed a biodegradable non-stick coating using Shellac and synthetic resins. This solution-blended coating provides high adherence and non-stick properties. The manufacturing method is simple enough for unskilled workers, offering an eco-friendly, sustainable alternative to conventional non-stick coatings for various applications.</t>
  </si>
  <si>
    <t>IN PROCESS</t>
  </si>
  <si>
    <t>Md. Suleman</t>
  </si>
  <si>
    <t>This project optimizes cutting fluids used in machining to cool and lubricate tool-workpiece interfaces. By improving fluid application strategies, we aim to enhance workpiece quality, reduce tool wear, and increase productivity, while simultaneously addressing the economic and environmental concerns associated with excessive fluid usage.</t>
  </si>
  <si>
    <t>Smart Sense whitewash Technology</t>
  </si>
  <si>
    <t>Mr. Mahip Singh,        Mr. Saurav Kumar</t>
  </si>
  <si>
    <t>Nidhi Sharma,                Mayank Raj</t>
  </si>
  <si>
    <t>Whitewashing is often tedious and messy. We developed a unique high-pressure spray system to replace brushes and rollers. A control panel manages tilt, flow, and height, ensuring uniform coverage and eliminating spills. This automated solution saves time and effort while providing a superior, consistent finish.</t>
  </si>
  <si>
    <t>Flywheel Energy Storage System</t>
  </si>
  <si>
    <t>Dr. Monika Jain,         Mr. Mahip Singh</t>
  </si>
  <si>
    <t>Shubham Kumar, Harshit Kumar Singh</t>
  </si>
  <si>
    <t>This project utilizes a flywheel as a mechanical battery to store kinetic energy. It accelerates a rotor to store energy and retrieves it as electricity. This technology offers a sustainable, efficient alternative to lead-acid batteries, promising reliable energy storage with reduced environmental impact.</t>
  </si>
  <si>
    <t>Wireless Laptop Charging Platform</t>
  </si>
  <si>
    <t>Mr. Praveer Saxena</t>
  </si>
  <si>
    <t>Sindhuza Singh</t>
  </si>
  <si>
    <t>This project demonstrates a wireless power system for charging laptops using magnetic coupling. It eliminates wired connections, reducing wear and tear while increasing hygiene through contactless charging. A single platform can charge four laptops simultaneously, offering a convenient and efficient energy transfer solution.</t>
  </si>
  <si>
    <t>Designed for pandemics, this robot manages oxygen and assists in hospital wards, keeping patients separate from health workers. It reduces infection risks and eases the burden on staff. By automating tasks, it ensures proper care and safety for both patients and medical personnel during crises.</t>
  </si>
  <si>
    <t>Saurav Kumar</t>
  </si>
  <si>
    <t>Saket Tiwari,              Md. Samiruddin Ansari</t>
  </si>
  <si>
    <t>We developed smart goggles to detect overheating and thermal leaks in factory machinery. This device visualizes temperature data, alerting operators immediately when equipment exceeds safe limits. It allows for timely intervention to prevent hazards and machine damage, ensuring safer and more efficient manufacturing.</t>
  </si>
  <si>
    <t>Self-Cleaned Sanitized Dining Table</t>
  </si>
  <si>
    <t>Kamal Gupta</t>
  </si>
  <si>
    <t>Yash Sharma</t>
  </si>
  <si>
    <t>Amidst the pandemic, hygiene is paramount. We developed a self-cleaning dining table equipped with UVC light to eliminate coronaviruses and sanitize surfaces automatically. This innovation replaces manual cleaning, saving labor and water while ensuring effective sterilization in homes, restaurants, and hotels for safer dining experiences.</t>
  </si>
  <si>
    <t>Kitchen Automation</t>
  </si>
  <si>
    <t>Dr. Nidhi Puri</t>
  </si>
  <si>
    <t>Ayushi Agarwal</t>
  </si>
  <si>
    <t>This project automates finding kitchen utilities like spice boxes. Using voice commands, a linear actuator connected to an IoT system moves the requested item forward. This smart system helps cooks easily locate and manage ingredients, streamlining the cooking process and organizing kitchen storage efficiently.</t>
  </si>
  <si>
    <t>Fully Automatic Shoe Polish Rack</t>
  </si>
  <si>
    <t>Manas Sonwane,   Subham,                  Yash Kumar</t>
  </si>
  <si>
    <t>In response to pandemic hygiene needs, we created an AI-based automatic shoe cleaning and polishing machine. It removes dirt and microorganisms without human contact, preventing virus spread. User-friendly and budget-friendly, this device ensures shoes are sanitized before entering homes or offices, promoting health and safety.</t>
  </si>
  <si>
    <t>Zero Energy Toilet</t>
  </si>
  <si>
    <t>Yash Kumar,                   Manas Showne</t>
  </si>
  <si>
    <t>The Zero Energy Toilet eliminates open defecation and pumps water without electricity, ideal for rural areas. It utilizes a Hydraulic Ram Pump to lift water using the kinetic energy of flowing water sources. This sustainable solution ensures sanitation and water access where power is unreliable.</t>
  </si>
  <si>
    <t>EV-VCU Development</t>
  </si>
  <si>
    <t>Mr. Agha Hussain, Hemant Raja</t>
  </si>
  <si>
    <t>Saket Tiwari</t>
  </si>
  <si>
    <t>As electric vehicle markets grow, current electronics designed for internal combustion engines are insufficient. We are developing a dedicated, integrated Vehicle Control Unit (VCU) specifically for EVs. This "Made in India" product accommodates all EV components, addressing the need for a specialized, comprehensive electronic system.</t>
  </si>
  <si>
    <t>Smart down rod</t>
  </si>
  <si>
    <t>Syed Yusuf Amin</t>
  </si>
  <si>
    <t>This invention prevents suicide attempts from ceiling fans. The smart down rod works normally but lowers the fan assembly by six feet if a heavy load, like a person, hangs on it. This unexpected drop prevents the act, potentially saving lives by interrupting the impulsive decision.</t>
  </si>
  <si>
    <t>Traffic Data Analyzer</t>
  </si>
  <si>
    <t>Rishav Kumar</t>
  </si>
  <si>
    <t>Traffic Data Extractor collects accurate, audit-able traffic data for heterogeneous and homogeneous conditions. It processes video and live feeds automatically, saving time and effort. The suite includes software, scene configuration, and classification modules, offering a permanent, efficient solution for traffic survey and analysis needs.</t>
  </si>
  <si>
    <t>NewGen 3rd Year (2021-22) Projects Detail</t>
  </si>
  <si>
    <t>Patent Number</t>
  </si>
  <si>
    <t>EXPENDITURE(RS)</t>
  </si>
  <si>
    <t>Rice Threshing Cum Chaff Cutting Machine</t>
  </si>
  <si>
    <t>Suraj Vishvakarma,           Alok Kumar,                   Ashutosh Yadav</t>
  </si>
  <si>
    <t>Threshing separates grain from straw. Manual threshing preserves straw quality for animal feed but is labor-intensive. Existing machines damage straw. This project develops a machine that threshes efficiently like manual methods, preserving straw quality for feed while reducing labor, offering a versatile solution for farmers.</t>
  </si>
  <si>
    <t>Development of Electrically Insulating Biodegradable Shellac based Fibers</t>
  </si>
  <si>
    <t>Nitish Kumar Jha,              Yash Kumar</t>
  </si>
  <si>
    <t>Shellac, a biodegradable natural resin, is brittle alone. We blended it with synthetic resins like Polyamide or Epoxy to create strong fibers via solution blending and solvent evaporation. These resulting fibers possess high dielectric properties and biodegradability, making them ideal for eco-friendly, high-insulation electrical clothing applications.</t>
  </si>
  <si>
    <t>Online payment device for Machine of Beverages</t>
  </si>
  <si>
    <t>Nikunj Kushik,                  Saket Tiwari</t>
  </si>
  <si>
    <t>This project facilitates online payments for vending machines. It initiates transactions via mobile terminals by scanning a QR code generated by the machine. The system pushes a commodity display interface to the user's phone, allowing product selection and payment completion, modernizing the vending experience with digital convenience.</t>
  </si>
  <si>
    <t>Multi-utility E-Tractor</t>
  </si>
  <si>
    <t>Mr. Hemant Raja</t>
  </si>
  <si>
    <t>Md Samiruddin Ansari, Shubham Kumar</t>
  </si>
  <si>
    <t>Current e-tractors struggle with torque and mileage trade-offs. Our multi-utility e-tractor uses a three-motor variable power enhancer to deliver high torque when needed and maximize mileage otherwise. Features include autonomous waypoint driving for ploughing, IoT multitasking, and a detachable rear component for stable road driving.</t>
  </si>
  <si>
    <t>QR Code and Packing List Inspection System</t>
  </si>
  <si>
    <t>Md Akram,                   Vaibhav Siroha</t>
  </si>
  <si>
    <t>This device automates product testing and verification using QR codes. It inspects each item to detect repetition or duplication, ensuring inventory accuracy. By placing and scanning QR codes, the system simultaneously verifies the product against the packing list, streamlining quality control and preventing errors in shipping.</t>
  </si>
  <si>
    <t>Modular brushless direct current (BLDC) electric motor</t>
  </si>
  <si>
    <t>This project enhances Modular BLDC motors by increasing power density through shortened magnetic field lines. By stacking a greater number of rotors, we significantly boost torque output. This configuration offers a more powerful and efficient motor solution, addressing the need for high-performance electric propulsion systems.</t>
  </si>
  <si>
    <t>AI Based System for Evading Stray Livestock</t>
  </si>
  <si>
    <t>Mr. Agha Asim Husain</t>
  </si>
  <si>
    <t>Shashwat Pandey,           Divya Verma</t>
  </si>
  <si>
    <t>Stray livestock on roads causes accidents. We developed an AI alert system using Deep Neural Networks and cameras to detect animals in real-time. It processes video feeds and instantly sends alerts to administrative servers and android apps, enabling timely responses to ensure road safety and prevent collisions.</t>
  </si>
  <si>
    <t>Dr. Jyoti Batra,             Suraj Singh</t>
  </si>
  <si>
    <t>Muskan, Afreen Ali, Arshdeep Singh</t>
  </si>
  <si>
    <t>The Marvel toothbrush improves oral health by providing real-time feedback on brushing habits via an app. It ensures correct technique and pressure while using AI and mouth scanning to detect oral diseases, from decay to cancer. Features include a detachable bristle plate for hygiene and versatility.</t>
  </si>
  <si>
    <t>Natural air purifier</t>
  </si>
  <si>
    <t>Mr. Surendra Pal Sharma</t>
  </si>
  <si>
    <t>Raj Kumar Shukla,            Vinit Yadav</t>
  </si>
  <si>
    <t>This natural air purifier cleans contained environments using water. A fan circulates pressurized air, while a water pump sprays fine particles to wash away pollutants and dissolve matter. It includes a water level indicator to alert users, offering a simple, effective solution for maintaining indoor air quality.</t>
  </si>
  <si>
    <t>Automatic Dairy Animal Feeder</t>
  </si>
  <si>
    <t>Manvendar Yadav</t>
  </si>
  <si>
    <t>Piyush Solanki,                Lovely Gupta</t>
  </si>
  <si>
    <t>Dairy farming is vital for India's rural economy. We developed an automatic feeding system to reduce the heavy labor load on farmers. This machine automates the distribution of feed to cows and other milk animals, saving time and effort while supporting the socio-economic development of the dairy sector.</t>
  </si>
  <si>
    <t>Nikunj Kaushik,                Nikhil Gupta</t>
  </si>
  <si>
    <t>Wheel misalignment causes tire wear and safety issues. We fabricated a laser-based device to check wheel alignment in real-time. Unlike standard dashboards that lack this info, our system displays alignment data directly to the driver, ensuring safer driving, better fuel efficiency, and longer tire lifespan.</t>
  </si>
  <si>
    <t>BLDC motor controllers often fail due to thermal runaway from improper current monitoring. Existing controllers are hard to repair. We developed a high power density modular controller that addresses these thermal issues, offering a more reliable, repairable, and robust solution for electric motor management.</t>
  </si>
  <si>
    <t>Micro hydro power water wheel</t>
  </si>
  <si>
    <t>Surendra Pal Sharma</t>
  </si>
  <si>
    <t>Lovely Gupta</t>
  </si>
  <si>
    <t>This project combines a micro hydro water wheel with air compression for energy storage. As the wheel rotates in small streams, it compresses air, which is stored and later used to drive an air motor for electricity. It enables decentralized power generation even from low-flow water sources.</t>
  </si>
  <si>
    <t>Device to charge EV Battery in running condition</t>
  </si>
  <si>
    <t>Dr. Mohit Saxena</t>
  </si>
  <si>
    <t>Vipul Maurya,                    Vedant Sharma</t>
  </si>
  <si>
    <t>We designed a system to charge EV batteries while the vehicle is running. Magnets attached to the chassis move during shocks or vibrations from the road, inducing electric current. This regenerative energy is harvested to recharge the battery continuously, extending the vehicle's driving range.</t>
  </si>
  <si>
    <t>Solid Fertilizer Spreading Machine</t>
  </si>
  <si>
    <t>Shivendra Kumar Singh, Prasoon Singh</t>
  </si>
  <si>
    <t>Spreading solid fertilizer manually is labor-intensive. We developed a portable machine carried on a farmer's back to automate this. Solid fertilizer falls onto a rotating disc, which spreads it evenly via centrifugal force. This device reduces manual effort and ensures uniform application across fields.</t>
  </si>
  <si>
    <t>Biodegradable Shellac and synthetic resin based moulded Products</t>
  </si>
  <si>
    <t>Manish Pandey,                   Mayank Senger</t>
  </si>
  <si>
    <t>Pure Shellac is too brittle for molding. We blended it with synthetic resins to create biodegradable molded products. These composites possess high dielectric properties, making them suitable for eco-friendly electrical bases and PCBs. This innovation tackles e-waste by providing a sustainable alternative to conventional plastic electronics.</t>
  </si>
  <si>
    <t>Automatic safety test panel for geyser</t>
  </si>
  <si>
    <t>Mohammad Ayub Khan</t>
  </si>
  <si>
    <t>Mr. Suraj Singh,                   Md Samiruddin Ansari</t>
  </si>
  <si>
    <t>Manual geyser testing is slow and dangerous. We developed an automatic safety test panel that performs leakage, high voltage, and earth contact tests. It measures insulation resistance to ensure dielectric effectiveness. This system eliminates manual errors and safety risks, protecting testers from shocks and molten metal hazards.</t>
  </si>
  <si>
    <t>Mid-Day Meal Automated Reporting and Management System</t>
  </si>
  <si>
    <t>Mohammad Ayub Khan, Mr. Manvendra Yadav</t>
  </si>
  <si>
    <t>Shubham Kumar,             Devraj Singh</t>
  </si>
  <si>
    <t>Monitoring India's massive Mid-Day Meal program is challenging. We developed an automated auditing system using face detection and food recognition. This solution replaces manual reporting, ensuring accurate data on meals served. It helps evaluate the program's impact on school enrollment and nutrition, improving accountability and efficiency.</t>
  </si>
  <si>
    <t>Hybrid Vehicle Washing system</t>
  </si>
  <si>
    <t>Brijesh Kumar</t>
  </si>
  <si>
    <t>Abhishek Pal,            Akash</t>
  </si>
  <si>
    <t>Vehicle washing wastes significant water. Our hybrid vehicle washing system addresses this by minimizing water usage, helping control scarcity. Compared to traditional methods, this eco-friendly solution drastically reduces waste while maintaining cleaning effectiveness, making it a sustainable choice for waste management and water conservation efforts.</t>
  </si>
  <si>
    <t>Converting Desert Cooler to Air conditioner using refrigerator</t>
  </si>
  <si>
    <t>Dr. Akant Kumar Singh</t>
  </si>
  <si>
    <t>Ashirvad Pal,           Jaibeer</t>
  </si>
  <si>
    <t>We converted a desert cooler into an air conditioner using refrigeration principles. This hybrid device cools and conditions air without the humidity associated with evaporative cooling. It eliminates "stickiness" while providing efficient cooling, offering a cost-effective alternative to expensive AC units for contained environments.</t>
  </si>
  <si>
    <t>NewGen 4th Year (2022-23) Projects Detail</t>
  </si>
  <si>
    <t>Smart Machine Box</t>
  </si>
  <si>
    <t>Gagan Sahu,               Shivansh Seth,              Gautam Negi</t>
  </si>
  <si>
    <t>SMB simplifies data collection by embedding interfaces for mainstream controllers like FANUC and Siemens, eliminating connectivity issues. It monitors machine status, calculates production figures, and reports to servers for visualization. With built-in modules for fault alerts and utilization management, SMB offers a seamless solution for shop floor integration and cloud connectivity.</t>
  </si>
  <si>
    <t>Advance Datum Surface Table</t>
  </si>
  <si>
    <t>Mr. Jayant Singh Rajput</t>
  </si>
  <si>
    <t>The Advance Datum Surface Table automates GD&amp;T measurements, spotting, and inspection with precise three-axis mechanical movement. Unlike manual tables, it minimizes human error and requires less skilled labor. This cost-effective solution offers high accuracy comparable to expensive CMMs, making advanced precision measurement accessible and efficient for various vendor companies.</t>
  </si>
  <si>
    <t>APPLIED</t>
  </si>
  <si>
    <t>Development of Flexible 5G Antena Substrate</t>
  </si>
  <si>
    <t>Dr Praveen Chandra Jha,                                   Mr Chandan Kumar</t>
  </si>
  <si>
    <t>Raghunandan Kumar, Prabhat Kumar Mishra</t>
  </si>
  <si>
    <t>Flexible electronics demand robust, adaptable antennas. We developed a biodegradable flexible 5G antenna substrate by blending Shellac with synthetic resins. This solution creates a mechanically robust film for conductive layers, meeting wireless connectivity needs. It offers a sustainable, eco-friendly alternative to conventional plastics while maintaining high performance for modern communication systems.</t>
  </si>
  <si>
    <t>Integrated Fixed Ratio Diet Mixing and Cutting Machine</t>
  </si>
  <si>
    <t>Shivendra Kumar,        Suraj Kumar,           Shubham Kumar</t>
  </si>
  <si>
    <t>The IFR Diet Machine is designed to help dairy farmers provide a healthier and well-balanced diet to their animals. It efficiently cuts green fodder and mixes essential nutrients uniformly, ensuring cows receive the right amount of nutrition. Animals also find the feed more appealing, which improves their intake and overall health.This machine is especially beneficial for small dairy farmers, as it helps improve productivity and supports growth in the dairy sector. The IFR Diet Machine is intended specifically for use in dairy farming and contributes to better animal care and improved milk production.</t>
  </si>
  <si>
    <t>IF-YO-NO (Open-source microcontroller board)</t>
  </si>
  <si>
    <t>Anannya Sharma UPID, Shashwat Pandey</t>
  </si>
  <si>
    <t>IF-YO-NO is a "Made in India" open-source microcontroller board designed to overcome Arduino's limitations. It addresses issues like lack of multitasking, poor performance, and limited memory. This updated board provides a more optimized, powerful platform for robotics and automation students, facilitating better learning and more complex project development capabilities.</t>
  </si>
  <si>
    <t>UNDER PROCESS</t>
  </si>
  <si>
    <t>Chemical Electrodialiser for Waste Water Treatment</t>
  </si>
  <si>
    <t>Dr Praveen Chandra Jha</t>
  </si>
  <si>
    <t>Mohit R,                   Pangersungla Pongen, Piyush Sokhi</t>
  </si>
  <si>
    <t>In high-rise societies, thousands of liters of grey water are wasted daily because soap and oil impurities make it too colored and foamy for reuse. The Chemical Electrodialyser solves this by combining chemical treatment with electrodialysis to effectively remove these contaminants and hardness.  This innovative system offers high commercial value as a unique, continuous solution that transforms unusable wastewater into clean, reusable water.</t>
  </si>
  <si>
    <t>Face Attendance Management System - FaceAMS</t>
  </si>
  <si>
    <t xml:space="preserve"> Mr. Agha Asim Husain</t>
  </si>
  <si>
    <t>Shashwat Pandey, Aman Pratap Singh</t>
  </si>
  <si>
    <t>FaceAMS revolutionizes attendance tracking by leveraging Artificial Intelligence to streamline operations in educational institutions. By combining a processing unit with a Pan-Tilt-Zoom (PTZ) camera, the system works in unison to efficiently record attendance. This innovative solution replaces manual methods with precise, automated monitoring.</t>
  </si>
  <si>
    <t>Udaan (Flight Controller for Drone)</t>
  </si>
  <si>
    <t>Kajal Kapil UPID,          Md. Samiruddin Ansari</t>
  </si>
  <si>
    <t>As the core of drone stability, the flight controller must be carefully selected based on specific application needs, such as GPS accuracy for payload delivery.  With numerous market options available, this report compares mid-price flight controllers to help determine the best fit for your project's intended purpose.</t>
  </si>
  <si>
    <t>Under Process</t>
  </si>
  <si>
    <t>Mr. Upendra Kumar Agarwal</t>
  </si>
  <si>
    <t>Shubham Kumar, Aadarsh</t>
  </si>
  <si>
    <t>As skyscrapers multiply, manual window cleaning becomes increasingly dangerous and inefficient. We developed the Vertical Mop Robot to automate this hazardous task. This robotic solution scales high-rise buildings to clean windows safely and effectively, replacing risky manual methods with cutting-edge technology ensuring safer, faster, and more reliable building maintenance practices.</t>
  </si>
  <si>
    <t>Automatic Milled Raw Rice Age Finder</t>
  </si>
  <si>
    <t>Dr. P.C Jha</t>
  </si>
  <si>
    <t>Md Samiruddin Ansari, Manish Pandey</t>
  </si>
  <si>
    <t>The Rice Age Finder Machine automates the determination of raw milled rice age, ensuring product quality and freshness. By utilizing research on powder compositions to identify liquid solution makeups, it streamlines complex chemical analyses. This innovation reduces manual labor and time, offering precise, efficient quality control for the food industry.</t>
  </si>
  <si>
    <t>Multi-Level Encryption System</t>
  </si>
  <si>
    <t>Nikunj Kaushik, Shivansh Seth</t>
  </si>
  <si>
    <t>The Multi-Level Encryption System (MLES) addresses urgent data security needs with a robust, multi-layered framework. Combining advanced cryptographic algorithms and dynamic key management, it ensures confidentiality and integrity. This solution minimizes unauthorized access risks, providing comprehensive protection for sensitive information and maintaining control over digital assets in an evolving threat landscape.</t>
  </si>
  <si>
    <t xml:space="preserve"> Digital Healthcare Assistant</t>
  </si>
  <si>
    <t>Ainul Hasan,                 Aditya Shankar,              Ashwin Yadav</t>
  </si>
  <si>
    <t>This system leverages a Raspberry Pi to create a wireless sensor network for real-time patient monitoring. By collecting vital health data from multiple sensor nodes and transmitting it to a central server, it enables doctors to remotely track patient status and receive immediate alerts for critical anomalies.</t>
  </si>
  <si>
    <t>IOT Based Smart Mirror for Multi-Dimensional Applications</t>
  </si>
  <si>
    <t>Ms. Pragati Tripathi, Dr. Monika Jain</t>
  </si>
  <si>
    <t>Devraj Singh,            Adarsh Kumar</t>
  </si>
  <si>
    <t>This project presents a low-cost, general-purpose smart mirror integrating vital health parameter monitoring and user authentication. It delivers multimedia capabilities while maintaining high security. Designed for versatility, this innovative device combines personal wellness tracking with entertainment features, offering a secure, multi-dimensional user experience for modern smart homes and personal convenience.</t>
  </si>
  <si>
    <t>Knee and Ankle Continuous Passive Motion (CPM) Machine</t>
  </si>
  <si>
    <t>Deepanjan,                 Suraj Kumar,           Ashwin Yadav</t>
  </si>
  <si>
    <t>Post-surgery muscle stiffness requires time-consuming therapy. We developed an automated Knee and Ankle Continuous Passive Motion (CPM) machine to address this. This device automates below-waist joint movements, significantly reducing the manual effort required from physiotherapists. It allows them to treat more patients efficiently while ensuring consistent, effective rehabilitation therapy.</t>
  </si>
  <si>
    <t>Solar-Powered Battery Swapping Station</t>
  </si>
  <si>
    <t>Sudhanshu Ranjan</t>
  </si>
  <si>
    <t>To support the growing electric vehicle market, we developed a solar-powered battery swapping station. Unlike conventional grid-dependent chargers, this sustainable infrastructure harnesses renewable solar energy to recharge batteries. It offers a truly eco-friendly solution for EV charging needs, reducing environmental burden and promoting the widespread adoption of green transportation.</t>
  </si>
  <si>
    <t>Triple Power Advance PCU</t>
  </si>
  <si>
    <t>Shree Rajesh Kumar Lal</t>
  </si>
  <si>
    <t>Shubhang Mishra, Shubham Kumar</t>
  </si>
  <si>
    <t>The Triple Power Advance PCU is an integrated power conditioning unit combining a solar MPPT charger, grid charger, and sine wave inverter. It continuously monitors voltages and currents to optimize performance. The advanced MPPT extracts maximum solar power and features multi-stage charging, significantly enhancing system efficiency and extending battery lifespan.</t>
  </si>
  <si>
    <t>Smart Bench</t>
  </si>
  <si>
    <t>Mr. Sudhanshu Ranjan</t>
  </si>
  <si>
    <t>Shashwat Pandey</t>
  </si>
  <si>
    <t>Smart Solar Bench is an improved version of standard solar benches. It is more than just any bench. This new furniture will help cities, universities, malls, parks, retailers and businesses centers create better, safer, and more user-friendly environments</t>
  </si>
  <si>
    <t>Shashwat Pandey,         Md. Samiruddin Ansari, Shubham Kumar</t>
  </si>
  <si>
    <t>Enterprise Security and Automation is a comprehensive solution for managing large-scale premises and critical infrastructure. Utilizing deep learning and camera-based systems, it autonomously monitors security factors and real-time hardware. The system analyzes activities to alert authorities or mitigate issues, ensuring efficient operations and enhanced safety in high-frequency movement zones.</t>
  </si>
  <si>
    <t>Mr. Upendra Agrwal</t>
  </si>
  <si>
    <t>Shubham Kumar,          Md Samiruddin Ansari, Shashwat Pandey</t>
  </si>
  <si>
    <t>The invention presents a kinetic chandelier with translucent, light-diffusing wings that move up and down to create a graceful, fish-like swimming illusion. Multiple illuminated wings connect to a central body in a wave-like arrangement, producing a mesmerizing, immersive, underwater-inspired visual experience.</t>
  </si>
  <si>
    <t>E-CELL-ITSEC REPORT (Sept'25 Onwards)</t>
  </si>
  <si>
    <t>Milk adulteration poses serious health and economic risks in India. We developed a testing unit to detect common adulterants like water, urea, and chemicals. This device combats weak regulatory oversight and supply chain complexities, empowering consumers and legitimate producers to ensure milk safety, prevent health hazards, and restore market confidence.</t>
  </si>
  <si>
    <t>NOT FILED</t>
  </si>
  <si>
    <t>DATE</t>
  </si>
  <si>
    <t xml:space="preserve">EVENT </t>
  </si>
  <si>
    <t>CATEGORY</t>
  </si>
  <si>
    <t>PRE EVENT PROMO LINKS</t>
  </si>
  <si>
    <t>POST EVENT PROMO LINKS</t>
  </si>
  <si>
    <t>ATTENDEES</t>
  </si>
  <si>
    <t>REPORT</t>
  </si>
  <si>
    <t>AWARENESS PROGRAMME</t>
  </si>
  <si>
    <r>
      <rPr>
        <rFont val="Arial"/>
        <color rgb="FF1155CC"/>
        <u/>
      </rPr>
      <t>https://www.linkedin.com/feed/update/urn:li:activity:7374029411811225600</t>
    </r>
    <r>
      <rPr>
        <rFont val="Arial"/>
      </rPr>
      <t xml:space="preserve"> and </t>
    </r>
    <r>
      <rPr>
        <rFont val="Arial"/>
        <color rgb="FF1155CC"/>
        <u/>
      </rPr>
      <t>https://www.linkedin.com/feed/update/urn:li:activity:7374346315201404928</t>
    </r>
  </si>
  <si>
    <t>https://www.linkedin.com/feed/update/urn:li:activity:7375888868723666944</t>
  </si>
  <si>
    <t>130+</t>
  </si>
  <si>
    <t>Done</t>
  </si>
  <si>
    <t>SEMINAR</t>
  </si>
  <si>
    <t xml:space="preserve">THROUGH WHATSAPP </t>
  </si>
  <si>
    <t>https://www.linkedin.com/feed/update/urn:li:activity:7375562576895635457</t>
  </si>
  <si>
    <t>300+</t>
  </si>
  <si>
    <t>https://www.linkedin.com/feed/update/urn:li:activity:7382304785389027328</t>
  </si>
  <si>
    <t>https://www.linkedin.com/feed/update/urn:li:activity:7383546586867408899</t>
  </si>
  <si>
    <t>120+</t>
  </si>
  <si>
    <t>IIC SEMINAR</t>
  </si>
  <si>
    <t>https://www.instagram.com/p/DPqjIJvCEL-/</t>
  </si>
  <si>
    <t>100+</t>
  </si>
  <si>
    <t>https://www.instagram.com/p/DQwVatfDmAp/</t>
  </si>
  <si>
    <t>80+</t>
  </si>
  <si>
    <t>https://www.linkedin.com/feed/update/urn:li:activity:7393612423875952640</t>
  </si>
  <si>
    <r>
      <rPr>
        <rFont val="Arial"/>
        <color rgb="FF1155CC"/>
        <u/>
      </rPr>
      <t>https://www.linkedin.com/feed/update/urn:li:activity:7393992052247519232</t>
    </r>
    <r>
      <rPr>
        <rFont val="Arial"/>
        <color rgb="FF000000"/>
      </rPr>
      <t xml:space="preserve"> and </t>
    </r>
    <r>
      <rPr>
        <rFont val="Arial"/>
        <color rgb="FF1155CC"/>
        <u/>
      </rPr>
      <t>https://www.instagram.com/p/DQ6qw3dk_Dv/</t>
    </r>
  </si>
  <si>
    <t>Sponsers' Details</t>
  </si>
  <si>
    <t>Company</t>
  </si>
  <si>
    <t>Company Type</t>
  </si>
  <si>
    <t>Phone Number 1</t>
  </si>
  <si>
    <t>Phone Number 2</t>
  </si>
  <si>
    <t>Reachout Links</t>
  </si>
  <si>
    <t>Nilesh Jha</t>
  </si>
  <si>
    <t>Alchemist India</t>
  </si>
  <si>
    <t>Edtech</t>
  </si>
  <si>
    <t>Ed Management</t>
  </si>
  <si>
    <r>
      <rPr>
        <rFont val="Arial"/>
      </rPr>
      <t xml:space="preserve"> </t>
    </r>
    <r>
      <rPr>
        <rFont val="Arial"/>
        <color rgb="FF1155CC"/>
        <u/>
      </rPr>
      <t>https://www.linkedin.com/feed/update/urn:li:activity:7394353470331461633</t>
    </r>
    <r>
      <rPr>
        <rFont val="Arial"/>
      </rPr>
      <t xml:space="preserve"> and </t>
    </r>
    <r>
      <rPr>
        <rFont val="Arial"/>
        <color rgb="FF1155CC"/>
        <u/>
      </rPr>
      <t>http://instagram.com/p/DQ9OqljEyAC/</t>
    </r>
  </si>
  <si>
    <t>njha81@gmail.com</t>
  </si>
  <si>
    <t>Ria A.</t>
  </si>
  <si>
    <t>snakible</t>
  </si>
  <si>
    <t>Food and beverage</t>
  </si>
  <si>
    <t>Marketing Executive</t>
  </si>
  <si>
    <r>
      <rPr>
        <rFont val="Arial"/>
        <color rgb="FF1155CC"/>
        <u/>
      </rPr>
      <t>https://www.linkedin.com/posts/e-cell-itsec_postevent-skilldevelopment-careergrowth-activity-7396570424777560064-yaTh?utm_source=share&amp;utm_medium=member_desktop&amp;rcm=ACoAABqZ21YB1p9PaudK87UBRvY19NLgCfo7dAg</t>
    </r>
    <r>
      <rPr>
        <rFont val="Arial"/>
        <color rgb="FF000000"/>
      </rPr>
      <t xml:space="preserve"> and </t>
    </r>
    <r>
      <rPr>
        <rFont val="Arial"/>
        <color rgb="FF1155CC"/>
        <u/>
      </rPr>
      <t>https://www.instagram.com/p/DREy4L-gHz8/?utm_source=ig_web_copy_link&amp;igsh=MzRlODBiNWFlZA==</t>
    </r>
  </si>
  <si>
    <t>Nikita Aggarwal</t>
  </si>
  <si>
    <t>Happilo</t>
  </si>
  <si>
    <t>Marketing Head</t>
  </si>
  <si>
    <t>nikita.aggarwal1107@gmail.com</t>
  </si>
  <si>
    <t>Buman Dani</t>
  </si>
  <si>
    <t>wicked gud</t>
  </si>
  <si>
    <t>bhumangr8@gmail.com</t>
  </si>
  <si>
    <t>Monish Debnath</t>
  </si>
  <si>
    <t>CMO</t>
  </si>
  <si>
    <t>debnath.monish@gmail.com</t>
  </si>
  <si>
    <r>
      <rPr>
        <rFont val="Arial"/>
        <color rgb="FF1155CC"/>
        <u/>
      </rPr>
      <t>https://www.instagram.com/p/DQ_xQz6k7Tn/?utm_source=ig_web_copy_link&amp;igsh=MzRlODBiNWFlZA==</t>
    </r>
    <r>
      <rPr>
        <rFont val="Arial"/>
        <color rgb="FF000000"/>
      </rPr>
      <t xml:space="preserve"> and </t>
    </r>
    <r>
      <rPr>
        <rFont val="Arial"/>
        <color rgb="FF1155CC"/>
        <u/>
      </rPr>
      <t>https://www.linkedin.com/feed/update/urn:li:activity:7394675496497606656</t>
    </r>
  </si>
  <si>
    <t>Jasmine Kaur Sharda</t>
  </si>
  <si>
    <t>The Green Sanack co.</t>
  </si>
  <si>
    <t>Co-Founder</t>
  </si>
  <si>
    <t>jasmine@thegreensnackco.com</t>
  </si>
  <si>
    <t>Rohan Mirchandani</t>
  </si>
  <si>
    <t>Epigamia(Drum foods)</t>
  </si>
  <si>
    <t>rohan@drumsfood.com, rohan@epigamia.com</t>
  </si>
  <si>
    <t>Dolly Davda</t>
  </si>
  <si>
    <t>Bookmyshow</t>
  </si>
  <si>
    <r>
      <rPr>
        <rFont val="Arial"/>
        <color rgb="FF1155CC"/>
        <u/>
      </rPr>
      <t>https://www.instagram.com/p/DRPLE8DEhQ0/?utm_source=ig_web_copy_link&amp;igsh=MzRlODBiNWFlZA==</t>
    </r>
    <r>
      <rPr>
        <rFont val="Arial"/>
      </rPr>
      <t xml:space="preserve"> and </t>
    </r>
    <r>
      <rPr>
        <rFont val="Arial"/>
        <color rgb="FF1155CC"/>
        <u/>
      </rPr>
      <t>https://www.linkedin.com/posts/e-cell-itsec_postevent-itsengineering-cybersecurity-activity-7396875637744951296-GsFL?utm_source=share&amp;utm_medium=member_desktop&amp;rcm=ACoAABqZ21YB1p9PaudK87UBRvY19NLgCfo7dAg</t>
    </r>
  </si>
  <si>
    <t>Entertainment</t>
  </si>
  <si>
    <t>Head of Marketing</t>
  </si>
  <si>
    <t>dollydavda.0505@gmail.com</t>
  </si>
  <si>
    <t>Pawan Sarda</t>
  </si>
  <si>
    <t>Wingreens World</t>
  </si>
  <si>
    <t>pawansarda@yahoo.com</t>
  </si>
  <si>
    <t>Kushal Parwani</t>
  </si>
  <si>
    <t>The Souled Store</t>
  </si>
  <si>
    <t>Clothing</t>
  </si>
  <si>
    <t>Vice President</t>
  </si>
  <si>
    <t>kushal.parwani24@gmail.com</t>
  </si>
  <si>
    <t>Brinda Singh</t>
  </si>
  <si>
    <t>Rage Coffee</t>
  </si>
  <si>
    <t>Beverage</t>
  </si>
  <si>
    <t>PROJECTS EXHIBITION</t>
  </si>
  <si>
    <t>b213sep@gmail.com</t>
  </si>
  <si>
    <t>Apoorv Pandey</t>
  </si>
  <si>
    <r>
      <rPr>
        <rFont val="Arial"/>
        <color rgb="FF1155CC"/>
        <u/>
      </rPr>
      <t>https://www.instagram.com/p/DSEZjUmkX4Q/?utm_source=ig_web_copy_link&amp;igsh=MzRlODBiNWFlZA==</t>
    </r>
    <r>
      <rPr>
        <rFont val="Arial"/>
        <color rgb="FF000000"/>
      </rPr>
      <t xml:space="preserve"> and </t>
    </r>
    <r>
      <rPr>
        <rFont val="Arial"/>
        <color rgb="FF1155CC"/>
        <u/>
      </rPr>
      <t>https://www.linkedin.com/feed/update/urn:li:activity:7404373745923977217</t>
    </r>
  </si>
  <si>
    <t>Zomato</t>
  </si>
  <si>
    <t>Delivery</t>
  </si>
  <si>
    <t>AVP Marketing</t>
  </si>
  <si>
    <t>apoorv.pandey1990@gmail.com</t>
  </si>
  <si>
    <t>Shashank mehta</t>
  </si>
  <si>
    <t>The Whole Truth</t>
  </si>
  <si>
    <t>shashank.mehta.in@gmail.com, shashank@thewholetruthfoods.com</t>
  </si>
  <si>
    <t>55+</t>
  </si>
  <si>
    <t>Swapnil Desale</t>
  </si>
  <si>
    <t>BigBasket</t>
  </si>
  <si>
    <t>swapnil.s.desale@gmail.com</t>
  </si>
  <si>
    <r>
      <rPr>
        <rFont val="Arial"/>
        <color rgb="FF1155CC"/>
        <u/>
      </rPr>
      <t>https://www.linkedin.com/feed/update/urn:li:activity:7408530149652008961</t>
    </r>
    <r>
      <rPr>
        <rFont val="Arial"/>
      </rPr>
      <t xml:space="preserve"> and https://www.instagram.com/p/DSh97dIE4yD/?utm_source=ig_web_copy_link&amp;igsh=MzRlODBiNWFlZA==   </t>
    </r>
  </si>
  <si>
    <t>Chetan Siyal</t>
  </si>
  <si>
    <t>Snitch(.co.in)</t>
  </si>
  <si>
    <t>chetan.siyal@gmail.com, chetan@snitch.co.in</t>
  </si>
  <si>
    <t>Gaurav Verma</t>
  </si>
  <si>
    <t>PharmEasy</t>
  </si>
  <si>
    <t>Medicine Delivery</t>
  </si>
  <si>
    <r>
      <rPr>
        <rFont val="Arial"/>
        <color rgb="FF1155CC"/>
        <u/>
      </rPr>
      <t>https://www.instagram.com/p/DSmTyFWE5CX/?img_index=1</t>
    </r>
    <r>
      <rPr>
        <rFont val="Arial"/>
        <color rgb="FF000000"/>
      </rPr>
      <t xml:space="preserve"> and </t>
    </r>
    <r>
      <rPr>
        <rFont val="Arial"/>
        <color rgb="FF1155CC"/>
        <u/>
      </rPr>
      <t>https://www.linkedin.com/feed/update/urn:li:activity:7409141310982590464</t>
    </r>
  </si>
  <si>
    <t>gaurav.verma@pharmeasy.in, gauravv03@gmail.com</t>
  </si>
  <si>
    <t>30+</t>
  </si>
  <si>
    <t>Sushant Kumar</t>
  </si>
  <si>
    <t>Aakash Byjus</t>
  </si>
  <si>
    <t>sushant.iiml@gmail.com</t>
  </si>
  <si>
    <t>Yushika Jolly</t>
  </si>
  <si>
    <t>Paradyes</t>
  </si>
  <si>
    <r>
      <rPr>
        <rFont val="Arial"/>
        <color rgb="FF1155CC"/>
        <u/>
      </rPr>
      <t>https://www.instagram.com/p/DSnDNWpkxW9/</t>
    </r>
    <r>
      <rPr>
        <rFont val="Arial"/>
      </rPr>
      <t xml:space="preserve"> and </t>
    </r>
    <r>
      <rPr>
        <rFont val="Arial"/>
        <color rgb="FF1155CC"/>
        <u/>
      </rPr>
      <t>https://www.linkedin.com/feed/update/urn:li:activity:7409247275958530049</t>
    </r>
  </si>
  <si>
    <t>cosmetics and apparel</t>
  </si>
  <si>
    <t>yushika.j@gmail.com</t>
  </si>
  <si>
    <t>Avinash Medhe</t>
  </si>
  <si>
    <t>Girgit Studios</t>
  </si>
  <si>
    <t>avinash.medhe@girgitstudios.com</t>
  </si>
  <si>
    <t>bakinghappiness</t>
  </si>
  <si>
    <r>
      <rPr>
        <rFont val="Arial"/>
        <color rgb="FF000000"/>
      </rPr>
      <t xml:space="preserve"> </t>
    </r>
    <r>
      <rPr>
        <rFont val="Arial"/>
        <color rgb="FF1155CC"/>
        <u/>
      </rPr>
      <t>https://www.instagram.com/p/DSpzyJNk47A/?img_index=1</t>
    </r>
    <r>
      <rPr>
        <rFont val="Arial"/>
        <color rgb="FF000000"/>
      </rPr>
      <t xml:space="preserve"> and </t>
    </r>
    <r>
      <rPr>
        <rFont val="Arial"/>
        <color rgb="FF1155CC"/>
        <u/>
      </rPr>
      <t>https://www.linkedin.com/feed/update/urn:li:activity:7409633812223209472</t>
    </r>
  </si>
  <si>
    <r>
      <rPr>
        <rFont val="Times New Roman"/>
        <color rgb="FF1155CC"/>
        <sz val="11.0"/>
        <u/>
      </rPr>
      <t>https://www.instagram.com/__bakinghappiness_/</t>
    </r>
    <r>
      <rPr>
        <rFont val="Times New Roman"/>
        <color rgb="FF4A86E8"/>
        <sz val="11.0"/>
      </rPr>
      <t xml:space="preserve"> baking</t>
    </r>
  </si>
  <si>
    <r>
      <rPr>
        <rFont val="Arial"/>
        <color rgb="FF1155CC"/>
        <u/>
      </rPr>
      <t>https://www.facebook.com/share/p/1BTfw5uajL/</t>
    </r>
    <r>
      <rPr>
        <rFont val="Arial"/>
        <color rgb="FF000000"/>
      </rPr>
      <t xml:space="preserve">  and </t>
    </r>
    <r>
      <rPr>
        <rFont val="Arial"/>
        <color rgb="FF1155CC"/>
        <u/>
      </rPr>
      <t>https://x.com/ITSEC_NFED/status/2011691220897316923?s=20</t>
    </r>
    <r>
      <rPr>
        <rFont val="Arial"/>
        <color rgb="FF000000"/>
      </rPr>
      <t xml:space="preserve"> and </t>
    </r>
    <r>
      <rPr>
        <rFont val="Arial"/>
        <color rgb="FF1155CC"/>
        <u/>
      </rPr>
      <t>https://www.linkedin.com/posts/e-cell-itsec_celebrating-national-startup-day-2026-at-activity-7417459313532784641-BNN7?utm_source=share&amp;utm_medium=member_desktop&amp;rcm=ACoAAFKVhWUBh-qDXOjaZMuRSlwjFkHviJqbnTY</t>
    </r>
    <r>
      <rPr>
        <rFont val="Arial"/>
        <color rgb="FF000000"/>
      </rPr>
      <t xml:space="preserve">  and </t>
    </r>
    <r>
      <rPr>
        <rFont val="Arial"/>
        <color rgb="FF1155CC"/>
        <u/>
      </rPr>
      <t>https://www.instagram.com/p/DThZPnHEwoI/?utm_source=ig_web_copy_link&amp;igsh=MzRlODBiNWFlZA==</t>
    </r>
  </si>
  <si>
    <t>bemiracules</t>
  </si>
  <si>
    <t>hello@miracules.in</t>
  </si>
  <si>
    <t>https://www.instagram.com/bemiracules/</t>
  </si>
  <si>
    <t>bikanoworld</t>
  </si>
  <si>
    <r>
      <rPr>
        <rFont val="Arial"/>
        <color rgb="FF000000"/>
        <sz val="11.0"/>
        <u/>
      </rPr>
      <t>https://x.com/ITSEC_NFED/status/2012382009679823024?s=20</t>
    </r>
    <r>
      <rPr>
        <rFont val="Arial"/>
        <color rgb="FF000000"/>
        <sz val="11.0"/>
      </rPr>
      <t xml:space="preserve"> and </t>
    </r>
    <r>
      <rPr>
        <rFont val="Arial"/>
        <color rgb="FF1155CC"/>
        <sz val="11.0"/>
        <u/>
      </rPr>
      <t>https://www.instagram.com/p/DTmTNdEE7Sy/?utm_source=ig_web_copy_link&amp;igsh=MzRlODBiNWFlZA==</t>
    </r>
    <r>
      <rPr>
        <rFont val="Arial"/>
        <color rgb="FFE6E9EA"/>
        <sz val="11.0"/>
      </rPr>
      <t xml:space="preserve"> </t>
    </r>
    <r>
      <rPr>
        <rFont val="Arial"/>
        <color rgb="FF000000"/>
        <sz val="11.0"/>
      </rPr>
      <t>and</t>
    </r>
    <r>
      <rPr>
        <rFont val="Arial"/>
        <color rgb="FFE6E9EA"/>
        <sz val="11.0"/>
      </rPr>
      <t xml:space="preserve"> </t>
    </r>
    <r>
      <rPr>
        <rFont val="Arial"/>
        <color rgb="FF1155CC"/>
        <sz val="11.0"/>
        <u/>
      </rPr>
      <t>https://www.linkedin.com/posts/e-cell-itsec_workshop-build-for-bharatopportunities-in-activity-7418147331184721920-ttmi?utm_source=share&amp;utm_medium=member_desktop&amp;rcm=ACoAAFKVhWUBh-qDXOjaZMuRSlwjFkHviJqbnTY</t>
    </r>
    <r>
      <rPr>
        <rFont val="Arial"/>
        <color rgb="FFE6E9EA"/>
        <sz val="11.0"/>
      </rPr>
      <t xml:space="preserve"> </t>
    </r>
    <r>
      <rPr>
        <rFont val="Arial"/>
        <color rgb="FF000000"/>
        <sz val="11.0"/>
      </rPr>
      <t>and</t>
    </r>
    <r>
      <rPr>
        <rFont val="Arial"/>
        <color rgb="FFE6E9EA"/>
        <sz val="11.0"/>
      </rPr>
      <t xml:space="preserve"> </t>
    </r>
    <r>
      <rPr>
        <rFont val="Arial"/>
        <color rgb="FF1155CC"/>
        <sz val="11.0"/>
        <u/>
      </rPr>
      <t>https://www.facebook.com/share/p/19qf1ahyiU/</t>
    </r>
  </si>
  <si>
    <t>crm@bikanervala.com</t>
  </si>
  <si>
    <t>https://www.instagram.com/bikanoworld/</t>
  </si>
  <si>
    <t>/ranggat_an_art_from_soul</t>
  </si>
  <si>
    <t>ranggatanartfromsoul@gmail.com</t>
  </si>
  <si>
    <t>https://www.instagram.com/ranggat_an_art_from_soul/</t>
  </si>
  <si>
    <r>
      <rPr>
        <rFont val="Arial"/>
        <color rgb="FF1155CC"/>
        <u/>
      </rPr>
      <t>https://www.linkedin.com/feed/update/urn:li:activity:7424519350037987329</t>
    </r>
    <r>
      <rPr>
        <rFont val="Arial"/>
      </rPr>
      <t xml:space="preserve"> and </t>
    </r>
    <r>
      <rPr>
        <rFont val="Arial"/>
        <color rgb="FF1155CC"/>
        <u/>
      </rPr>
      <t>https://www.instagram.com/p/DUTlwDQE91h/</t>
    </r>
  </si>
  <si>
    <t>ensemble._official</t>
  </si>
  <si>
    <t>work.with.ensemble@gmail.com</t>
  </si>
  <si>
    <t>https://www.instagram.com/ensemble._official/</t>
  </si>
  <si>
    <r>
      <rPr>
        <rFont val="Arial"/>
      </rPr>
      <t xml:space="preserve">LinkedIn - &gt; </t>
    </r>
    <r>
      <rPr>
        <rFont val="Arial"/>
        <color rgb="FF1155CC"/>
        <u/>
      </rPr>
      <t>https://www.linkedin.com/posts/e-cell-itsec_we-are-delighted-to-share-that-india-ai-impact-activity-7425414165982240768-y1_5?utm_source=share&amp;utm_medium=member_desktop&amp;rcm=ACoAAFKVhWUBh-qDXOjaZMuRSlwjFkHviJqbnTY</t>
    </r>
    <r>
      <rPr>
        <rFont val="Arial"/>
      </rPr>
      <t xml:space="preserve"> and Instagram - &gt; </t>
    </r>
    <r>
      <rPr>
        <rFont val="Arial"/>
        <color rgb="FF1155CC"/>
        <u/>
      </rPr>
      <t>https://www.instagram.com/p/DUZ8HqVE5-i/?img_index=1</t>
    </r>
    <r>
      <rPr>
        <rFont val="Arial"/>
      </rPr>
      <t xml:space="preserve"> and 
Facebook -&gt; </t>
    </r>
    <r>
      <rPr>
        <rFont val="Arial"/>
        <color rgb="FF1155CC"/>
        <u/>
      </rPr>
      <t>https://www.facebook.com/share/p/1H1ymt63Fe/</t>
    </r>
    <r>
      <rPr>
        <rFont val="Arial"/>
      </rPr>
      <t xml:space="preserve">  X -&gt; </t>
    </r>
    <r>
      <rPr>
        <rFont val="Arial"/>
        <color rgb="FF1155CC"/>
        <u/>
      </rPr>
      <t>https://x.com/ITSEC_NFED/status/2019650343030968824?s=20</t>
    </r>
    <r>
      <rPr>
        <rFont val="Arial"/>
      </rPr>
      <t xml:space="preserve">  </t>
    </r>
  </si>
  <si>
    <t>shreyas.purple.drawer</t>
  </si>
  <si>
    <t>shreyaspurpledrawer@gmail.com</t>
  </si>
  <si>
    <t>https://www.instagram.com/shreyas.purple.drawer/</t>
  </si>
  <si>
    <t>200+</t>
  </si>
  <si>
    <t>punkanddisorderly_</t>
  </si>
  <si>
    <r>
      <rPr>
        <rFont val="Arial"/>
        <color rgb="FF1155CC"/>
        <u/>
      </rPr>
      <t>https://www.linkedin.com/feed/update/urn:li:activity:7431314539486289920</t>
    </r>
    <r>
      <rPr>
        <rFont val="Arial"/>
        <color rgb="FF000000"/>
      </rPr>
      <t xml:space="preserve"> and </t>
    </r>
    <r>
      <rPr>
        <rFont val="Arial"/>
        <color rgb="FF1155CC"/>
        <u/>
      </rPr>
      <t>https://www.instagram.com/p/DVDyDOBE2UL/?utm_source=ig_web_copy_link&amp;igsh=MzRlODBiNWFlZA==</t>
    </r>
    <r>
      <rPr>
        <rFont val="Arial"/>
        <color rgb="FF000000"/>
      </rPr>
      <t xml:space="preserve"> </t>
    </r>
  </si>
  <si>
    <t>donatenconnect@gmail.com</t>
  </si>
  <si>
    <t>https://www.instagram.com/punkanddisorderly_</t>
  </si>
  <si>
    <t>bonn_foods</t>
  </si>
  <si>
    <t xml:space="preserve">https://www.instagram.com/p/DVIFxj7DE4T/?utm_source=ig_web_copy_link&amp;igsh=MzRlODBiNWFlZA== and  https://www.linkedin.com/feed/update/urn:li:activity:7431944954450595840 </t>
  </si>
  <si>
    <t>bonn@bonn.in</t>
  </si>
  <si>
    <t>https://www.instagram.com/bonn_foods</t>
  </si>
  <si>
    <r>
      <rPr>
        <rFont val="Arial"/>
        <color rgb="FF1155CC"/>
        <u/>
      </rPr>
      <t>https://www.instagram.com/p/DVIFxj7DE4T/?utm_source=ig_web_copy_link&amp;igsh=MzRlODBiNWFlZA==</t>
    </r>
    <r>
      <rPr>
        <rFont val="Arial"/>
      </rPr>
      <t xml:space="preserve">= and  </t>
    </r>
    <r>
      <rPr>
        <rFont val="Arial"/>
        <color rgb="FF1155CC"/>
        <u/>
      </rPr>
      <t>https://www.linkedin.com/feed/update/urn:li:activity:7433155000840884224</t>
    </r>
  </si>
  <si>
    <t>slush</t>
  </si>
  <si>
    <t>slushcosmetics2022@gmail.com</t>
  </si>
  <si>
    <t>https://www.instagram.com/slush.co__/</t>
  </si>
  <si>
    <t>HOW TO APPROACH HACKATHONS - HACKATHON PREPARTAION &amp; CONSULTATION</t>
  </si>
  <si>
    <r>
      <rPr>
        <rFont val="Arial"/>
        <color rgb="FF1155CC"/>
        <u/>
      </rPr>
      <t>https://www.instagram.com/p/DVpchrGk85I/?utm_source=ig_web_copy_link&amp;igsh=MzRlODBiNWFlZA==</t>
    </r>
    <r>
      <rPr>
        <rFont val="Arial"/>
      </rPr>
      <t xml:space="preserve"> and </t>
    </r>
    <r>
      <rPr>
        <rFont val="Arial"/>
        <color rgb="FF1155CC"/>
        <u/>
      </rPr>
      <t>https://www.linkedin.com/feed/update/urn:li:activity:7436602919711293440</t>
    </r>
    <r>
      <rPr>
        <rFont val="Arial"/>
      </rPr>
      <t xml:space="preserve"> </t>
    </r>
  </si>
  <si>
    <t>50+</t>
  </si>
  <si>
    <t>evince_infowraps</t>
  </si>
  <si>
    <t>coffee@simplyevince.com</t>
  </si>
  <si>
    <t>https://www.instagram.com/evince_infowraps/</t>
  </si>
  <si>
    <t>bunkpages</t>
  </si>
  <si>
    <t>support@aopc.in</t>
  </si>
  <si>
    <t>https://www.instagram.com/bunkpages/</t>
  </si>
  <si>
    <t>twirl_n_taste</t>
  </si>
  <si>
    <t>twirl.n.taste@gmail.com</t>
  </si>
  <si>
    <t>https://www.instagram.com/twirl_n_taste/</t>
  </si>
  <si>
    <t>Rishabh sharma</t>
  </si>
  <si>
    <t>Alyke</t>
  </si>
  <si>
    <t>contact@joinalyke.com</t>
  </si>
  <si>
    <t>Alok</t>
  </si>
  <si>
    <t>Bookchor</t>
  </si>
  <si>
    <t>Naresh</t>
  </si>
  <si>
    <t>Scrollingbee</t>
  </si>
  <si>
    <t>86521 67872</t>
  </si>
  <si>
    <t>nareshsbc@gmail.com</t>
  </si>
  <si>
    <t>VCcircle</t>
  </si>
  <si>
    <t>Involead</t>
  </si>
  <si>
    <t>Rooter</t>
  </si>
  <si>
    <t>Shivangi</t>
  </si>
  <si>
    <t>Prepinsta</t>
  </si>
  <si>
    <t>mayank sureka</t>
  </si>
  <si>
    <t>Vaeral</t>
  </si>
  <si>
    <t>mayank@vaeral.com</t>
  </si>
  <si>
    <t>Koed</t>
  </si>
  <si>
    <t>info@koed.in</t>
  </si>
  <si>
    <t>Actuators educational institute</t>
  </si>
  <si>
    <t>00598543 8582908949 9830953113 96745283</t>
  </si>
  <si>
    <t>actuatorskolkata@gmail.com</t>
  </si>
  <si>
    <t>Medical Mentor</t>
  </si>
  <si>
    <t>aishwarya</t>
  </si>
  <si>
    <t>BoostGrad</t>
  </si>
  <si>
    <t>support@boostgrad.com / aishwaryapwr2022@gmail.com</t>
  </si>
  <si>
    <t>Teamology</t>
  </si>
  <si>
    <t>pr@theteamology.com</t>
  </si>
  <si>
    <t>PROSERVE INC</t>
  </si>
  <si>
    <t>76765 71935</t>
  </si>
  <si>
    <t>info@proserveinc.in</t>
  </si>
  <si>
    <t>career launcher</t>
  </si>
  <si>
    <t>92899 11869</t>
  </si>
  <si>
    <t>Dripfit</t>
  </si>
  <si>
    <t>88103 87483</t>
  </si>
  <si>
    <t>Sujoy Ganguly</t>
  </si>
  <si>
    <t>GMR sports</t>
  </si>
  <si>
    <t>sujoy.ganguly76@gmail.com</t>
  </si>
  <si>
    <t>so delhi</t>
  </si>
  <si>
    <t>instax fujifim</t>
  </si>
  <si>
    <t>instax@fujifilm.com</t>
  </si>
  <si>
    <t>Vidhu Jain</t>
  </si>
  <si>
    <t>CosIQ</t>
  </si>
  <si>
    <t>care@mycosiq.com</t>
  </si>
  <si>
    <t>Rajesh Sachdev</t>
  </si>
  <si>
    <t>CodingBlocks</t>
  </si>
  <si>
    <t>rajesh@codingblocks.com</t>
  </si>
  <si>
    <t>Karndeep Sharma</t>
  </si>
  <si>
    <t>Nodwin Gaming</t>
  </si>
  <si>
    <t>karndeep.sharma@nodwin.com</t>
  </si>
  <si>
    <t>Subramani BN</t>
  </si>
  <si>
    <t>Think24in</t>
  </si>
  <si>
    <t>Zepto</t>
  </si>
  <si>
    <t>support@zeptonow.com</t>
  </si>
  <si>
    <t>Cuemath</t>
  </si>
  <si>
    <t>Newstartup</t>
  </si>
  <si>
    <t>Questers</t>
  </si>
  <si>
    <t>Ria</t>
  </si>
  <si>
    <t>Snackible</t>
  </si>
  <si>
    <t>Snitch</t>
  </si>
  <si>
    <t>chetan.siyal@gmail.com</t>
  </si>
  <si>
    <t>abhishek ranjan</t>
  </si>
  <si>
    <t>Schmooze</t>
  </si>
  <si>
    <t>ranjan.abhi.21@gmail.com</t>
  </si>
  <si>
    <t>Tarang Shah</t>
  </si>
  <si>
    <t>Bummer</t>
  </si>
  <si>
    <t>ola electric</t>
  </si>
  <si>
    <t>sugitha_mohan@yahoo.co.in</t>
  </si>
  <si>
    <t>swati</t>
  </si>
  <si>
    <t>sportsbuzz</t>
  </si>
  <si>
    <t>swati@howkecommerce.com</t>
  </si>
  <si>
    <t>Wicked Gud</t>
  </si>
  <si>
    <t>Gaurav verma</t>
  </si>
  <si>
    <t>Pharmeasy</t>
  </si>
  <si>
    <t>gaurav.verma@pharmeasy.in</t>
  </si>
  <si>
    <t>Bigbasket</t>
  </si>
  <si>
    <t xml:space="preserve">BOOZ(Electric Scooters) </t>
  </si>
  <si>
    <t>get.high@boozmobility.com</t>
  </si>
  <si>
    <t>Slush</t>
  </si>
  <si>
    <t>clicks bazar</t>
  </si>
  <si>
    <t>lic</t>
  </si>
  <si>
    <t>91-22-68276827</t>
  </si>
  <si>
    <t>Baking Happiness</t>
  </si>
  <si>
    <t>The souled store</t>
  </si>
  <si>
    <t>pradeep</t>
  </si>
  <si>
    <t>adventure island</t>
  </si>
  <si>
    <t>marketing@adventureisland.in</t>
  </si>
  <si>
    <t>Sudharshan Balraman</t>
  </si>
  <si>
    <t>Practo</t>
  </si>
  <si>
    <t>Gurpriya Sidhu</t>
  </si>
  <si>
    <t>leap scholar</t>
  </si>
  <si>
    <t>Hemant vasudevan</t>
  </si>
  <si>
    <t>Ninjacart</t>
  </si>
  <si>
    <t>aishwarya desai</t>
  </si>
  <si>
    <t>Rapido</t>
  </si>
  <si>
    <t>william singh</t>
  </si>
  <si>
    <t>royal enfield</t>
  </si>
  <si>
    <t>gate coach</t>
  </si>
  <si>
    <t>delhi.tge@gmail.com</t>
  </si>
  <si>
    <t>roms pizza</t>
  </si>
  <si>
    <t>info@romspizza.com</t>
  </si>
  <si>
    <t>ather</t>
  </si>
  <si>
    <t>chai point</t>
  </si>
  <si>
    <t>Indrani Sarma</t>
  </si>
  <si>
    <t>Hungama</t>
  </si>
  <si>
    <t>Aayush Arora</t>
  </si>
  <si>
    <t>BRB chips</t>
  </si>
  <si>
    <t>skippi ice pops</t>
  </si>
  <si>
    <t>hello@skippi.in</t>
  </si>
  <si>
    <t>Philips</t>
  </si>
  <si>
    <t>rohita.chaudhary@philips.com</t>
  </si>
  <si>
    <t>carlsberg group</t>
  </si>
  <si>
    <t>saurabhsuman87@gmail.com</t>
  </si>
  <si>
    <t>no broker</t>
  </si>
  <si>
    <t>flyhighpilot@gmail.com</t>
  </si>
  <si>
    <t>9xm</t>
  </si>
  <si>
    <t>club@9xm.in</t>
  </si>
  <si>
    <t>Keshav</t>
  </si>
  <si>
    <t>TopOnePercent</t>
  </si>
  <si>
    <t>Mivi</t>
  </si>
  <si>
    <t>Ubon</t>
  </si>
  <si>
    <t>Sanfe</t>
  </si>
  <si>
    <t>archit@sanfe.in</t>
  </si>
  <si>
    <t>vlcc international</t>
  </si>
  <si>
    <t>Mentoria</t>
  </si>
  <si>
    <t>Yhills</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</si>
</sst>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mm\-dd\-yyyy"/>
    <numFmt numFmtId="165" formatCode="mm-dd-yyyy"/>
    <numFmt numFmtId="166" formatCode="yyyy-mm-dd"/>
    <numFmt numFmtId="167" formatCode="m\-d\-yyyy"/>
    <numFmt numFmtId="168" formatCode="mm-dd-yy"/>
    <numFmt numFmtId="169" formatCode="m-d-yyyy"/>
    <numFmt numFmtId="170" formatCode="M/d/yyyy"/>
    <numFmt numFmtId="171" formatCode="mm/dd/yy"/>
    <numFmt numFmtId="172" formatCode="mm/dd/yyyy"/>
    <numFmt numFmtId="173" formatCode="&quot;₹&quot;\ #,##0.00"/>
    <numFmt numFmtId="174" formatCode="d mmm yyyy"/>
    <numFmt numFmtId="175" formatCode="d mmmm yyyy"/>
    <numFmt numFmtId="176" formatCode="mmmm d yyyy"/>
    <numFmt numFmtId="177" formatCode="mmm d yyyy"/>
    <numFmt numFmtId="178" formatCode="d-mmm-yy"/>
    <numFmt numFmtId="179" formatCode="m/d/yyyy\ h:mm:ss"/>
    <numFmt numFmtId="180" formatCode="_ * #,##0.00_ ;_ * \-#,##0.00_ ;_ * &quot;-&quot;??_ ;_ @_ "/>
    <numFmt numFmtId="181" formatCode="m/d/yyyy h:mm:ss"/>
  </numFmts>
  <fonts count="83">
    <font>
      <sz val="10.0"/>
      <color rgb="FF000000"/>
      <name val="Arial"/>
      <scheme val="minor"/>
    </font>
    <font>
      <b/>
      <sz val="12.0"/>
      <color rgb="FFFFFFFF"/>
      <name val="Calibri"/>
    </font>
    <font>
      <b/>
      <sz val="18.0"/>
      <color theme="1"/>
      <name val="Calibri"/>
    </font>
    <font/>
    <font>
      <b/>
      <sz val="22.0"/>
      <color theme="1"/>
      <name val="Calibri"/>
    </font>
    <font>
      <b/>
      <sz val="11.0"/>
      <color theme="1"/>
      <name val="Calibri"/>
    </font>
    <font>
      <color theme="1"/>
      <name val="Arial"/>
    </font>
    <font>
      <sz val="11.0"/>
      <color theme="1"/>
      <name val="Calibri"/>
    </font>
    <font>
      <sz val="12.0"/>
      <color theme="1"/>
      <name val="Calibri"/>
    </font>
    <font>
      <b/>
      <u/>
      <sz val="22.0"/>
      <color theme="1"/>
      <name val="Calibri"/>
    </font>
    <font>
      <b/>
      <sz val="12.0"/>
      <color theme="1"/>
      <name val="Calibri"/>
    </font>
    <font>
      <u/>
      <sz val="12.0"/>
      <color rgb="FF0000FF"/>
      <name val="Calibri"/>
    </font>
    <font>
      <sz val="12.0"/>
      <color rgb="FF1F1F1F"/>
      <name val="Calibri"/>
    </font>
    <font>
      <u/>
      <sz val="11.0"/>
      <color rgb="FF1155CC"/>
      <name val="Calibri"/>
    </font>
    <font>
      <color rgb="FF212529"/>
      <name val="Arial"/>
    </font>
    <font>
      <sz val="11.0"/>
      <color theme="1"/>
      <name val="Arial"/>
    </font>
    <font>
      <u/>
      <sz val="11.0"/>
      <color rgb="FF0000FF"/>
      <name val="Calibri"/>
    </font>
    <font>
      <b/>
      <sz val="14.0"/>
      <color theme="1"/>
      <name val="Calibri"/>
    </font>
    <font>
      <sz val="12.0"/>
      <color rgb="FF434343"/>
      <name val="Calibri"/>
    </font>
    <font>
      <u/>
      <sz val="11.0"/>
      <color rgb="FF0000FF"/>
      <name val="Calibri"/>
    </font>
    <font>
      <sz val="12.0"/>
      <color rgb="FF222222"/>
      <name val="Calibri"/>
    </font>
    <font>
      <sz val="12.0"/>
      <color rgb="FF202124"/>
      <name val="Calibri"/>
    </font>
    <font>
      <sz val="11.0"/>
      <color rgb="FF212529"/>
      <name val="Calibri"/>
    </font>
    <font>
      <u/>
      <sz val="11.0"/>
      <color rgb="FF0563C1"/>
      <name val="Calibri"/>
    </font>
    <font>
      <u/>
      <sz val="11.0"/>
      <color rgb="FF0563C1"/>
      <name val="Calibri"/>
    </font>
    <font>
      <sz val="12.0"/>
      <color rgb="FF333333"/>
      <name val="Calibri"/>
    </font>
    <font>
      <u/>
      <sz val="11.0"/>
      <color rgb="FF0563C1"/>
      <name val="Calibri"/>
    </font>
    <font>
      <sz val="11.0"/>
      <color rgb="FF08113B"/>
      <name val="Calibri"/>
    </font>
    <font>
      <i/>
      <sz val="12.0"/>
      <color theme="1"/>
      <name val="Calibri"/>
    </font>
    <font>
      <sz val="12.0"/>
      <color theme="1"/>
      <name val="Times New Roman"/>
    </font>
    <font>
      <sz val="11.0"/>
      <color theme="1"/>
      <name val="Arial"/>
      <scheme val="minor"/>
    </font>
    <font>
      <sz val="11.0"/>
      <color rgb="FF212529"/>
      <name val="Inter"/>
    </font>
    <font>
      <u/>
      <sz val="11.0"/>
      <color rgb="FF0000FF"/>
      <name val="Calibri"/>
    </font>
    <font>
      <u/>
      <sz val="11.0"/>
      <color theme="1"/>
      <name val="Calibri"/>
    </font>
    <font>
      <color theme="1"/>
      <name val="Arial"/>
      <scheme val="minor"/>
    </font>
    <font>
      <u/>
      <sz val="11.0"/>
      <color rgb="FF0563C1"/>
      <name val="Calibri"/>
    </font>
    <font>
      <b/>
      <sz val="16.0"/>
      <color theme="1"/>
      <name val="Calibri"/>
    </font>
    <font>
      <b/>
      <sz val="15.0"/>
      <color theme="1"/>
      <name val="Calibri"/>
    </font>
    <font>
      <u/>
      <sz val="11.0"/>
      <color rgb="FF0563C1"/>
      <name val="Calibri"/>
    </font>
    <font>
      <u/>
      <color rgb="FF1155CC"/>
      <name val="Arial"/>
    </font>
    <font>
      <u/>
      <color theme="1"/>
      <name val="Arial"/>
    </font>
    <font>
      <b/>
      <sz val="12.0"/>
      <color theme="1"/>
      <name val="Arial"/>
    </font>
    <font>
      <sz val="12.0"/>
      <color theme="1"/>
      <name val="Arial"/>
    </font>
    <font>
      <u/>
      <sz val="12.0"/>
      <color rgb="FF0563C1"/>
      <name val="Arial"/>
    </font>
    <font>
      <color theme="1"/>
      <name val="Times New Roman"/>
    </font>
    <font>
      <b/>
      <sz val="12.0"/>
      <color rgb="FF333333"/>
      <name val="Calibri"/>
    </font>
    <font>
      <sz val="11.0"/>
      <color rgb="FF000000"/>
      <name val="Times New Roman"/>
    </font>
    <font>
      <color rgb="FF000000"/>
      <name val="Times New Roman"/>
    </font>
    <font>
      <sz val="9.0"/>
      <color rgb="FF000000"/>
      <name val="Times New Roman"/>
    </font>
    <font>
      <b/>
      <color theme="1"/>
      <name val="Arial"/>
      <scheme val="minor"/>
    </font>
    <font>
      <u/>
      <color rgb="FF0000FF"/>
    </font>
    <font>
      <u/>
      <color rgb="FF0000FF"/>
    </font>
    <font>
      <u/>
      <sz val="11.0"/>
      <color rgb="FF000000"/>
      <name val="-apple-system"/>
    </font>
    <font>
      <u/>
      <sz val="11.0"/>
      <color rgb="FF000000"/>
      <name val="-apple-system"/>
    </font>
    <font>
      <sz val="11.0"/>
      <color rgb="FF000000"/>
      <name val="Arial"/>
    </font>
    <font>
      <sz val="11.0"/>
      <color rgb="FF000000"/>
      <name val="-apple-system"/>
    </font>
    <font>
      <sz val="12.0"/>
      <color rgb="FF000000"/>
      <name val="System-ui"/>
    </font>
    <font>
      <sz val="12.0"/>
      <color rgb="FF000000"/>
      <name val="Arial"/>
    </font>
    <font>
      <sz val="14.0"/>
      <color theme="1"/>
      <name val="Calibri"/>
    </font>
    <font>
      <b/>
      <sz val="14.0"/>
      <color theme="1"/>
      <name val="Arial"/>
    </font>
    <font>
      <u/>
      <sz val="12.0"/>
      <color rgb="FF0563C1"/>
      <name val="Arial"/>
    </font>
    <font>
      <u/>
      <sz val="12.0"/>
      <color rgb="FF0563C1"/>
      <name val="Arial"/>
    </font>
    <font>
      <u/>
      <sz val="12.0"/>
      <color rgb="FF0563C1"/>
      <name val="Arial"/>
    </font>
    <font>
      <u/>
      <sz val="12.0"/>
      <color rgb="FF0563C1"/>
      <name val="Arial"/>
    </font>
    <font>
      <b/>
      <sz val="12.0"/>
      <color theme="1"/>
      <name val="Times New Roman"/>
    </font>
    <font>
      <u/>
      <sz val="14.0"/>
      <color rgb="FF0563C1"/>
      <name val="Calibri"/>
    </font>
    <font>
      <u/>
      <sz val="14.0"/>
      <color rgb="FF0563C1"/>
      <name val="Calibri"/>
    </font>
    <font>
      <b/>
      <sz val="11.0"/>
      <color theme="1"/>
      <name val="Times New Roman"/>
    </font>
    <font>
      <sz val="11.0"/>
      <color theme="1"/>
      <name val="Times New Roman"/>
    </font>
    <font>
      <b/>
      <color theme="1"/>
      <name val="Arial"/>
    </font>
    <font>
      <u/>
      <color rgb="FF1155CC"/>
      <name val="Arial"/>
    </font>
    <font>
      <color rgb="FFFF0000"/>
      <name val="Arial"/>
    </font>
    <font>
      <u/>
      <color rgb="FFFF0000"/>
      <name val="Arial"/>
    </font>
    <font>
      <b/>
      <sz val="16.0"/>
      <color theme="1"/>
      <name val="Arial"/>
    </font>
    <font>
      <b/>
      <sz val="11.0"/>
      <color theme="1"/>
      <name val="Arial"/>
    </font>
    <font>
      <u/>
      <sz val="11.0"/>
      <color rgb="FF0563C1"/>
      <name val="Calibri"/>
    </font>
    <font>
      <u/>
      <color rgb="FF1155CC"/>
      <name val="Arial"/>
    </font>
    <font>
      <sz val="11.0"/>
      <color rgb="FF212529"/>
      <name val="Arial"/>
    </font>
    <font>
      <u/>
      <color rgb="FF0000FF"/>
      <name val="Arial"/>
    </font>
    <font>
      <u/>
      <color rgb="FF0000FF"/>
      <name val="Arial"/>
    </font>
    <font>
      <u/>
      <sz val="11.0"/>
      <color rgb="FF4A86E8"/>
      <name val="Times New Roman"/>
    </font>
    <font>
      <u/>
      <sz val="11.0"/>
      <color rgb="FF1155CC"/>
      <name val="Times New Roman"/>
    </font>
    <font>
      <u/>
      <sz val="11.0"/>
      <color rgb="FFE6E9EA"/>
      <name val="TwitterChirp"/>
    </font>
  </fonts>
  <fills count="14">
    <fill>
      <patternFill patternType="none"/>
    </fill>
    <fill>
      <patternFill patternType="lightGray"/>
    </fill>
    <fill>
      <patternFill patternType="solid">
        <fgColor rgb="FFC0504D"/>
        <bgColor rgb="FFC0504D"/>
      </patternFill>
    </fill>
    <fill>
      <patternFill patternType="solid">
        <fgColor rgb="FF00FFFF"/>
        <bgColor rgb="FF00FFFF"/>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F8F9FA"/>
        <bgColor rgb="FFF8F9FA"/>
      </patternFill>
    </fill>
    <fill>
      <patternFill patternType="solid">
        <fgColor rgb="FFFF6600"/>
        <bgColor rgb="FFFF6600"/>
      </patternFill>
    </fill>
    <fill>
      <patternFill patternType="solid">
        <fgColor rgb="FFD9D9D9"/>
        <bgColor rgb="FFD9D9D9"/>
      </patternFill>
    </fill>
    <fill>
      <patternFill patternType="solid">
        <fgColor rgb="FFFFC000"/>
        <bgColor rgb="FFFFC000"/>
      </patternFill>
    </fill>
    <fill>
      <patternFill patternType="solid">
        <fgColor rgb="FF00FF00"/>
        <bgColor rgb="FF00FF00"/>
      </patternFill>
    </fill>
    <fill>
      <patternFill patternType="solid">
        <fgColor rgb="FFFF9900"/>
        <bgColor rgb="FFFF9900"/>
      </patternFill>
    </fill>
    <fill>
      <patternFill patternType="solid">
        <fgColor rgb="FFFCE5CD"/>
        <bgColor rgb="FFFCE5CD"/>
      </patternFill>
    </fill>
  </fills>
  <borders count="3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top style="thin">
        <color rgb="FF000000"/>
      </top>
      <bottom style="thin">
        <color rgb="FF000000"/>
      </bottom>
    </border>
    <border>
      <right/>
      <top style="thin">
        <color rgb="FF000000"/>
      </top>
      <bottom style="thin">
        <color rgb="FF000000"/>
      </bottom>
    </border>
    <border>
      <left/>
      <right style="thin">
        <color rgb="FF000000"/>
      </right>
      <top style="thin">
        <color rgb="FF000000"/>
      </top>
      <bottom style="thin">
        <color rgb="FF000000"/>
      </bottom>
    </border>
    <border>
      <bottom style="thin">
        <color rgb="FF000000"/>
      </bottom>
    </border>
    <border>
      <right style="thin">
        <color rgb="FF000000"/>
      </right>
    </border>
    <border>
      <right style="thin">
        <color rgb="FF000000"/>
      </right>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bottom style="medium">
        <color rgb="FFBFBFBF"/>
      </bottom>
    </border>
    <border>
      <left style="medium">
        <color rgb="FFBFBFBF"/>
      </left>
      <right style="medium">
        <color rgb="FFBFBFBF"/>
      </right>
      <top style="medium">
        <color rgb="FFBFBFBF"/>
      </top>
      <bottom style="medium">
        <color rgb="FFBFBFBF"/>
      </bottom>
    </border>
    <border>
      <right style="medium">
        <color rgb="FFBFBFBF"/>
      </right>
      <top style="medium">
        <color rgb="FFBFBFBF"/>
      </top>
      <bottom style="medium">
        <color rgb="FFBFBFBF"/>
      </bottom>
    </border>
    <border>
      <left style="medium">
        <color rgb="FFBFBFBF"/>
      </left>
      <right style="medium">
        <color rgb="FFBFBFBF"/>
      </right>
      <bottom style="medium">
        <color rgb="FFBFBFBF"/>
      </bottom>
    </border>
    <border>
      <right style="medium">
        <color rgb="FFBFBFBF"/>
      </right>
      <bottom style="medium">
        <color rgb="FFBFBFBF"/>
      </bottom>
    </border>
  </borders>
  <cellStyleXfs count="1">
    <xf borderId="0" fillId="0" fontId="0" numFmtId="0" applyAlignment="1" applyFont="1"/>
  </cellStyleXfs>
  <cellXfs count="29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Alignment="1" applyBorder="1" applyFont="1">
      <alignment horizontal="center" shrinkToFit="0" wrapText="1"/>
    </xf>
    <xf borderId="3" fillId="0" fontId="3" numFmtId="0" xfId="0" applyBorder="1" applyFont="1"/>
    <xf borderId="2" fillId="0" fontId="4" numFmtId="49" xfId="0" applyAlignment="1" applyBorder="1" applyFont="1" applyNumberFormat="1">
      <alignment horizontal="center" shrinkToFit="0" vertical="center" wrapText="1"/>
    </xf>
    <xf borderId="4" fillId="0" fontId="3" numFmtId="0" xfId="0" applyBorder="1" applyFont="1"/>
    <xf borderId="2" fillId="3" fontId="5" numFmtId="0" xfId="0" applyAlignment="1" applyBorder="1" applyFill="1" applyFont="1">
      <alignment horizontal="center" shrinkToFit="0" vertical="center" wrapText="1"/>
    </xf>
    <xf borderId="0" fillId="0" fontId="6" numFmtId="49" xfId="0" applyAlignment="1" applyFont="1" applyNumberFormat="1">
      <alignment horizontal="center" shrinkToFit="0" vertical="center" wrapText="1"/>
    </xf>
    <xf borderId="1" fillId="2" fontId="1" numFmtId="0" xfId="0" applyAlignment="1" applyBorder="1" applyFont="1">
      <alignment horizontal="center" readingOrder="0" shrinkToFit="0" vertical="center" wrapText="1"/>
    </xf>
    <xf borderId="0" fillId="0" fontId="7" numFmtId="0" xfId="0" applyFont="1"/>
    <xf borderId="1" fillId="0" fontId="8" numFmtId="0" xfId="0" applyAlignment="1" applyBorder="1" applyFont="1">
      <alignment horizontal="center" shrinkToFit="0" vertical="center" wrapText="1"/>
    </xf>
    <xf borderId="1" fillId="4" fontId="5" numFmtId="0" xfId="0" applyAlignment="1" applyBorder="1" applyFill="1" applyFont="1">
      <alignment horizontal="center" shrinkToFit="0" vertical="center" wrapText="1"/>
    </xf>
    <xf borderId="2" fillId="0" fontId="8" numFmtId="0" xfId="0" applyAlignment="1" applyBorder="1" applyFont="1">
      <alignment horizontal="center" shrinkToFit="0" vertical="center" wrapText="1"/>
    </xf>
    <xf borderId="1" fillId="0" fontId="8" numFmtId="164" xfId="0" applyAlignment="1" applyBorder="1" applyFont="1" applyNumberFormat="1">
      <alignment horizontal="center" shrinkToFit="0" vertical="center" wrapText="1"/>
    </xf>
    <xf borderId="1" fillId="0" fontId="6" numFmtId="49" xfId="0" applyAlignment="1" applyBorder="1" applyFont="1" applyNumberFormat="1">
      <alignment horizontal="center" shrinkToFit="0" vertical="center" wrapText="1"/>
    </xf>
    <xf borderId="2" fillId="0" fontId="9" numFmtId="49" xfId="0" applyAlignment="1" applyBorder="1" applyFont="1" applyNumberFormat="1">
      <alignment horizontal="center" shrinkToFit="0" vertical="center" wrapText="1"/>
    </xf>
    <xf borderId="1" fillId="0" fontId="10" numFmtId="0" xfId="0" applyAlignment="1" applyBorder="1" applyFont="1">
      <alignment horizontal="center" shrinkToFit="0" wrapText="1"/>
    </xf>
    <xf borderId="1" fillId="0" fontId="7" numFmtId="0" xfId="0" applyAlignment="1" applyBorder="1" applyFont="1">
      <alignment horizontal="center" shrinkToFit="0" vertical="center" wrapText="1"/>
    </xf>
    <xf borderId="1" fillId="0" fontId="10" numFmtId="49" xfId="0" applyAlignment="1" applyBorder="1" applyFont="1" applyNumberFormat="1">
      <alignment horizontal="center" shrinkToFit="0" vertical="center" wrapText="1"/>
    </xf>
    <xf borderId="2" fillId="0" fontId="10" numFmtId="49" xfId="0" applyAlignment="1" applyBorder="1" applyFont="1" applyNumberFormat="1">
      <alignment horizontal="center" shrinkToFit="0" vertical="center" wrapText="1"/>
    </xf>
    <xf borderId="1" fillId="0" fontId="11" numFmtId="0" xfId="0" applyAlignment="1" applyBorder="1" applyFont="1">
      <alignment horizontal="center" shrinkToFit="0" vertical="center" wrapText="1"/>
    </xf>
    <xf borderId="1" fillId="0" fontId="7" numFmtId="0" xfId="0" applyAlignment="1" applyBorder="1" applyFont="1">
      <alignment horizontal="center" shrinkToFit="0" wrapText="1"/>
    </xf>
    <xf borderId="1" fillId="0" fontId="5" numFmtId="0" xfId="0" applyAlignment="1" applyBorder="1" applyFont="1">
      <alignment horizontal="center" shrinkToFit="0" wrapText="1"/>
    </xf>
    <xf borderId="1" fillId="5" fontId="12" numFmtId="49" xfId="0" applyAlignment="1" applyBorder="1" applyFill="1" applyFont="1" applyNumberFormat="1">
      <alignment horizontal="center" shrinkToFit="0" vertical="center" wrapText="1"/>
    </xf>
    <xf borderId="1" fillId="0" fontId="8" numFmtId="49" xfId="0" applyAlignment="1" applyBorder="1" applyFont="1" applyNumberFormat="1">
      <alignment horizontal="center" shrinkToFit="0" vertical="center" wrapText="1"/>
    </xf>
    <xf borderId="1" fillId="0" fontId="13" numFmtId="0" xfId="0" applyAlignment="1" applyBorder="1" applyFont="1">
      <alignment horizontal="center" shrinkToFit="0" vertical="center" wrapText="1"/>
    </xf>
    <xf borderId="1" fillId="0" fontId="7" numFmtId="0" xfId="0" applyBorder="1" applyFont="1"/>
    <xf borderId="1" fillId="0" fontId="7" numFmtId="165" xfId="0" applyAlignment="1" applyBorder="1" applyFont="1" applyNumberFormat="1">
      <alignment horizontal="center" shrinkToFit="0" vertical="center" wrapText="1"/>
    </xf>
    <xf borderId="1" fillId="0" fontId="14" numFmtId="0" xfId="0" applyAlignment="1" applyBorder="1" applyFont="1">
      <alignment horizontal="center" shrinkToFit="0" wrapText="1"/>
    </xf>
    <xf borderId="1" fillId="0" fontId="15" numFmtId="0" xfId="0" applyAlignment="1" applyBorder="1" applyFont="1">
      <alignment horizontal="center" shrinkToFit="0" vertical="center" wrapText="1"/>
    </xf>
    <xf borderId="2" fillId="0" fontId="8" numFmtId="49" xfId="0" applyAlignment="1" applyBorder="1" applyFont="1" applyNumberFormat="1">
      <alignment horizontal="center" shrinkToFit="0" vertical="center" wrapText="1"/>
    </xf>
    <xf borderId="1" fillId="0" fontId="16" numFmtId="0" xfId="0" applyAlignment="1" applyBorder="1" applyFont="1">
      <alignment horizontal="center" shrinkToFit="0" vertical="center" wrapText="1"/>
    </xf>
    <xf borderId="1" fillId="5" fontId="8" numFmtId="49" xfId="0" applyAlignment="1" applyBorder="1" applyFont="1" applyNumberFormat="1">
      <alignment horizontal="center" shrinkToFit="0" vertical="center" wrapText="1"/>
    </xf>
    <xf borderId="1" fillId="5" fontId="6" numFmtId="49" xfId="0" applyAlignment="1" applyBorder="1" applyFont="1" applyNumberFormat="1">
      <alignment horizontal="center" shrinkToFit="0" vertical="center" wrapText="1"/>
    </xf>
    <xf borderId="1" fillId="0" fontId="7" numFmtId="166" xfId="0" applyAlignment="1" applyBorder="1" applyFont="1" applyNumberFormat="1">
      <alignment horizontal="center" shrinkToFit="0" vertical="center" wrapText="1"/>
    </xf>
    <xf borderId="1" fillId="0" fontId="8" numFmtId="167" xfId="0" applyAlignment="1" applyBorder="1" applyFont="1" applyNumberFormat="1">
      <alignment horizontal="center" shrinkToFit="0" vertical="center" wrapText="1"/>
    </xf>
    <xf borderId="1" fillId="0" fontId="17" numFmtId="49" xfId="0" applyAlignment="1" applyBorder="1" applyFont="1" applyNumberFormat="1">
      <alignment horizontal="center" shrinkToFit="0" vertical="center" wrapText="1"/>
    </xf>
    <xf borderId="1" fillId="6" fontId="7" numFmtId="0" xfId="0" applyAlignment="1" applyBorder="1" applyFill="1" applyFont="1">
      <alignment horizontal="center" shrinkToFit="0" vertical="center" wrapText="1"/>
    </xf>
    <xf borderId="1" fillId="5" fontId="12" numFmtId="0" xfId="0" applyAlignment="1" applyBorder="1" applyFont="1">
      <alignment horizontal="center" shrinkToFit="0" vertical="center" wrapText="1"/>
    </xf>
    <xf borderId="1" fillId="5" fontId="18" numFmtId="49" xfId="0" applyAlignment="1" applyBorder="1" applyFont="1" applyNumberFormat="1">
      <alignment horizontal="center" shrinkToFit="0" vertical="center" wrapText="1"/>
    </xf>
    <xf borderId="1" fillId="7" fontId="18" numFmtId="49" xfId="0" applyAlignment="1" applyBorder="1" applyFill="1" applyFont="1" applyNumberFormat="1">
      <alignment horizontal="center" shrinkToFit="0" vertical="center" wrapText="1"/>
    </xf>
    <xf borderId="1" fillId="0" fontId="19" numFmtId="0" xfId="0" applyAlignment="1" applyBorder="1" applyFont="1">
      <alignment horizontal="center" shrinkToFit="0" wrapText="1"/>
    </xf>
    <xf borderId="1" fillId="5" fontId="18" numFmtId="0" xfId="0" applyAlignment="1" applyBorder="1" applyFont="1">
      <alignment horizontal="center" shrinkToFit="0" vertical="center" wrapText="1"/>
    </xf>
    <xf borderId="1" fillId="0" fontId="20" numFmtId="0" xfId="0" applyAlignment="1" applyBorder="1" applyFont="1">
      <alignment horizontal="center" shrinkToFit="0" vertical="center" wrapText="1"/>
    </xf>
    <xf borderId="1" fillId="5" fontId="7" numFmtId="0" xfId="0" applyAlignment="1" applyBorder="1" applyFont="1">
      <alignment horizontal="center" shrinkToFit="0" vertical="center" wrapText="1"/>
    </xf>
    <xf borderId="1" fillId="0" fontId="21" numFmtId="0" xfId="0" applyAlignment="1" applyBorder="1" applyFont="1">
      <alignment horizontal="center" shrinkToFit="0" vertical="center" wrapText="1"/>
    </xf>
    <xf borderId="1" fillId="0" fontId="20" numFmtId="164" xfId="0" applyAlignment="1" applyBorder="1" applyFont="1" applyNumberFormat="1">
      <alignment horizontal="center" shrinkToFit="0" vertical="center" wrapText="1"/>
    </xf>
    <xf borderId="1" fillId="0" fontId="18" numFmtId="49" xfId="0" applyAlignment="1" applyBorder="1" applyFont="1" applyNumberFormat="1">
      <alignment horizontal="center" shrinkToFit="0" vertical="center" wrapText="1"/>
    </xf>
    <xf borderId="1" fillId="3" fontId="10" numFmtId="0" xfId="0" applyAlignment="1" applyBorder="1" applyFont="1">
      <alignment horizontal="center" shrinkToFit="0" vertical="center" wrapText="1"/>
    </xf>
    <xf borderId="0" fillId="0" fontId="7" numFmtId="0" xfId="0" applyAlignment="1" applyFont="1">
      <alignment vertical="bottom"/>
    </xf>
    <xf borderId="1" fillId="0" fontId="22" numFmtId="0" xfId="0" applyAlignment="1" applyBorder="1" applyFont="1">
      <alignment horizontal="center" shrinkToFit="0" vertical="center" wrapText="1"/>
    </xf>
    <xf borderId="1" fillId="0" fontId="23" numFmtId="0" xfId="0" applyAlignment="1" applyBorder="1" applyFont="1">
      <alignment horizontal="center" shrinkToFit="0" vertical="center" wrapText="1"/>
    </xf>
    <xf borderId="1" fillId="0" fontId="18" numFmtId="0" xfId="0" applyAlignment="1" applyBorder="1" applyFont="1">
      <alignment horizontal="center" shrinkToFit="0" vertical="center" wrapText="1"/>
    </xf>
    <xf borderId="1" fillId="5" fontId="20" numFmtId="0" xfId="0" applyAlignment="1" applyBorder="1" applyFont="1">
      <alignment horizontal="center" shrinkToFit="0" vertical="center" wrapText="1"/>
    </xf>
    <xf borderId="1" fillId="0" fontId="12" numFmtId="164" xfId="0" applyAlignment="1" applyBorder="1" applyFont="1" applyNumberFormat="1">
      <alignment horizontal="center" shrinkToFit="0" vertical="center" wrapText="1"/>
    </xf>
    <xf borderId="1" fillId="5" fontId="8" numFmtId="0" xfId="0" applyAlignment="1" applyBorder="1" applyFont="1">
      <alignment horizontal="center" shrinkToFit="0" vertical="center" wrapText="1"/>
    </xf>
    <xf borderId="1" fillId="7" fontId="6" numFmtId="49" xfId="0" applyAlignment="1" applyBorder="1" applyFont="1" applyNumberFormat="1">
      <alignment horizontal="center" shrinkToFit="0" vertical="center" wrapText="1"/>
    </xf>
    <xf borderId="2" fillId="0" fontId="17" numFmtId="49" xfId="0" applyAlignment="1" applyBorder="1" applyFont="1" applyNumberFormat="1">
      <alignment horizontal="center" shrinkToFit="0" vertical="center" wrapText="1"/>
    </xf>
    <xf borderId="1" fillId="4" fontId="7" numFmtId="0" xfId="0" applyAlignment="1" applyBorder="1" applyFont="1">
      <alignment horizontal="center" shrinkToFit="0" vertical="center" wrapText="1"/>
    </xf>
    <xf borderId="5" fillId="0" fontId="24" numFmtId="0" xfId="0" applyAlignment="1" applyBorder="1" applyFont="1">
      <alignment horizontal="center" shrinkToFit="0" vertical="center" wrapText="1"/>
    </xf>
    <xf borderId="6" fillId="0" fontId="3" numFmtId="0" xfId="0" applyBorder="1" applyFont="1"/>
    <xf borderId="1" fillId="0" fontId="12" numFmtId="0" xfId="0" applyAlignment="1" applyBorder="1" applyFont="1">
      <alignment horizontal="center" shrinkToFit="0" vertical="center" wrapText="1"/>
    </xf>
    <xf borderId="1" fillId="0" fontId="8" numFmtId="14" xfId="0" applyAlignment="1" applyBorder="1" applyFont="1" applyNumberFormat="1">
      <alignment horizontal="center" shrinkToFit="0" vertical="center" wrapText="1"/>
    </xf>
    <xf borderId="1" fillId="0" fontId="25" numFmtId="0" xfId="0" applyAlignment="1" applyBorder="1" applyFont="1">
      <alignment horizontal="center" shrinkToFit="0" vertical="center" wrapText="1"/>
    </xf>
    <xf borderId="0" fillId="0" fontId="8" numFmtId="0" xfId="0" applyAlignment="1" applyFont="1">
      <alignment horizontal="center" shrinkToFit="0" vertical="center" wrapText="1"/>
    </xf>
    <xf borderId="1" fillId="0" fontId="15" numFmtId="0" xfId="0" applyAlignment="1" applyBorder="1" applyFont="1">
      <alignment horizontal="center" readingOrder="0" shrinkToFit="0" vertical="center" wrapText="1"/>
    </xf>
    <xf borderId="1" fillId="0" fontId="26" numFmtId="0" xfId="0" applyAlignment="1" applyBorder="1" applyFont="1">
      <alignment horizontal="center" readingOrder="0" shrinkToFit="0" vertical="center" wrapText="1"/>
    </xf>
    <xf borderId="1" fillId="7" fontId="8" numFmtId="49" xfId="0" applyAlignment="1" applyBorder="1" applyFont="1" applyNumberFormat="1">
      <alignment horizontal="center" shrinkToFit="0" vertical="center" wrapText="1"/>
    </xf>
    <xf borderId="1" fillId="5" fontId="27" numFmtId="0" xfId="0" applyAlignment="1" applyBorder="1" applyFont="1">
      <alignment horizontal="center" shrinkToFit="0" vertical="center" wrapText="1"/>
    </xf>
    <xf borderId="1" fillId="5" fontId="28" numFmtId="0" xfId="0" applyAlignment="1" applyBorder="1" applyFont="1">
      <alignment horizontal="center" shrinkToFit="0" vertical="center" wrapText="1"/>
    </xf>
    <xf borderId="1" fillId="0" fontId="7" numFmtId="0" xfId="0" applyAlignment="1" applyBorder="1" applyFont="1">
      <alignment horizontal="center" readingOrder="0" shrinkToFit="0" vertical="center" wrapText="1"/>
    </xf>
    <xf borderId="5" fillId="0" fontId="8" numFmtId="0" xfId="0" applyAlignment="1" applyBorder="1" applyFont="1">
      <alignment horizontal="center" shrinkToFit="0" vertical="center" wrapText="1"/>
    </xf>
    <xf borderId="7" fillId="5" fontId="12" numFmtId="0" xfId="0" applyAlignment="1" applyBorder="1" applyFont="1">
      <alignment horizontal="center" shrinkToFit="0" vertical="center" wrapText="1"/>
    </xf>
    <xf borderId="1" fillId="0" fontId="8" numFmtId="15" xfId="0" applyAlignment="1" applyBorder="1" applyFont="1" applyNumberFormat="1">
      <alignment horizontal="center" shrinkToFit="0" vertical="center" wrapText="1"/>
    </xf>
    <xf borderId="1" fillId="0" fontId="29" numFmtId="0" xfId="0" applyAlignment="1" applyBorder="1" applyFont="1">
      <alignment horizontal="center" shrinkToFit="0" vertical="center" wrapText="1"/>
    </xf>
    <xf borderId="1" fillId="5" fontId="29" numFmtId="0" xfId="0" applyAlignment="1" applyBorder="1" applyFont="1">
      <alignment horizontal="center" shrinkToFit="0" vertical="center" wrapText="1"/>
    </xf>
    <xf borderId="1" fillId="0" fontId="29" numFmtId="15" xfId="0" applyAlignment="1" applyBorder="1" applyFont="1" applyNumberFormat="1">
      <alignment horizontal="center" shrinkToFit="0" vertical="center" wrapText="1"/>
    </xf>
    <xf borderId="1" fillId="0" fontId="7" numFmtId="168" xfId="0" applyAlignment="1" applyBorder="1" applyFont="1" applyNumberFormat="1">
      <alignment horizontal="center" shrinkToFit="0" vertical="center" wrapText="1"/>
    </xf>
    <xf borderId="5" fillId="0" fontId="7" numFmtId="0" xfId="0" applyAlignment="1" applyBorder="1" applyFont="1">
      <alignment horizontal="center" shrinkToFit="0" vertical="center" wrapText="1"/>
    </xf>
    <xf borderId="1" fillId="0" fontId="7" numFmtId="169" xfId="0" applyAlignment="1" applyBorder="1" applyFont="1" applyNumberFormat="1">
      <alignment horizontal="center" shrinkToFit="0" vertical="center" wrapText="1"/>
    </xf>
    <xf borderId="1" fillId="3" fontId="7" numFmtId="0" xfId="0" applyAlignment="1" applyBorder="1" applyFont="1">
      <alignment horizontal="center" shrinkToFit="0" vertical="center" wrapText="1"/>
    </xf>
    <xf borderId="1" fillId="0" fontId="30" numFmtId="0" xfId="0" applyAlignment="1" applyBorder="1" applyFont="1">
      <alignment horizontal="center" readingOrder="0" shrinkToFit="0" vertical="center" wrapText="1"/>
    </xf>
    <xf borderId="1" fillId="0" fontId="29" numFmtId="0" xfId="0" applyAlignment="1" applyBorder="1" applyFont="1">
      <alignment horizontal="center" readingOrder="0" shrinkToFit="0" vertical="center" wrapText="1"/>
    </xf>
    <xf borderId="1" fillId="0" fontId="29" numFmtId="15" xfId="0" applyAlignment="1" applyBorder="1" applyFont="1" applyNumberFormat="1">
      <alignment horizontal="center" readingOrder="0" shrinkToFit="0" vertical="center" wrapText="1"/>
    </xf>
    <xf borderId="1" fillId="5" fontId="29" numFmtId="0" xfId="0" applyAlignment="1" applyBorder="1" applyFont="1">
      <alignment horizontal="center" readingOrder="0" shrinkToFit="0" vertical="center" wrapText="1"/>
    </xf>
    <xf borderId="0" fillId="0" fontId="7" numFmtId="0" xfId="0" applyAlignment="1" applyFont="1">
      <alignment horizontal="center" shrinkToFit="0" vertical="center" wrapText="1"/>
    </xf>
    <xf borderId="1" fillId="6" fontId="7" numFmtId="0" xfId="0" applyAlignment="1" applyBorder="1" applyFont="1">
      <alignment horizontal="center" readingOrder="0" shrinkToFit="0" vertical="center" wrapText="1"/>
    </xf>
    <xf borderId="1" fillId="5" fontId="31" numFmtId="0" xfId="0" applyAlignment="1" applyBorder="1" applyFont="1">
      <alignment horizontal="center" readingOrder="0" shrinkToFit="0" vertical="center" wrapText="1"/>
    </xf>
    <xf borderId="1" fillId="0" fontId="32" numFmtId="0" xfId="0" applyAlignment="1" applyBorder="1" applyFont="1">
      <alignment horizontal="center" readingOrder="0" shrinkToFit="0" vertical="center" wrapText="1"/>
    </xf>
    <xf borderId="1" fillId="0" fontId="29" numFmtId="170" xfId="0" applyAlignment="1" applyBorder="1" applyFont="1" applyNumberFormat="1">
      <alignment horizontal="center" shrinkToFit="0" vertical="center" wrapText="1"/>
    </xf>
    <xf borderId="1" fillId="0" fontId="33" numFmtId="0" xfId="0" applyAlignment="1" applyBorder="1" applyFont="1">
      <alignment horizontal="center" shrinkToFit="0" vertical="center" wrapText="1"/>
    </xf>
    <xf borderId="1" fillId="0" fontId="29" numFmtId="171" xfId="0" applyAlignment="1" applyBorder="1" applyFont="1" applyNumberFormat="1">
      <alignment horizontal="center" shrinkToFit="0" vertical="center" wrapText="1"/>
    </xf>
    <xf borderId="1" fillId="0" fontId="34" numFmtId="0" xfId="0" applyAlignment="1" applyBorder="1" applyFont="1">
      <alignment horizontal="center" readingOrder="0" shrinkToFit="0" vertical="center" wrapText="1"/>
    </xf>
    <xf borderId="1" fillId="8" fontId="7" numFmtId="0" xfId="0" applyAlignment="1" applyBorder="1" applyFill="1" applyFont="1">
      <alignment horizontal="center" shrinkToFit="0" vertical="center" wrapText="1"/>
    </xf>
    <xf borderId="0" fillId="0" fontId="7" numFmtId="0" xfId="0" applyAlignment="1" applyFont="1">
      <alignment readingOrder="0"/>
    </xf>
    <xf borderId="5" fillId="5" fontId="35" numFmtId="0" xfId="0" applyAlignment="1" applyBorder="1" applyFont="1">
      <alignment horizontal="center" shrinkToFit="0" vertical="center" wrapText="1"/>
    </xf>
    <xf borderId="0" fillId="0" fontId="7" numFmtId="172" xfId="0" applyAlignment="1" applyFont="1" applyNumberFormat="1">
      <alignment readingOrder="0"/>
    </xf>
    <xf borderId="1" fillId="0" fontId="6" numFmtId="0" xfId="0" applyAlignment="1" applyBorder="1" applyFont="1">
      <alignment horizontal="center" readingOrder="0" shrinkToFit="0" vertical="center" wrapText="1"/>
    </xf>
    <xf borderId="2" fillId="0" fontId="36" numFmtId="0" xfId="0" applyAlignment="1" applyBorder="1" applyFont="1">
      <alignment horizontal="center" vertical="center"/>
    </xf>
    <xf borderId="1" fillId="0" fontId="10" numFmtId="0" xfId="0" applyAlignment="1" applyBorder="1" applyFont="1">
      <alignment horizontal="center" shrinkToFit="0" vertical="center" wrapText="1"/>
    </xf>
    <xf borderId="1" fillId="0" fontId="10" numFmtId="173" xfId="0" applyAlignment="1" applyBorder="1" applyFont="1" applyNumberFormat="1">
      <alignment horizontal="center" shrinkToFit="0" vertical="center" wrapText="1"/>
    </xf>
    <xf borderId="1" fillId="0" fontId="7" numFmtId="0" xfId="0" applyAlignment="1" applyBorder="1" applyFont="1">
      <alignment vertical="bottom"/>
    </xf>
    <xf borderId="2" fillId="0" fontId="7" numFmtId="0" xfId="0" applyAlignment="1" applyBorder="1" applyFont="1">
      <alignment vertical="bottom"/>
    </xf>
    <xf borderId="1" fillId="0" fontId="8" numFmtId="173" xfId="0" applyAlignment="1" applyBorder="1" applyFont="1" applyNumberFormat="1">
      <alignment horizontal="center" shrinkToFit="0" vertical="center" wrapText="1"/>
    </xf>
    <xf borderId="8" fillId="0" fontId="3" numFmtId="0" xfId="0" applyBorder="1" applyFont="1"/>
    <xf borderId="1" fillId="5" fontId="7" numFmtId="0" xfId="0" applyAlignment="1" applyBorder="1" applyFont="1">
      <alignment vertical="bottom"/>
    </xf>
    <xf borderId="9" fillId="4" fontId="7" numFmtId="0" xfId="0" applyAlignment="1" applyBorder="1" applyFont="1">
      <alignment horizontal="center" vertical="bottom"/>
    </xf>
    <xf borderId="10" fillId="0" fontId="3" numFmtId="0" xfId="0" applyBorder="1" applyFont="1"/>
    <xf borderId="11" fillId="4" fontId="7" numFmtId="0" xfId="0" applyAlignment="1" applyBorder="1" applyFont="1">
      <alignment vertical="bottom"/>
    </xf>
    <xf borderId="9" fillId="8" fontId="7" numFmtId="0" xfId="0" applyAlignment="1" applyBorder="1" applyFont="1">
      <alignment horizontal="center" vertical="bottom"/>
    </xf>
    <xf borderId="1" fillId="0" fontId="7" numFmtId="0" xfId="0" applyAlignment="1" applyBorder="1" applyFont="1">
      <alignment horizontal="center" vertical="center"/>
    </xf>
    <xf borderId="2" fillId="0" fontId="10" numFmtId="0" xfId="0" applyAlignment="1" applyBorder="1" applyFont="1">
      <alignment horizontal="center" vertical="center"/>
    </xf>
    <xf borderId="1" fillId="0" fontId="10" numFmtId="173" xfId="0" applyAlignment="1" applyBorder="1" applyFont="1" applyNumberFormat="1">
      <alignment horizontal="center" vertical="center"/>
    </xf>
    <xf borderId="2" fillId="9" fontId="37" numFmtId="0" xfId="0" applyAlignment="1" applyBorder="1" applyFill="1" applyFont="1">
      <alignment horizontal="center" vertical="center"/>
    </xf>
    <xf borderId="2" fillId="4" fontId="17" numFmtId="0" xfId="0" applyAlignment="1" applyBorder="1" applyFont="1">
      <alignment horizontal="center" shrinkToFit="0" vertical="center" wrapText="1"/>
    </xf>
    <xf borderId="2" fillId="9" fontId="10" numFmtId="0" xfId="0" applyAlignment="1" applyBorder="1" applyFont="1">
      <alignment horizontal="center" vertical="center"/>
    </xf>
    <xf borderId="1" fillId="4" fontId="5" numFmtId="0" xfId="0" applyAlignment="1" applyBorder="1" applyFont="1">
      <alignment horizontal="center" vertical="center"/>
    </xf>
    <xf borderId="2" fillId="9" fontId="17" numFmtId="0" xfId="0" applyAlignment="1" applyBorder="1" applyFont="1">
      <alignment horizontal="center" vertical="center"/>
    </xf>
    <xf borderId="1" fillId="10" fontId="5" numFmtId="0" xfId="0" applyAlignment="1" applyBorder="1" applyFill="1" applyFont="1">
      <alignment horizontal="center" shrinkToFit="0" vertical="center" wrapText="1"/>
    </xf>
    <xf borderId="1" fillId="5" fontId="7" numFmtId="1" xfId="0" applyAlignment="1" applyBorder="1" applyFont="1" applyNumberFormat="1">
      <alignment horizontal="center" shrinkToFit="0" vertical="center" wrapText="1"/>
    </xf>
    <xf borderId="1" fillId="5" fontId="7" numFmtId="14" xfId="0" applyAlignment="1" applyBorder="1" applyFont="1" applyNumberFormat="1">
      <alignment horizontal="center" shrinkToFit="0" vertical="center" wrapText="1"/>
    </xf>
    <xf borderId="1" fillId="0" fontId="7" numFmtId="165" xfId="0" applyAlignment="1" applyBorder="1" applyFont="1" applyNumberFormat="1">
      <alignment horizontal="center" vertical="center"/>
    </xf>
    <xf borderId="1" fillId="0" fontId="38" numFmtId="0" xfId="0" applyAlignment="1" applyBorder="1" applyFont="1">
      <alignment horizontal="center" vertical="center"/>
    </xf>
    <xf quotePrefix="1" borderId="1" fillId="0" fontId="7" numFmtId="14" xfId="0" applyAlignment="1" applyBorder="1" applyFont="1" applyNumberFormat="1">
      <alignment horizontal="center" vertical="center"/>
    </xf>
    <xf borderId="1" fillId="5" fontId="7" numFmtId="0" xfId="0" applyAlignment="1" applyBorder="1" applyFont="1">
      <alignment horizontal="center" vertical="center"/>
    </xf>
    <xf borderId="1" fillId="0" fontId="7" numFmtId="1" xfId="0" applyAlignment="1" applyBorder="1" applyFont="1" applyNumberFormat="1">
      <alignment horizontal="center" shrinkToFit="0" vertical="center" wrapText="1"/>
    </xf>
    <xf borderId="1" fillId="0" fontId="7" numFmtId="14" xfId="0" applyAlignment="1" applyBorder="1" applyFont="1" applyNumberFormat="1">
      <alignment horizontal="center" vertical="center"/>
    </xf>
    <xf quotePrefix="1" borderId="1" fillId="5" fontId="7" numFmtId="14" xfId="0" applyAlignment="1" applyBorder="1" applyFont="1" applyNumberFormat="1">
      <alignment horizontal="center" vertical="center"/>
    </xf>
    <xf borderId="2" fillId="0" fontId="36" numFmtId="0" xfId="0" applyAlignment="1" applyBorder="1" applyFont="1">
      <alignment horizontal="center" readingOrder="0" shrinkToFit="0" vertical="center" wrapText="1"/>
    </xf>
    <xf borderId="2" fillId="0" fontId="17"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0" fontId="39" numFmtId="0" xfId="0" applyAlignment="1" applyBorder="1" applyFont="1">
      <alignment horizontal="center" shrinkToFit="0" vertical="center" wrapText="1"/>
    </xf>
    <xf borderId="1" fillId="0" fontId="40" numFmtId="0" xfId="0" applyAlignment="1" applyBorder="1" applyFont="1">
      <alignment horizontal="center" shrinkToFit="0" vertical="center" wrapText="1"/>
    </xf>
    <xf borderId="1" fillId="4" fontId="41" numFmtId="0" xfId="0" applyAlignment="1" applyBorder="1" applyFont="1">
      <alignment horizontal="center" shrinkToFit="0" vertical="center" wrapText="1"/>
    </xf>
    <xf borderId="1" fillId="0" fontId="42" numFmtId="0" xfId="0" applyAlignment="1" applyBorder="1" applyFont="1">
      <alignment horizontal="center" shrinkToFit="0" vertical="center" wrapText="1"/>
    </xf>
    <xf borderId="1" fillId="0" fontId="43" numFmtId="0" xfId="0" applyAlignment="1" applyBorder="1" applyFont="1">
      <alignment horizontal="center" shrinkToFit="0" vertical="center" wrapText="1"/>
    </xf>
    <xf borderId="1" fillId="0" fontId="7" numFmtId="49" xfId="0" applyAlignment="1" applyBorder="1" applyFont="1" applyNumberFormat="1">
      <alignment horizontal="center" shrinkToFit="0" vertical="center" wrapText="1"/>
    </xf>
    <xf borderId="2" fillId="0" fontId="10" numFmtId="0" xfId="0" applyAlignment="1" applyBorder="1" applyFont="1">
      <alignment horizontal="center" shrinkToFit="0" vertical="center" wrapText="1"/>
    </xf>
    <xf borderId="1" fillId="0" fontId="44" numFmtId="0" xfId="0" applyAlignment="1" applyBorder="1" applyFont="1">
      <alignment horizontal="center" shrinkToFit="0" vertical="center" wrapText="1"/>
    </xf>
    <xf borderId="1" fillId="0" fontId="45" numFmtId="0" xfId="0" applyAlignment="1" applyBorder="1" applyFont="1">
      <alignment horizontal="center" shrinkToFit="0" vertical="center" wrapText="1"/>
    </xf>
    <xf borderId="1" fillId="0" fontId="8" numFmtId="1" xfId="0" applyAlignment="1" applyBorder="1" applyFont="1" applyNumberFormat="1">
      <alignment horizontal="center" shrinkToFit="0" vertical="center" wrapText="1"/>
    </xf>
    <xf quotePrefix="1" borderId="1" fillId="0" fontId="8" numFmtId="0" xfId="0" applyAlignment="1" applyBorder="1" applyFont="1">
      <alignment horizontal="center" shrinkToFit="0" vertical="center" wrapText="1"/>
    </xf>
    <xf borderId="1" fillId="0" fontId="46" numFmtId="0" xfId="0" applyAlignment="1" applyBorder="1" applyFont="1">
      <alignment horizontal="center" shrinkToFit="0" vertical="center" wrapText="1"/>
    </xf>
    <xf borderId="1" fillId="5" fontId="46" numFmtId="0" xfId="0" applyAlignment="1" applyBorder="1" applyFont="1">
      <alignment horizontal="center" shrinkToFit="0" vertical="center" wrapText="1"/>
    </xf>
    <xf borderId="1" fillId="5" fontId="46" numFmtId="174" xfId="0" applyAlignment="1" applyBorder="1" applyFont="1" applyNumberFormat="1">
      <alignment horizontal="center" shrinkToFit="0" vertical="center" wrapText="1"/>
    </xf>
    <xf borderId="1" fillId="0" fontId="47" numFmtId="0" xfId="0" applyAlignment="1" applyBorder="1" applyFont="1">
      <alignment horizontal="center" shrinkToFit="0" vertical="center" wrapText="1"/>
    </xf>
    <xf borderId="1" fillId="0" fontId="46" numFmtId="175" xfId="0" applyAlignment="1" applyBorder="1" applyFont="1" applyNumberFormat="1">
      <alignment horizontal="center" shrinkToFit="0" vertical="center" wrapText="1"/>
    </xf>
    <xf borderId="1" fillId="5" fontId="46" numFmtId="176" xfId="0" applyAlignment="1" applyBorder="1" applyFont="1" applyNumberFormat="1">
      <alignment horizontal="center" shrinkToFit="0" vertical="center" wrapText="1"/>
    </xf>
    <xf borderId="1" fillId="5" fontId="46" numFmtId="177" xfId="0" applyAlignment="1" applyBorder="1" applyFont="1" applyNumberFormat="1">
      <alignment horizontal="center" shrinkToFit="0" vertical="center" wrapText="1"/>
    </xf>
    <xf borderId="1" fillId="5" fontId="46" numFmtId="175" xfId="0" applyAlignment="1" applyBorder="1" applyFont="1" applyNumberFormat="1">
      <alignment horizontal="center" shrinkToFit="0" vertical="center" wrapText="1"/>
    </xf>
    <xf borderId="1" fillId="5" fontId="48" numFmtId="0" xfId="0" applyAlignment="1" applyBorder="1" applyFont="1">
      <alignment horizontal="center" shrinkToFit="0" vertical="center" wrapText="1"/>
    </xf>
    <xf borderId="1" fillId="0" fontId="46" numFmtId="178" xfId="0" applyAlignment="1" applyBorder="1" applyFont="1" applyNumberFormat="1">
      <alignment horizontal="center" shrinkToFit="0" vertical="center" wrapText="1"/>
    </xf>
    <xf borderId="1" fillId="5" fontId="47" numFmtId="0" xfId="0" applyAlignment="1" applyBorder="1" applyFont="1">
      <alignment horizontal="center" readingOrder="0" shrinkToFit="0" vertical="center" wrapText="1"/>
    </xf>
    <xf borderId="1" fillId="0" fontId="47" numFmtId="0" xfId="0" applyAlignment="1" applyBorder="1" applyFont="1">
      <alignment horizontal="center" readingOrder="0" shrinkToFit="0" vertical="center" wrapText="1"/>
    </xf>
    <xf borderId="0" fillId="0" fontId="34" numFmtId="0" xfId="0" applyAlignment="1" applyFont="1">
      <alignment horizontal="center" readingOrder="0"/>
    </xf>
    <xf borderId="0" fillId="0" fontId="34" numFmtId="0" xfId="0" applyAlignment="1" applyFont="1">
      <alignment horizontal="center"/>
    </xf>
    <xf borderId="2" fillId="11" fontId="49" numFmtId="0" xfId="0" applyAlignment="1" applyBorder="1" applyFill="1" applyFont="1">
      <alignment horizontal="center" readingOrder="0" shrinkToFit="0" vertical="center" wrapText="1"/>
    </xf>
    <xf borderId="0" fillId="0" fontId="34" numFmtId="0" xfId="0" applyAlignment="1" applyFont="1">
      <alignment horizontal="center" shrinkToFit="0" vertical="center" wrapText="1"/>
    </xf>
    <xf borderId="1" fillId="4" fontId="49" numFmtId="0" xfId="0" applyAlignment="1" applyBorder="1" applyFont="1">
      <alignment horizontal="center" readingOrder="0" shrinkToFit="0" vertical="center" wrapText="1"/>
    </xf>
    <xf borderId="1" fillId="0" fontId="34" numFmtId="0" xfId="0" applyAlignment="1" applyBorder="1" applyFont="1">
      <alignment horizontal="center" shrinkToFit="0" vertical="center" wrapText="1"/>
    </xf>
    <xf borderId="1" fillId="0" fontId="50" numFmtId="0" xfId="0" applyAlignment="1" applyBorder="1" applyFont="1">
      <alignment horizontal="center" readingOrder="0" shrinkToFit="0" vertical="center" wrapText="1"/>
    </xf>
    <xf borderId="1" fillId="0" fontId="51" numFmtId="0" xfId="0" applyAlignment="1" applyBorder="1" applyFont="1">
      <alignment horizontal="center" readingOrder="0" shrinkToFit="0" vertical="center" wrapText="1"/>
    </xf>
    <xf borderId="1" fillId="5" fontId="52" numFmtId="0" xfId="0" applyAlignment="1" applyBorder="1" applyFont="1">
      <alignment horizontal="center" readingOrder="0" shrinkToFit="0" vertical="center" wrapText="1"/>
    </xf>
    <xf borderId="1" fillId="0" fontId="53" numFmtId="0" xfId="0" applyAlignment="1" applyBorder="1" applyFont="1">
      <alignment horizontal="center" readingOrder="0" shrinkToFit="0" vertical="center" wrapText="1"/>
    </xf>
    <xf borderId="1" fillId="5" fontId="54" numFmtId="0" xfId="0" applyAlignment="1" applyBorder="1" applyFont="1">
      <alignment horizontal="center" readingOrder="0" shrinkToFit="0" vertical="center" wrapText="1"/>
    </xf>
    <xf borderId="1" fillId="5" fontId="55" numFmtId="0" xfId="0" applyAlignment="1" applyBorder="1" applyFont="1">
      <alignment horizontal="center" readingOrder="0" shrinkToFit="0" vertical="center" wrapText="1"/>
    </xf>
    <xf borderId="1" fillId="5" fontId="56" numFmtId="0" xfId="0" applyAlignment="1" applyBorder="1" applyFont="1">
      <alignment horizontal="center" readingOrder="0" shrinkToFit="0" vertical="center" wrapText="1"/>
    </xf>
    <xf borderId="1" fillId="5" fontId="57" numFmtId="0" xfId="0" applyAlignment="1" applyBorder="1" applyFont="1">
      <alignment horizontal="center" readingOrder="0" shrinkToFit="0" vertical="center" wrapText="1"/>
    </xf>
    <xf borderId="5" fillId="0" fontId="34" numFmtId="0" xfId="0" applyAlignment="1" applyBorder="1" applyFont="1">
      <alignment horizontal="center" readingOrder="0" shrinkToFit="0" vertical="center" wrapText="1"/>
    </xf>
    <xf borderId="12" fillId="12" fontId="17" numFmtId="0" xfId="0" applyAlignment="1" applyBorder="1" applyFill="1" applyFont="1">
      <alignment horizontal="center" shrinkToFit="0" vertical="center" wrapText="1"/>
    </xf>
    <xf borderId="12" fillId="0" fontId="3" numFmtId="0" xfId="0" applyBorder="1" applyFont="1"/>
    <xf borderId="0" fillId="0" fontId="6" numFmtId="0" xfId="0" applyAlignment="1" applyFont="1">
      <alignment horizontal="center" shrinkToFit="0" vertical="center" wrapText="1"/>
    </xf>
    <xf borderId="1" fillId="5" fontId="17" numFmtId="0" xfId="0" applyAlignment="1" applyBorder="1" applyFont="1">
      <alignment horizontal="center" shrinkToFit="0" vertical="center" wrapText="1"/>
    </xf>
    <xf borderId="1" fillId="5" fontId="58" numFmtId="0" xfId="0" applyAlignment="1" applyBorder="1" applyFont="1">
      <alignment horizontal="center" shrinkToFit="0" vertical="center" wrapText="1"/>
    </xf>
    <xf borderId="1" fillId="5" fontId="58" numFmtId="168" xfId="0" applyAlignment="1" applyBorder="1" applyFont="1" applyNumberFormat="1">
      <alignment horizontal="center" shrinkToFit="0" vertical="center" wrapText="1"/>
    </xf>
    <xf borderId="1" fillId="5" fontId="58" numFmtId="165" xfId="0" applyAlignment="1" applyBorder="1" applyFont="1" applyNumberFormat="1">
      <alignment horizontal="center" shrinkToFit="0" vertical="center" wrapText="1"/>
    </xf>
    <xf borderId="13" fillId="5" fontId="58" numFmtId="0" xfId="0" applyAlignment="1" applyBorder="1" applyFont="1">
      <alignment horizontal="center" shrinkToFit="0" vertical="center" wrapText="1"/>
    </xf>
    <xf borderId="1" fillId="0" fontId="58" numFmtId="165" xfId="0" applyAlignment="1" applyBorder="1" applyFont="1" applyNumberFormat="1">
      <alignment horizontal="center" shrinkToFit="0" vertical="center" wrapText="1"/>
    </xf>
    <xf borderId="1" fillId="5" fontId="6" numFmtId="0" xfId="0" applyAlignment="1" applyBorder="1" applyFont="1">
      <alignment horizontal="center" shrinkToFit="0" vertical="center" wrapText="1"/>
    </xf>
    <xf borderId="1" fillId="4" fontId="59" numFmtId="0" xfId="0" applyAlignment="1" applyBorder="1" applyFont="1">
      <alignment horizontal="center" shrinkToFit="0" vertical="center" wrapText="1"/>
    </xf>
    <xf borderId="4" fillId="4" fontId="59" numFmtId="0" xfId="0" applyAlignment="1" applyBorder="1" applyFont="1">
      <alignment horizontal="center" shrinkToFit="0" vertical="center" wrapText="1"/>
    </xf>
    <xf borderId="3" fillId="4" fontId="59" numFmtId="0" xfId="0" applyAlignment="1" applyBorder="1" applyFont="1">
      <alignment horizontal="center" shrinkToFit="0" vertical="center" wrapText="1"/>
    </xf>
    <xf borderId="6" fillId="0" fontId="42" numFmtId="0" xfId="0" applyAlignment="1" applyBorder="1" applyFont="1">
      <alignment horizontal="center" shrinkToFit="0" vertical="center" wrapText="1"/>
    </xf>
    <xf borderId="14" fillId="0" fontId="42" numFmtId="0" xfId="0" applyAlignment="1" applyBorder="1" applyFont="1">
      <alignment horizontal="center" shrinkToFit="0" vertical="center" wrapText="1"/>
    </xf>
    <xf borderId="14" fillId="0" fontId="60" numFmtId="0" xfId="0" applyAlignment="1" applyBorder="1" applyFont="1">
      <alignment horizontal="center" shrinkToFit="0" vertical="center" wrapText="1"/>
    </xf>
    <xf borderId="12" fillId="0" fontId="42" numFmtId="0" xfId="0" applyAlignment="1" applyBorder="1" applyFont="1">
      <alignment horizontal="center" shrinkToFit="0" vertical="center" wrapText="1"/>
    </xf>
    <xf borderId="0" fillId="0" fontId="42" numFmtId="0" xfId="0" applyAlignment="1" applyFont="1">
      <alignment horizontal="center" shrinkToFit="0" vertical="center" wrapText="1"/>
    </xf>
    <xf borderId="6" fillId="0" fontId="61" numFmtId="0" xfId="0" applyAlignment="1" applyBorder="1" applyFont="1">
      <alignment horizontal="center" shrinkToFit="0" vertical="center" wrapText="1"/>
    </xf>
    <xf borderId="4" fillId="0" fontId="42" numFmtId="0" xfId="0" applyAlignment="1" applyBorder="1" applyFont="1">
      <alignment horizontal="center" shrinkToFit="0" vertical="center" wrapText="1"/>
    </xf>
    <xf borderId="1" fillId="11" fontId="5" numFmtId="0" xfId="0" applyAlignment="1" applyBorder="1" applyFont="1">
      <alignment horizontal="center" shrinkToFit="0" vertical="center" wrapText="1"/>
    </xf>
    <xf borderId="0" fillId="0" fontId="62" numFmtId="0" xfId="0" applyAlignment="1" applyFont="1">
      <alignment horizontal="center" shrinkToFit="0" vertical="center" wrapText="1"/>
    </xf>
    <xf borderId="4" fillId="0" fontId="63" numFmtId="0" xfId="0" applyAlignment="1" applyBorder="1" applyFont="1">
      <alignment horizontal="center" shrinkToFit="0" vertical="center" wrapText="1"/>
    </xf>
    <xf borderId="1" fillId="0" fontId="64" numFmtId="0" xfId="0" applyAlignment="1" applyBorder="1" applyFont="1">
      <alignment horizontal="center" shrinkToFit="0" vertical="center" wrapText="1"/>
    </xf>
    <xf borderId="5" fillId="0" fontId="29" numFmtId="0" xfId="0" applyAlignment="1" applyBorder="1" applyFont="1">
      <alignment horizontal="center" shrinkToFit="0" vertical="center" wrapText="1"/>
    </xf>
    <xf borderId="2" fillId="0" fontId="64" numFmtId="0" xfId="0" applyAlignment="1" applyBorder="1" applyFont="1">
      <alignment horizontal="center" shrinkToFit="0" vertical="center" wrapText="1"/>
    </xf>
    <xf borderId="15" fillId="5" fontId="36" numFmtId="0" xfId="0" applyAlignment="1" applyBorder="1" applyFont="1">
      <alignment horizontal="center" shrinkToFit="0" vertical="center" wrapText="1"/>
    </xf>
    <xf borderId="16" fillId="0" fontId="3" numFmtId="0" xfId="0" applyBorder="1" applyFont="1"/>
    <xf borderId="17" fillId="0" fontId="3" numFmtId="0" xfId="0" applyBorder="1" applyFont="1"/>
    <xf borderId="18" fillId="5" fontId="17" numFmtId="0" xfId="0" applyAlignment="1" applyBorder="1" applyFont="1">
      <alignment horizontal="center" shrinkToFit="0" vertical="center" wrapText="1"/>
    </xf>
    <xf borderId="19" fillId="0" fontId="17" numFmtId="0" xfId="0" applyAlignment="1" applyBorder="1" applyFont="1">
      <alignment horizontal="center" shrinkToFit="0" vertical="center" wrapText="1"/>
    </xf>
    <xf borderId="18" fillId="0" fontId="58" numFmtId="0" xfId="0" applyAlignment="1" applyBorder="1" applyFont="1">
      <alignment horizontal="center" shrinkToFit="0" vertical="center" wrapText="1"/>
    </xf>
    <xf borderId="1" fillId="0" fontId="58" numFmtId="0" xfId="0" applyAlignment="1" applyBorder="1" applyFont="1">
      <alignment horizontal="center" shrinkToFit="0" vertical="center" wrapText="1"/>
    </xf>
    <xf borderId="19" fillId="0" fontId="65" numFmtId="0" xfId="0" applyAlignment="1" applyBorder="1" applyFont="1">
      <alignment horizontal="center" shrinkToFit="0" vertical="center" wrapText="1"/>
    </xf>
    <xf borderId="4" fillId="0" fontId="10"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1" fillId="0" fontId="7" numFmtId="173" xfId="0" applyAlignment="1" applyBorder="1" applyFont="1" applyNumberFormat="1">
      <alignment horizontal="center" shrinkToFit="0" vertical="center" wrapText="1"/>
    </xf>
    <xf borderId="20" fillId="0" fontId="58" numFmtId="0" xfId="0" applyAlignment="1" applyBorder="1" applyFont="1">
      <alignment horizontal="center" shrinkToFit="0" vertical="center" wrapText="1"/>
    </xf>
    <xf borderId="21" fillId="0" fontId="58" numFmtId="0" xfId="0" applyAlignment="1" applyBorder="1" applyFont="1">
      <alignment horizontal="center" shrinkToFit="0" vertical="center" wrapText="1"/>
    </xf>
    <xf borderId="2" fillId="0" fontId="8" numFmtId="4" xfId="0" applyAlignment="1" applyBorder="1" applyFont="1" applyNumberFormat="1">
      <alignment horizontal="center" shrinkToFit="0" vertical="center" wrapText="1"/>
    </xf>
    <xf borderId="21" fillId="5" fontId="58" numFmtId="0" xfId="0" applyAlignment="1" applyBorder="1" applyFont="1">
      <alignment horizontal="center" shrinkToFit="0" vertical="center" wrapText="1"/>
    </xf>
    <xf borderId="22" fillId="0" fontId="66" numFmtId="0" xfId="0" applyAlignment="1" applyBorder="1" applyFont="1">
      <alignment horizontal="center" shrinkToFit="0" vertical="center" wrapText="1"/>
    </xf>
    <xf borderId="23" fillId="0" fontId="58" numFmtId="0" xfId="0" applyAlignment="1" applyBorder="1" applyFont="1">
      <alignment horizontal="center" shrinkToFit="0" vertical="center" wrapText="1"/>
    </xf>
    <xf borderId="24" fillId="0" fontId="3" numFmtId="0" xfId="0" applyBorder="1" applyFont="1"/>
    <xf borderId="25" fillId="0" fontId="3" numFmtId="0" xfId="0" applyBorder="1" applyFont="1"/>
    <xf borderId="22" fillId="0" fontId="7" numFmtId="0" xfId="0" applyAlignment="1" applyBorder="1" applyFont="1">
      <alignment horizontal="center" shrinkToFit="0" vertical="center" wrapText="1"/>
    </xf>
    <xf borderId="2" fillId="4"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1"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1" fillId="0" fontId="8" numFmtId="3" xfId="0" applyAlignment="1" applyBorder="1" applyFont="1" applyNumberFormat="1">
      <alignment horizontal="center" shrinkToFit="0" vertical="center" wrapText="1"/>
    </xf>
    <xf borderId="2" fillId="4" fontId="67" numFmtId="0" xfId="0" applyAlignment="1" applyBorder="1" applyFont="1">
      <alignment horizontal="center" shrinkToFit="0" wrapText="1"/>
    </xf>
    <xf borderId="1" fillId="3" fontId="67" numFmtId="0" xfId="0" applyAlignment="1" applyBorder="1" applyFont="1">
      <alignment horizontal="center" shrinkToFit="0" wrapText="1"/>
    </xf>
    <xf borderId="1" fillId="0" fontId="68" numFmtId="0" xfId="0" applyAlignment="1" applyBorder="1" applyFont="1">
      <alignment horizontal="center" shrinkToFit="0" wrapText="1"/>
    </xf>
    <xf borderId="1" fillId="0" fontId="6" numFmtId="0" xfId="0" applyAlignment="1" applyBorder="1" applyFont="1">
      <alignment horizontal="center" shrinkToFit="0" wrapText="1"/>
    </xf>
    <xf borderId="1" fillId="0" fontId="8" numFmtId="0" xfId="0" applyAlignment="1" applyBorder="1" applyFont="1">
      <alignment horizontal="center" shrinkToFit="0" wrapText="1"/>
    </xf>
    <xf borderId="0" fillId="4" fontId="10" numFmtId="0" xfId="0" applyAlignment="1" applyFont="1">
      <alignment horizontal="center" shrinkToFit="0" vertical="center" wrapText="1"/>
    </xf>
    <xf borderId="1" fillId="0" fontId="8" numFmtId="0" xfId="0" applyAlignment="1" applyBorder="1" applyFont="1">
      <alignment horizontal="center" shrinkToFit="0" vertical="center" wrapText="1"/>
    </xf>
    <xf borderId="0" fillId="0" fontId="8" numFmtId="3" xfId="0" applyAlignment="1" applyFont="1" applyNumberFormat="1">
      <alignment horizontal="center" shrinkToFit="0" vertical="center" wrapText="1"/>
    </xf>
    <xf borderId="1" fillId="0" fontId="69" numFmtId="0" xfId="0" applyAlignment="1" applyBorder="1" applyFont="1">
      <alignment horizontal="center" shrinkToFit="0" vertical="center" wrapText="1"/>
    </xf>
    <xf borderId="0" fillId="0" fontId="34" numFmtId="0" xfId="0" applyAlignment="1" applyFont="1">
      <alignment vertical="center"/>
    </xf>
    <xf borderId="1" fillId="4" fontId="6" numFmtId="179" xfId="0" applyAlignment="1" applyBorder="1" applyFont="1" applyNumberFormat="1">
      <alignment horizontal="center" shrinkToFit="0" vertical="center" wrapText="1"/>
    </xf>
    <xf borderId="1" fillId="4" fontId="6" numFmtId="0" xfId="0" applyAlignment="1" applyBorder="1" applyFont="1">
      <alignment horizontal="center" shrinkToFit="0" vertical="center" wrapText="1"/>
    </xf>
    <xf borderId="1" fillId="4" fontId="70" numFmtId="0" xfId="0" applyAlignment="1" applyBorder="1" applyFont="1">
      <alignment horizontal="center" shrinkToFit="0" vertical="center" wrapText="1"/>
    </xf>
    <xf borderId="1" fillId="0" fontId="17" numFmtId="0" xfId="0" applyAlignment="1" applyBorder="1" applyFont="1">
      <alignment horizontal="center" shrinkToFit="0" vertical="center" wrapText="1"/>
    </xf>
    <xf borderId="1" fillId="0" fontId="17" numFmtId="0" xfId="0" applyAlignment="1" applyBorder="1" applyFont="1">
      <alignment horizontal="center" readingOrder="0" shrinkToFit="0" vertical="center" wrapText="1"/>
    </xf>
    <xf borderId="4" fillId="0" fontId="7" numFmtId="0" xfId="0" applyAlignment="1" applyBorder="1" applyFont="1">
      <alignment horizontal="center" shrinkToFit="0" vertical="center" wrapText="1"/>
    </xf>
    <xf borderId="1" fillId="4" fontId="6" numFmtId="0" xfId="0" applyAlignment="1" applyBorder="1" applyFont="1">
      <alignment vertical="center"/>
    </xf>
    <xf borderId="1" fillId="0" fontId="58" numFmtId="180" xfId="0" applyAlignment="1" applyBorder="1" applyFont="1" applyNumberFormat="1">
      <alignment horizontal="center" shrinkToFit="0" vertical="center" wrapText="1"/>
    </xf>
    <xf borderId="1" fillId="0" fontId="6" numFmtId="179" xfId="0" applyAlignment="1" applyBorder="1" applyFont="1" applyNumberFormat="1">
      <alignment horizontal="center" shrinkToFit="0" vertical="center" wrapText="1"/>
    </xf>
    <xf borderId="1" fillId="0" fontId="6" numFmtId="0" xfId="0" applyAlignment="1" applyBorder="1" applyFont="1">
      <alignment vertical="center"/>
    </xf>
    <xf borderId="1" fillId="0" fontId="7" numFmtId="180" xfId="0" applyAlignment="1" applyBorder="1" applyFont="1" applyNumberFormat="1">
      <alignment horizontal="center" shrinkToFit="0" vertical="center" wrapText="1"/>
    </xf>
    <xf borderId="4" fillId="0" fontId="58" numFmtId="0" xfId="0" applyAlignment="1" applyBorder="1" applyFont="1">
      <alignment horizontal="center" shrinkToFit="0" vertical="center" wrapText="1"/>
    </xf>
    <xf borderId="1" fillId="0" fontId="7" numFmtId="3" xfId="0" applyAlignment="1" applyBorder="1" applyFont="1" applyNumberFormat="1">
      <alignment horizontal="center" shrinkToFit="0" vertical="center" wrapText="1"/>
    </xf>
    <xf borderId="1" fillId="0" fontId="17" numFmtId="180" xfId="0" applyAlignment="1" applyBorder="1" applyFont="1" applyNumberFormat="1">
      <alignment horizontal="center" shrinkToFit="0" vertical="center" wrapText="1"/>
    </xf>
    <xf borderId="2" fillId="4" fontId="17" numFmtId="0" xfId="0" applyAlignment="1" applyBorder="1" applyFont="1">
      <alignment horizontal="center" readingOrder="0" shrinkToFit="0" vertical="center" wrapText="1"/>
    </xf>
    <xf borderId="2" fillId="0" fontId="5" numFmtId="0" xfId="0" applyAlignment="1" applyBorder="1" applyFont="1">
      <alignment horizontal="center" shrinkToFit="0" vertical="center" wrapText="1"/>
    </xf>
    <xf borderId="1" fillId="0" fontId="5" numFmtId="3" xfId="0" applyAlignment="1" applyBorder="1" applyFont="1" applyNumberFormat="1">
      <alignment horizontal="center" shrinkToFit="0" vertical="center" wrapText="1"/>
    </xf>
    <xf quotePrefix="1" borderId="1" fillId="4" fontId="6" numFmtId="0" xfId="0" applyAlignment="1" applyBorder="1" applyFont="1">
      <alignment horizontal="center" shrinkToFit="0" vertical="center" wrapText="1"/>
    </xf>
    <xf borderId="1" fillId="0" fontId="6" numFmtId="3" xfId="0" applyAlignment="1" applyBorder="1" applyFont="1" applyNumberFormat="1">
      <alignment horizontal="center" shrinkToFit="0" vertical="center" wrapText="1"/>
    </xf>
    <xf borderId="1" fillId="4" fontId="6" numFmtId="3" xfId="0" applyAlignment="1" applyBorder="1" applyFont="1" applyNumberFormat="1">
      <alignment horizontal="center" shrinkToFit="0" vertical="center" wrapText="1"/>
    </xf>
    <xf borderId="1" fillId="10" fontId="71" numFmtId="179" xfId="0" applyAlignment="1" applyBorder="1" applyFont="1" applyNumberFormat="1">
      <alignment horizontal="center" shrinkToFit="0" vertical="center" wrapText="1"/>
    </xf>
    <xf borderId="1" fillId="10" fontId="71" numFmtId="0" xfId="0" applyAlignment="1" applyBorder="1" applyFont="1">
      <alignment horizontal="center" shrinkToFit="0" vertical="center" wrapText="1"/>
    </xf>
    <xf borderId="1" fillId="10" fontId="72" numFmtId="0" xfId="0" applyAlignment="1" applyBorder="1" applyFont="1">
      <alignment horizontal="center" shrinkToFit="0" vertical="center" wrapText="1"/>
    </xf>
    <xf borderId="1" fillId="10" fontId="6" numFmtId="0" xfId="0" applyAlignment="1" applyBorder="1" applyFont="1">
      <alignment vertical="center"/>
    </xf>
    <xf borderId="2" fillId="0" fontId="73" numFmtId="0" xfId="0" applyAlignment="1" applyBorder="1" applyFont="1">
      <alignment horizontal="center" shrinkToFit="0" vertical="center" wrapText="1"/>
    </xf>
    <xf borderId="1" fillId="0" fontId="74" numFmtId="0" xfId="0" applyAlignment="1" applyBorder="1" applyFont="1">
      <alignment horizontal="center" shrinkToFit="0" vertical="center" wrapText="1"/>
    </xf>
    <xf borderId="0" fillId="4" fontId="17" numFmtId="0" xfId="0" applyAlignment="1" applyFont="1">
      <alignment horizontal="center" shrinkToFit="0" vertical="center" wrapText="1"/>
    </xf>
    <xf borderId="26" fillId="0" fontId="36" numFmtId="0" xfId="0" applyAlignment="1" applyBorder="1" applyFont="1">
      <alignment horizontal="center" shrinkToFit="0" vertical="center" wrapText="1"/>
    </xf>
    <xf borderId="26" fillId="0" fontId="3" numFmtId="0" xfId="0" applyBorder="1" applyFont="1"/>
    <xf borderId="27" fillId="0" fontId="17" numFmtId="0" xfId="0" applyAlignment="1" applyBorder="1" applyFont="1">
      <alignment horizontal="center" shrinkToFit="0" vertical="center" wrapText="1"/>
    </xf>
    <xf borderId="28" fillId="0" fontId="17" numFmtId="14" xfId="0" applyAlignment="1" applyBorder="1" applyFont="1" applyNumberFormat="1">
      <alignment horizontal="center" shrinkToFit="0" vertical="center" wrapText="1"/>
    </xf>
    <xf borderId="28" fillId="0" fontId="17" numFmtId="0" xfId="0" applyAlignment="1" applyBorder="1" applyFont="1">
      <alignment horizontal="center" shrinkToFit="0" vertical="center" wrapText="1"/>
    </xf>
    <xf borderId="29" fillId="0" fontId="8" numFmtId="0" xfId="0" applyAlignment="1" applyBorder="1" applyFont="1">
      <alignment horizontal="center" shrinkToFit="0" vertical="center" wrapText="1"/>
    </xf>
    <xf borderId="30" fillId="0" fontId="8" numFmtId="14" xfId="0" applyAlignment="1" applyBorder="1" applyFont="1" applyNumberFormat="1">
      <alignment horizontal="center" shrinkToFit="0" vertical="center" wrapText="1"/>
    </xf>
    <xf borderId="30" fillId="0" fontId="8" numFmtId="0" xfId="0" applyAlignment="1" applyBorder="1" applyFont="1">
      <alignment horizontal="center" shrinkToFit="0" vertical="center" wrapText="1"/>
    </xf>
    <xf quotePrefix="1" borderId="1" fillId="0" fontId="6" numFmtId="0" xfId="0" applyAlignment="1" applyBorder="1" applyFont="1">
      <alignment horizontal="center" shrinkToFit="0" vertical="center" wrapText="1"/>
    </xf>
    <xf borderId="1" fillId="5" fontId="7" numFmtId="0" xfId="0" applyAlignment="1" applyBorder="1" applyFont="1">
      <alignment horizontal="center" shrinkToFit="0" wrapText="1"/>
    </xf>
    <xf borderId="1" fillId="0" fontId="68" numFmtId="165" xfId="0" applyAlignment="1" applyBorder="1" applyFont="1" applyNumberFormat="1">
      <alignment horizontal="center" shrinkToFit="0" wrapText="1"/>
    </xf>
    <xf borderId="1" fillId="5" fontId="7" numFmtId="0" xfId="0" applyBorder="1" applyFont="1"/>
    <xf borderId="1" fillId="0" fontId="68" numFmtId="166" xfId="0" applyAlignment="1" applyBorder="1" applyFont="1" applyNumberFormat="1">
      <alignment horizontal="center" shrinkToFit="0" wrapText="1"/>
    </xf>
    <xf borderId="1" fillId="13" fontId="7" numFmtId="0" xfId="0" applyAlignment="1" applyBorder="1" applyFill="1" applyFont="1">
      <alignment horizontal="center" shrinkToFit="0" wrapText="1"/>
    </xf>
    <xf borderId="1" fillId="0" fontId="75" numFmtId="0" xfId="0" applyAlignment="1" applyBorder="1" applyFont="1">
      <alignment horizontal="center" shrinkToFit="0" wrapText="1"/>
    </xf>
    <xf borderId="1" fillId="0" fontId="7" numFmtId="165" xfId="0" applyAlignment="1" applyBorder="1" applyFont="1" applyNumberFormat="1">
      <alignment horizontal="center" shrinkToFit="0" wrapText="1"/>
    </xf>
    <xf borderId="1" fillId="11" fontId="6" numFmtId="0" xfId="0" applyAlignment="1" applyBorder="1" applyFont="1">
      <alignment horizontal="center" shrinkToFit="0" vertical="bottom" wrapText="1"/>
    </xf>
    <xf borderId="1" fillId="0" fontId="6" numFmtId="181" xfId="0" applyAlignment="1" applyBorder="1" applyFont="1" applyNumberFormat="1">
      <alignment horizontal="center" shrinkToFit="0" vertical="bottom" wrapText="1"/>
    </xf>
    <xf borderId="1" fillId="0" fontId="6" numFmtId="0" xfId="0" applyAlignment="1" applyBorder="1" applyFont="1">
      <alignment horizontal="center" shrinkToFit="0" vertical="bottom" wrapText="1"/>
    </xf>
    <xf borderId="1" fillId="0" fontId="76" numFmtId="0" xfId="0" applyAlignment="1" applyBorder="1" applyFont="1">
      <alignment horizontal="center" shrinkToFit="0" vertical="bottom" wrapText="1"/>
    </xf>
    <xf quotePrefix="1" borderId="1" fillId="0" fontId="6" numFmtId="0" xfId="0" applyAlignment="1" applyBorder="1" applyFont="1">
      <alignment horizontal="center" shrinkToFit="0" vertical="bottom" wrapText="1"/>
    </xf>
    <xf borderId="1" fillId="0" fontId="77" numFmtId="0" xfId="0" applyAlignment="1" applyBorder="1" applyFont="1">
      <alignment horizontal="center" shrinkToFit="0" wrapText="1"/>
    </xf>
    <xf borderId="1" fillId="3" fontId="69" numFmtId="0" xfId="0" applyAlignment="1" applyBorder="1" applyFont="1">
      <alignment horizontal="center" shrinkToFit="0" vertical="center" wrapText="1"/>
    </xf>
    <xf borderId="1" fillId="0" fontId="6" numFmtId="0" xfId="0" applyAlignment="1" applyBorder="1" applyFont="1">
      <alignment horizontal="center" vertical="center"/>
    </xf>
    <xf borderId="1" fillId="3" fontId="69" numFmtId="0" xfId="0" applyAlignment="1" applyBorder="1" applyFont="1">
      <alignment horizontal="center" vertical="center"/>
    </xf>
    <xf borderId="2" fillId="12" fontId="69" numFmtId="0" xfId="0" applyAlignment="1" applyBorder="1" applyFont="1">
      <alignment horizontal="center" shrinkToFit="0" vertical="center" wrapText="1"/>
    </xf>
    <xf borderId="1" fillId="3" fontId="69" numFmtId="170" xfId="0" applyAlignment="1" applyBorder="1" applyFont="1" applyNumberFormat="1">
      <alignment horizontal="center" shrinkToFit="0" vertical="center" wrapText="1"/>
    </xf>
    <xf borderId="1" fillId="0" fontId="6" numFmtId="170" xfId="0" applyAlignment="1" applyBorder="1" applyFont="1" applyNumberFormat="1">
      <alignment horizontal="center" shrinkToFit="0" vertical="center" wrapText="1"/>
    </xf>
    <xf borderId="1" fillId="0" fontId="78" numFmtId="0" xfId="0" applyAlignment="1" applyBorder="1" applyFont="1">
      <alignment horizontal="center" shrinkToFit="0" vertical="center" wrapText="1"/>
    </xf>
    <xf borderId="1" fillId="0" fontId="79" numFmtId="0" xfId="0" applyAlignment="1" applyBorder="1" applyFont="1">
      <alignment horizontal="center" readingOrder="0" shrinkToFit="0" vertical="center" wrapText="1"/>
    </xf>
    <xf borderId="1" fillId="0" fontId="6" numFmtId="0" xfId="0" applyBorder="1" applyFont="1"/>
    <xf borderId="1" fillId="0" fontId="6" numFmtId="171" xfId="0" applyAlignment="1" applyBorder="1" applyFont="1" applyNumberFormat="1">
      <alignment horizontal="center" shrinkToFit="0" vertical="center" wrapText="1"/>
    </xf>
    <xf borderId="1" fillId="0" fontId="80" numFmtId="0" xfId="0" applyAlignment="1" applyBorder="1" applyFont="1">
      <alignment horizontal="center" shrinkToFit="0" wrapText="1"/>
    </xf>
    <xf borderId="1" fillId="0" fontId="81" numFmtId="0" xfId="0" applyAlignment="1" applyBorder="1" applyFont="1">
      <alignment horizontal="center" shrinkToFit="0" wrapText="1"/>
    </xf>
    <xf borderId="1" fillId="0" fontId="82"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neurapex.in/" TargetMode="External"/><Relationship Id="rId42" Type="http://schemas.openxmlformats.org/officeDocument/2006/relationships/hyperlink" Target="mailto:protovillallp@gmail.com" TargetMode="External"/><Relationship Id="rId41" Type="http://schemas.openxmlformats.org/officeDocument/2006/relationships/hyperlink" Target="https://evergreat.co.in" TargetMode="External"/><Relationship Id="rId44" Type="http://schemas.openxmlformats.org/officeDocument/2006/relationships/hyperlink" Target="https://mechro.tech" TargetMode="External"/><Relationship Id="rId43" Type="http://schemas.openxmlformats.org/officeDocument/2006/relationships/hyperlink" Target="https://mydigitaldudes.com/" TargetMode="External"/><Relationship Id="rId46" Type="http://schemas.openxmlformats.org/officeDocument/2006/relationships/hyperlink" Target="https://www.orbitronlabs.in/" TargetMode="External"/><Relationship Id="rId45" Type="http://schemas.openxmlformats.org/officeDocument/2006/relationships/hyperlink" Target="http://inventojoy.in" TargetMode="External"/><Relationship Id="rId1" Type="http://schemas.openxmlformats.org/officeDocument/2006/relationships/hyperlink" Target="http://bigblareinnovations.com/" TargetMode="External"/><Relationship Id="rId2" Type="http://schemas.openxmlformats.org/officeDocument/2006/relationships/hyperlink" Target="mailto:bigblareinnovations1@gmail.com" TargetMode="External"/><Relationship Id="rId3" Type="http://schemas.openxmlformats.org/officeDocument/2006/relationships/hyperlink" Target="https://locksishdigitechindia.com/" TargetMode="External"/><Relationship Id="rId4" Type="http://schemas.openxmlformats.org/officeDocument/2006/relationships/hyperlink" Target="https://visualsketches.art/" TargetMode="External"/><Relationship Id="rId9" Type="http://schemas.openxmlformats.org/officeDocument/2006/relationships/hyperlink" Target="https://www.merecc.com/" TargetMode="External"/><Relationship Id="rId48" Type="http://schemas.openxmlformats.org/officeDocument/2006/relationships/hyperlink" Target="https://klevrax.com/" TargetMode="External"/><Relationship Id="rId47" Type="http://schemas.openxmlformats.org/officeDocument/2006/relationships/hyperlink" Target="mailto:raosanjay111@gmail.com" TargetMode="External"/><Relationship Id="rId49" Type="http://schemas.openxmlformats.org/officeDocument/2006/relationships/hyperlink" Target="https://fertobot-gamma.vercel.app/" TargetMode="External"/><Relationship Id="rId5" Type="http://schemas.openxmlformats.org/officeDocument/2006/relationships/hyperlink" Target="https://neiot.in/" TargetMode="External"/><Relationship Id="rId6" Type="http://schemas.openxmlformats.org/officeDocument/2006/relationships/hyperlink" Target="https://jagmaglights.com/" TargetMode="External"/><Relationship Id="rId7" Type="http://schemas.openxmlformats.org/officeDocument/2006/relationships/hyperlink" Target="https://www.epnteklabs.com/" TargetMode="External"/><Relationship Id="rId8" Type="http://schemas.openxmlformats.org/officeDocument/2006/relationships/hyperlink" Target="https://nutritownorganic.com/" TargetMode="External"/><Relationship Id="rId31" Type="http://schemas.openxmlformats.org/officeDocument/2006/relationships/hyperlink" Target="https://www.gvanbiofuels.com/" TargetMode="External"/><Relationship Id="rId30" Type="http://schemas.openxmlformats.org/officeDocument/2006/relationships/hyperlink" Target="https://laarsaorganic.com/" TargetMode="External"/><Relationship Id="rId33" Type="http://schemas.openxmlformats.org/officeDocument/2006/relationships/hyperlink" Target="https://nomadnx.in/" TargetMode="External"/><Relationship Id="rId32" Type="http://schemas.openxmlformats.org/officeDocument/2006/relationships/hyperlink" Target="https://cyberkida.com/" TargetMode="External"/><Relationship Id="rId35" Type="http://schemas.openxmlformats.org/officeDocument/2006/relationships/hyperlink" Target="https://www.ddverse.in/" TargetMode="External"/><Relationship Id="rId34" Type="http://schemas.openxmlformats.org/officeDocument/2006/relationships/hyperlink" Target="https://verdantmotors.com/" TargetMode="External"/><Relationship Id="rId37" Type="http://schemas.openxmlformats.org/officeDocument/2006/relationships/hyperlink" Target="http://www.nextorbit.co.in/" TargetMode="External"/><Relationship Id="rId36" Type="http://schemas.openxmlformats.org/officeDocument/2006/relationships/hyperlink" Target="https://nidhaan.in/" TargetMode="External"/><Relationship Id="rId39" Type="http://schemas.openxmlformats.org/officeDocument/2006/relationships/hyperlink" Target="https://planetpacks.in/" TargetMode="External"/><Relationship Id="rId38" Type="http://schemas.openxmlformats.org/officeDocument/2006/relationships/hyperlink" Target="https://www.autoremov.com/" TargetMode="External"/><Relationship Id="rId20" Type="http://schemas.openxmlformats.org/officeDocument/2006/relationships/hyperlink" Target="https://artiztick.com/" TargetMode="External"/><Relationship Id="rId22" Type="http://schemas.openxmlformats.org/officeDocument/2006/relationships/hyperlink" Target="https://holida.in/" TargetMode="External"/><Relationship Id="rId21" Type="http://schemas.openxmlformats.org/officeDocument/2006/relationships/hyperlink" Target="https://uproidigital.com/" TargetMode="External"/><Relationship Id="rId24" Type="http://schemas.openxmlformats.org/officeDocument/2006/relationships/hyperlink" Target="https://www.naravnoge.com/" TargetMode="External"/><Relationship Id="rId23" Type="http://schemas.openxmlformats.org/officeDocument/2006/relationships/hyperlink" Target="https://www.thecompanycheck.com/company/aurasa-ventures-private-limited/U46419UP2024PTC204338" TargetMode="External"/><Relationship Id="rId26" Type="http://schemas.openxmlformats.org/officeDocument/2006/relationships/hyperlink" Target="https://mixingofarm.in/" TargetMode="External"/><Relationship Id="rId25" Type="http://schemas.openxmlformats.org/officeDocument/2006/relationships/hyperlink" Target="https://reinvent.fashion/" TargetMode="External"/><Relationship Id="rId28" Type="http://schemas.openxmlformats.org/officeDocument/2006/relationships/hyperlink" Target="https://indusai.app/" TargetMode="External"/><Relationship Id="rId27" Type="http://schemas.openxmlformats.org/officeDocument/2006/relationships/hyperlink" Target="https://www.trulyfresh.in/" TargetMode="External"/><Relationship Id="rId29" Type="http://schemas.openxmlformats.org/officeDocument/2006/relationships/hyperlink" Target="https://shivisavi.com/" TargetMode="External"/><Relationship Id="rId51" Type="http://schemas.openxmlformats.org/officeDocument/2006/relationships/hyperlink" Target="https://abrosaa.com/" TargetMode="External"/><Relationship Id="rId50" Type="http://schemas.openxmlformats.org/officeDocument/2006/relationships/hyperlink" Target="https://servasetu.onrender.com/" TargetMode="External"/><Relationship Id="rId53" Type="http://schemas.openxmlformats.org/officeDocument/2006/relationships/hyperlink" Target="http://hindgrow.hussain.com/" TargetMode="External"/><Relationship Id="rId52" Type="http://schemas.openxmlformats.org/officeDocument/2006/relationships/hyperlink" Target="mailto:shivanibundela11@gmail.com" TargetMode="External"/><Relationship Id="rId11" Type="http://schemas.openxmlformats.org/officeDocument/2006/relationships/hyperlink" Target="https://www.manavwanisewa.com/" TargetMode="External"/><Relationship Id="rId10" Type="http://schemas.openxmlformats.org/officeDocument/2006/relationships/hyperlink" Target="https://ablescareer.com/" TargetMode="External"/><Relationship Id="rId54" Type="http://schemas.openxmlformats.org/officeDocument/2006/relationships/drawing" Target="../drawings/drawing1.xml"/><Relationship Id="rId13" Type="http://schemas.openxmlformats.org/officeDocument/2006/relationships/hyperlink" Target="http://debasohammechanismpvtltd.website3.me/" TargetMode="External"/><Relationship Id="rId12" Type="http://schemas.openxmlformats.org/officeDocument/2006/relationships/hyperlink" Target="https://www.mylyfcares.com" TargetMode="External"/><Relationship Id="rId15" Type="http://schemas.openxmlformats.org/officeDocument/2006/relationships/hyperlink" Target="https://www.kineerblessed.com/" TargetMode="External"/><Relationship Id="rId14" Type="http://schemas.openxmlformats.org/officeDocument/2006/relationships/hyperlink" Target="https://www.triposaints.com/" TargetMode="External"/><Relationship Id="rId17" Type="http://schemas.openxmlformats.org/officeDocument/2006/relationships/hyperlink" Target="https://www.weaclimsolutions.com/" TargetMode="External"/><Relationship Id="rId16" Type="http://schemas.openxmlformats.org/officeDocument/2006/relationships/hyperlink" Target="https://speckyfox.com/" TargetMode="External"/><Relationship Id="rId19" Type="http://schemas.openxmlformats.org/officeDocument/2006/relationships/hyperlink" Target="https://www.kubhanengineers.com/" TargetMode="External"/><Relationship Id="rId18" Type="http://schemas.openxmlformats.org/officeDocument/2006/relationships/hyperlink" Target="https://e4asolution.com/contact.ph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gK7QAPlGhqRlIkqH3KH8j3UuDlxdhw74/edit?usp=sharing&amp;ouid=104602613420684160217&amp;rtpof=true&amp;sd=true" TargetMode="External"/><Relationship Id="rId2" Type="http://schemas.openxmlformats.org/officeDocument/2006/relationships/hyperlink" Target="https://docs.google.com/document/d/1gfYlhCqZu4W-cZXgxR1noNxHPrtq6a8v/edit?usp=sharing&amp;ouid=104602613420684160217&amp;rtpof=true&amp;sd=true" TargetMode="External"/><Relationship Id="rId3" Type="http://schemas.openxmlformats.org/officeDocument/2006/relationships/hyperlink" Target="https://docs.google.com/document/d/1CVEwgljCtlcRthEVGeTCsD6MykTQiTQV/edit?usp=drive_link&amp;ouid=104602613420684160217&amp;rtpof=true&amp;sd=true"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bigblareinnovations1@gmail.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drive/folders/1iJcJzy-O2FK8sB9bGaloOLkUa5-3wW3e" TargetMode="External"/><Relationship Id="rId42" Type="http://schemas.openxmlformats.org/officeDocument/2006/relationships/hyperlink" Target="https://drive.google.com/drive/folders/1zrMYb-RKclhigWH7ikv-fx1Jgqlay82V" TargetMode="External"/><Relationship Id="rId41" Type="http://schemas.openxmlformats.org/officeDocument/2006/relationships/hyperlink" Target="https://drive.google.com/drive/folders/1rKXuJ9AQaY40W-MoVgt3nPs0xybE3iQU" TargetMode="External"/><Relationship Id="rId44" Type="http://schemas.openxmlformats.org/officeDocument/2006/relationships/hyperlink" Target="https://drive.google.com/drive/folders/1qpOuR_B-4linMb6Ut7gHd0YalFlt0KjE" TargetMode="External"/><Relationship Id="rId43" Type="http://schemas.openxmlformats.org/officeDocument/2006/relationships/hyperlink" Target="https://drive.google.com/drive/folders/1jHUy-64YFPND5Eyp_x3sal0ZQfFq3hbh" TargetMode="External"/><Relationship Id="rId46" Type="http://schemas.openxmlformats.org/officeDocument/2006/relationships/hyperlink" Target="https://drive.google.com/drive/folders/1hkL6lWeOlF0jbKa_1PJFhZgDr1XYmeiS" TargetMode="External"/><Relationship Id="rId45" Type="http://schemas.openxmlformats.org/officeDocument/2006/relationships/hyperlink" Target="https://drive.google.com/drive/folders/1syrzrVQYib420OwMo6cHwHKv-is9jqfQ" TargetMode="External"/><Relationship Id="rId1" Type="http://schemas.openxmlformats.org/officeDocument/2006/relationships/hyperlink" Target="https://drive.google.com/drive/folders/1P3uQXxap4wewYr9SJ1-2E-x4J73_76i5" TargetMode="External"/><Relationship Id="rId2" Type="http://schemas.openxmlformats.org/officeDocument/2006/relationships/hyperlink" Target="https://drive.google.com/drive/folders/1HCLuhLwWXOjGpx2OA7602CAlVelkIxf4" TargetMode="External"/><Relationship Id="rId3" Type="http://schemas.openxmlformats.org/officeDocument/2006/relationships/hyperlink" Target="https://drive.google.com/drive/folders/12AJw7agLFv3KpYiAThMpFxswZGxUozPG" TargetMode="External"/><Relationship Id="rId4" Type="http://schemas.openxmlformats.org/officeDocument/2006/relationships/hyperlink" Target="https://drive.google.com/drive/folders/1mDkcqRx7URImLMseGTINEmxfCw5XBUAa" TargetMode="External"/><Relationship Id="rId9" Type="http://schemas.openxmlformats.org/officeDocument/2006/relationships/hyperlink" Target="https://drive.google.com/drive/folders/1XRJ-G1uIFMA32RiWPVFL_ysqKsEoblHm" TargetMode="External"/><Relationship Id="rId48" Type="http://schemas.openxmlformats.org/officeDocument/2006/relationships/hyperlink" Target="https://drive.google.com/drive/folders/1d4WAv9EmGwx3ClAtjdWuawoYG5j23HY3" TargetMode="External"/><Relationship Id="rId47" Type="http://schemas.openxmlformats.org/officeDocument/2006/relationships/hyperlink" Target="https://drive.google.com/drive/folders/1iXSQCjcaR0qjsUWTR4XpE9SWgcyYvuS9" TargetMode="External"/><Relationship Id="rId49" Type="http://schemas.openxmlformats.org/officeDocument/2006/relationships/hyperlink" Target="https://drive.google.com/drive/folders/1xKfVKJL7NrrcUAKC6j-KQds76E3B0YFu" TargetMode="External"/><Relationship Id="rId5" Type="http://schemas.openxmlformats.org/officeDocument/2006/relationships/hyperlink" Target="https://drive.google.com/drive/folders/1S046XmnH-yLHqaf8EYio20EM-7UAFUCE" TargetMode="External"/><Relationship Id="rId6" Type="http://schemas.openxmlformats.org/officeDocument/2006/relationships/hyperlink" Target="https://drive.google.com/drive/folders/1pALVFNs9Wav6ZCaHVAwe6nUeEc3Jb0Rf" TargetMode="External"/><Relationship Id="rId7" Type="http://schemas.openxmlformats.org/officeDocument/2006/relationships/hyperlink" Target="https://drive.google.com/drive/folders/1ZAkthMdy2zPtyCoUnW9jtcOqjnR_Ytxt" TargetMode="External"/><Relationship Id="rId8" Type="http://schemas.openxmlformats.org/officeDocument/2006/relationships/hyperlink" Target="https://drive.google.com/drive/folders/15GGHgHHs_TvG-_telnn3xr5NEanVpe0j" TargetMode="External"/><Relationship Id="rId31" Type="http://schemas.openxmlformats.org/officeDocument/2006/relationships/hyperlink" Target="https://drive.google.com/drive/folders/1BqlRmec46tHk2aqc3ZnOQvFSxtM7LPsT" TargetMode="External"/><Relationship Id="rId30" Type="http://schemas.openxmlformats.org/officeDocument/2006/relationships/hyperlink" Target="https://drive.google.com/drive/folders/127atmC4e-km6tPnHPtv3WUF1p5W3fsx3" TargetMode="External"/><Relationship Id="rId33" Type="http://schemas.openxmlformats.org/officeDocument/2006/relationships/hyperlink" Target="https://drive.google.com/drive/folders/14d1CZS4O5vFN0jEM3jqU0yDkrY-74K7e" TargetMode="External"/><Relationship Id="rId32" Type="http://schemas.openxmlformats.org/officeDocument/2006/relationships/hyperlink" Target="https://drive.google.com/drive/folders/1x3AIuM3wSwCA5GSEnsKNC9wlVkIkr7FE" TargetMode="External"/><Relationship Id="rId35" Type="http://schemas.openxmlformats.org/officeDocument/2006/relationships/hyperlink" Target="https://drive.google.com/drive/folders/1oaBYpFRDYKV8LIBQyYTXHJnYtYGZT3N5" TargetMode="External"/><Relationship Id="rId34" Type="http://schemas.openxmlformats.org/officeDocument/2006/relationships/hyperlink" Target="https://drive.google.com/drive/folders/1qiLTLaQkfKvB5mOZvHzfFFWwvYX52-e4" TargetMode="External"/><Relationship Id="rId37" Type="http://schemas.openxmlformats.org/officeDocument/2006/relationships/hyperlink" Target="https://drive.google.com/drive/folders/1tSytCT15QR-uqq95fvdpUkZTavk3zcoo" TargetMode="External"/><Relationship Id="rId36" Type="http://schemas.openxmlformats.org/officeDocument/2006/relationships/hyperlink" Target="https://drive.google.com/drive/folders/1PsH0hpFhYTCmYQquJ0RYwhvEnxlfBiG6" TargetMode="External"/><Relationship Id="rId39" Type="http://schemas.openxmlformats.org/officeDocument/2006/relationships/hyperlink" Target="https://drive.google.com/drive/folders/1_DAm9QzWTO_lNtOxgdX65LuDrUeI1jhZ" TargetMode="External"/><Relationship Id="rId38" Type="http://schemas.openxmlformats.org/officeDocument/2006/relationships/hyperlink" Target="https://drive.google.com/drive/folders/1eca-gf_oh-uryhkpj4nE9eNfHc31-Fqw" TargetMode="External"/><Relationship Id="rId20" Type="http://schemas.openxmlformats.org/officeDocument/2006/relationships/hyperlink" Target="https://drive.google.com/drive/folders/1aWXTIcA-PoU_nnhN7_uWEj6T6F-rf2GN" TargetMode="External"/><Relationship Id="rId22" Type="http://schemas.openxmlformats.org/officeDocument/2006/relationships/hyperlink" Target="https://drive.google.com/drive/folders/1Tl3VDKqQnIRU0irEsaxlWgchqWvk2hmg" TargetMode="External"/><Relationship Id="rId21" Type="http://schemas.openxmlformats.org/officeDocument/2006/relationships/hyperlink" Target="https://drive.google.com/drive/folders/1xLJsczVmqAvnHuAlTjHlPiyzhoBX3g5d" TargetMode="External"/><Relationship Id="rId24" Type="http://schemas.openxmlformats.org/officeDocument/2006/relationships/hyperlink" Target="https://drive.google.com/drive/folders/1ZBUbremqhCLuh4xnZ4U2rUB6wqDEZWZI" TargetMode="External"/><Relationship Id="rId23" Type="http://schemas.openxmlformats.org/officeDocument/2006/relationships/hyperlink" Target="https://drive.google.com/drive/folders/12dq7fdZsB7onnv1ksrdfcdQxZwReg52D" TargetMode="External"/><Relationship Id="rId26" Type="http://schemas.openxmlformats.org/officeDocument/2006/relationships/hyperlink" Target="https://drive.google.com/drive/folders/1DTLaJAqFlvQWQ94iHqw5IghZ0JYz5P66" TargetMode="External"/><Relationship Id="rId25" Type="http://schemas.openxmlformats.org/officeDocument/2006/relationships/hyperlink" Target="https://drive.google.com/drive/folders/1ZBUbremqhCLuh4xnZ4U2rUB6wqDEZWZI" TargetMode="External"/><Relationship Id="rId28" Type="http://schemas.openxmlformats.org/officeDocument/2006/relationships/hyperlink" Target="https://drive.google.com/drive/folders/1MajOswCv4uNd-PnAc_O7fkcdZ0WH-qUc" TargetMode="External"/><Relationship Id="rId27" Type="http://schemas.openxmlformats.org/officeDocument/2006/relationships/hyperlink" Target="https://drive.google.com/drive/folders/1i9df2mQ2LV9TrbHTCKBt5M7NKOEBKd3Q" TargetMode="External"/><Relationship Id="rId29" Type="http://schemas.openxmlformats.org/officeDocument/2006/relationships/hyperlink" Target="https://drive.google.com/drive/folders/1If4h7zA44xSEeh0MC5tR3nUomZR6V5DK" TargetMode="External"/><Relationship Id="rId51" Type="http://schemas.openxmlformats.org/officeDocument/2006/relationships/hyperlink" Target="https://drive.google.com/drive/folders/1LIhmoYuVPprKAgRUIS_quFT7BC_FSV_5" TargetMode="External"/><Relationship Id="rId50" Type="http://schemas.openxmlformats.org/officeDocument/2006/relationships/hyperlink" Target="https://drive.google.com/drive/folders/1lWYLfM8q01jzhR7tStgcTWRRw8n_UnKy" TargetMode="External"/><Relationship Id="rId53" Type="http://schemas.openxmlformats.org/officeDocument/2006/relationships/hyperlink" Target="https://drive.google.com/drive/folders/1tvvNAlWb7dAppvPiyn6PLPJS8icWOdoN" TargetMode="External"/><Relationship Id="rId52" Type="http://schemas.openxmlformats.org/officeDocument/2006/relationships/hyperlink" Target="https://drive.google.com/drive/folders/1RsdadSJIqHMaBmRtGLP3Z5DsHgY1XgHp" TargetMode="External"/><Relationship Id="rId11" Type="http://schemas.openxmlformats.org/officeDocument/2006/relationships/hyperlink" Target="https://drive.google.com/drive/folders/15HeSbQcAkzNxaVYyUldvNF3-_D6DkLrA" TargetMode="External"/><Relationship Id="rId10" Type="http://schemas.openxmlformats.org/officeDocument/2006/relationships/hyperlink" Target="https://drive.google.com/drive/folders/1y5yE0DbupnbDeGfrKJsLWRlJxkteI_cd" TargetMode="External"/><Relationship Id="rId54" Type="http://schemas.openxmlformats.org/officeDocument/2006/relationships/drawing" Target="../drawings/drawing5.xml"/><Relationship Id="rId13" Type="http://schemas.openxmlformats.org/officeDocument/2006/relationships/hyperlink" Target="https://drive.google.com/drive/folders/1mLnxo4J56BLkbzXYIoqewb0lP8Z1E-qL" TargetMode="External"/><Relationship Id="rId12" Type="http://schemas.openxmlformats.org/officeDocument/2006/relationships/hyperlink" Target="https://drive.google.com/drive/folders/1X7wx-QHrzx5lQ2KkR91DBykDfp81rm9I" TargetMode="External"/><Relationship Id="rId15" Type="http://schemas.openxmlformats.org/officeDocument/2006/relationships/hyperlink" Target="https://drive.google.com/drive/folders/1RIxEunUCtRfUY8EtsFNWSQ0mOyH0upQX" TargetMode="External"/><Relationship Id="rId14" Type="http://schemas.openxmlformats.org/officeDocument/2006/relationships/hyperlink" Target="https://drive.google.com/drive/folders/1lkK8CLaghu3Lc3enNNrcqEWHvIiOVERc" TargetMode="External"/><Relationship Id="rId17" Type="http://schemas.openxmlformats.org/officeDocument/2006/relationships/hyperlink" Target="https://drive.google.com/drive/folders/1T8RPXk7aynGPF8VoSwi6xMet2QneAOCW" TargetMode="External"/><Relationship Id="rId16" Type="http://schemas.openxmlformats.org/officeDocument/2006/relationships/hyperlink" Target="https://drive.google.com/drive/folders/1g6In2dT-VCV_ciQ9ppRHXcFlwSd2ECQZ" TargetMode="External"/><Relationship Id="rId19" Type="http://schemas.openxmlformats.org/officeDocument/2006/relationships/hyperlink" Target="https://drive.google.com/drive/folders/1RDbsDx1jYe_v4K1UybzaHo3BSOGB5B05" TargetMode="External"/><Relationship Id="rId18" Type="http://schemas.openxmlformats.org/officeDocument/2006/relationships/hyperlink" Target="https://drive.google.com/drive/folders/1OhPcCRqAsi85EAff9BSA1yPhenxkepMG"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_bmtoIDDAlUAL3o5peOgT4KEveE2RaRu/view?usp=sharing" TargetMode="External"/><Relationship Id="rId2" Type="http://schemas.openxmlformats.org/officeDocument/2006/relationships/hyperlink" Target="https://drive.google.com/file/d/1ekmxdf-AWFLTnc3qxyiY4cdPEsrFEN1a/view?usp=sharing" TargetMode="External"/><Relationship Id="rId3" Type="http://schemas.openxmlformats.org/officeDocument/2006/relationships/hyperlink" Target="https://drive.google.com/file/d/1DqDh7EGqIxF_y58rmIYmBVyR0E_FITGj/view?usp=sharing" TargetMode="External"/><Relationship Id="rId4" Type="http://schemas.openxmlformats.org/officeDocument/2006/relationships/hyperlink" Target="https://drive.google.com/file/d/1B4aj-gUu1t4hD6WsGp33KA-frn_T527G/view?usp=sharing" TargetMode="External"/><Relationship Id="rId9" Type="http://schemas.openxmlformats.org/officeDocument/2006/relationships/hyperlink" Target="https://drive.google.com/file/d/1W-ULrTsEqQqf1Ti1RTuXCikLn7n47ZTn/view?usp=sharing" TargetMode="External"/><Relationship Id="rId5" Type="http://schemas.openxmlformats.org/officeDocument/2006/relationships/hyperlink" Target="https://drive.google.com/file/d/1FOS33NhNMOVrkS_Q1txJcVGmZuYJpaV-/view?usp=sharing" TargetMode="External"/><Relationship Id="rId6" Type="http://schemas.openxmlformats.org/officeDocument/2006/relationships/hyperlink" Target="https://drive.google.com/file/d/1eWRDlO5ELDcC2UuuONOQa6i-MEQ_oSdn/view?usp=sharing" TargetMode="External"/><Relationship Id="rId7" Type="http://schemas.openxmlformats.org/officeDocument/2006/relationships/hyperlink" Target="https://drive.google.com/file/d/11O-NHISnvaigBPAbsBDZtmxp5o-gUMsN/view?usp=sharing" TargetMode="External"/><Relationship Id="rId8" Type="http://schemas.openxmlformats.org/officeDocument/2006/relationships/hyperlink" Target="https://drive.google.com/file/d/1syzbC-85Vqb8QUbawxDK8NLOsYBPKslb/view?usp=sharing" TargetMode="External"/><Relationship Id="rId20" Type="http://schemas.openxmlformats.org/officeDocument/2006/relationships/hyperlink" Target="https://drive.google.com/file/d/1QTNzjFxRT0T8gNCS7W9QEql163b7tyBd/view?usp=sharing" TargetMode="External"/><Relationship Id="rId22" Type="http://schemas.openxmlformats.org/officeDocument/2006/relationships/hyperlink" Target="https://drive.google.com/file/d/1-9ZwbgETTFaBIeLBz5lQvnhJtw34o_af/view?usp=sharing" TargetMode="External"/><Relationship Id="rId21" Type="http://schemas.openxmlformats.org/officeDocument/2006/relationships/hyperlink" Target="https://drive.google.com/file/d/1kIMUqSIkN1_RF0Yn-YdMy2UgiG7VoUas/view?usp=sharing" TargetMode="External"/><Relationship Id="rId24" Type="http://schemas.openxmlformats.org/officeDocument/2006/relationships/hyperlink" Target="https://drive.google.com/file/d/1ukz9-EnijJsmrl2W2HUkAwPeB0zzyaBV/view?usp=sharing" TargetMode="External"/><Relationship Id="rId23" Type="http://schemas.openxmlformats.org/officeDocument/2006/relationships/hyperlink" Target="https://drive.google.com/file/d/1-9ZwbgETTFaBIeLBz5lQvnhJtw34o_af/view?usp=sharing" TargetMode="External"/><Relationship Id="rId26" Type="http://schemas.openxmlformats.org/officeDocument/2006/relationships/drawing" Target="../drawings/drawing7.xml"/><Relationship Id="rId25" Type="http://schemas.openxmlformats.org/officeDocument/2006/relationships/hyperlink" Target="https://drive.google.com/file/d/1Caxin2tUN8VPtyN1qVYjDCTZ4wkASWNn/view?usp=sharing" TargetMode="External"/><Relationship Id="rId11" Type="http://schemas.openxmlformats.org/officeDocument/2006/relationships/hyperlink" Target="https://drive.google.com/file/d/1LIKQdDXYw7cQjSeCZT2drgH8vFSTfmu9/view?usp=sharing" TargetMode="External"/><Relationship Id="rId10" Type="http://schemas.openxmlformats.org/officeDocument/2006/relationships/hyperlink" Target="https://drive.google.com/file/d/1xtdxut7Z8Mri-rMBFxWS1kllEXQDT8uk/view?usp=sharing" TargetMode="External"/><Relationship Id="rId13" Type="http://schemas.openxmlformats.org/officeDocument/2006/relationships/hyperlink" Target="https://drive.google.com/file/d/1EGazggjCkH9egakjhtaKyox0Ckng7yyR/view?usp=sharing" TargetMode="External"/><Relationship Id="rId12" Type="http://schemas.openxmlformats.org/officeDocument/2006/relationships/hyperlink" Target="https://drive.google.com/file/d/1OQN_eCpdInbV1Wgwq9BKgyw-EOWAyS-u/view?usp=sharing" TargetMode="External"/><Relationship Id="rId15" Type="http://schemas.openxmlformats.org/officeDocument/2006/relationships/hyperlink" Target="https://drive.google.com/file/d/1kQUPtHMLeVx9Rq2zjSwzCBDbDpCnVOD9/view?usp=sharing" TargetMode="External"/><Relationship Id="rId14" Type="http://schemas.openxmlformats.org/officeDocument/2006/relationships/hyperlink" Target="https://drive.google.com/file/d/1SZlKHOitOH2mbegaXzwk9KLgaUEja03T/view?usp=sharing" TargetMode="External"/><Relationship Id="rId17" Type="http://schemas.openxmlformats.org/officeDocument/2006/relationships/hyperlink" Target="https://drive.google.com/file/d/1VC8R38Rl8BVQkJavaFZmPzlhrI35HjIZ/view?usp=sharing" TargetMode="External"/><Relationship Id="rId16" Type="http://schemas.openxmlformats.org/officeDocument/2006/relationships/hyperlink" Target="https://drive.google.com/file/d/1TPDWzq-UGGyAp2k9uGDaTboNRMGaKzLw/view?usp=sharing" TargetMode="External"/><Relationship Id="rId19" Type="http://schemas.openxmlformats.org/officeDocument/2006/relationships/hyperlink" Target="https://drive.google.com/file/d/1t1T3OXWZJHb3oHfM5bzZj-8S0WKbaBhR/view?usp=sharing" TargetMode="External"/><Relationship Id="rId18" Type="http://schemas.openxmlformats.org/officeDocument/2006/relationships/hyperlink" Target="https://drive.google.com/file/d/1o1aJCMG7l3kRp1ajgVe3VQsr2_M-pSqp/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skillmantra@gmail.com" TargetMode="External"/><Relationship Id="rId2" Type="http://schemas.openxmlformats.org/officeDocument/2006/relationships/hyperlink" Target="mailto:sushantbiz@yahoo.com" TargetMode="External"/><Relationship Id="rId3" Type="http://schemas.openxmlformats.org/officeDocument/2006/relationships/hyperlink" Target="mailto:skshervan@gmail.com" TargetMode="External"/><Relationship Id="rId4" Type="http://schemas.openxmlformats.org/officeDocument/2006/relationships/hyperlink" Target="mailto:amitganeti@gmail.com" TargetMode="External"/><Relationship Id="rId9" Type="http://schemas.openxmlformats.org/officeDocument/2006/relationships/hyperlink" Target="mailto:viveksinghiec@gmail.com" TargetMode="External"/><Relationship Id="rId5" Type="http://schemas.openxmlformats.org/officeDocument/2006/relationships/hyperlink" Target="mailto:ceo@aic-iitd.in" TargetMode="External"/><Relationship Id="rId6" Type="http://schemas.openxmlformats.org/officeDocument/2006/relationships/hyperlink" Target="mailto:abhishekkumar@sidbi.in" TargetMode="External"/><Relationship Id="rId7" Type="http://schemas.openxmlformats.org/officeDocument/2006/relationships/hyperlink" Target="mailto:vivek@innovant.co.in" TargetMode="External"/><Relationship Id="rId8" Type="http://schemas.openxmlformats.org/officeDocument/2006/relationships/hyperlink" Target="mailto:manish.nitme@gmail.com" TargetMode="External"/><Relationship Id="rId20" Type="http://schemas.openxmlformats.org/officeDocument/2006/relationships/drawing" Target="../drawings/drawing8.xml"/><Relationship Id="rId11" Type="http://schemas.openxmlformats.org/officeDocument/2006/relationships/hyperlink" Target="mailto:prabhatchsinha@gmail.com" TargetMode="External"/><Relationship Id="rId10" Type="http://schemas.openxmlformats.org/officeDocument/2006/relationships/hyperlink" Target="mailto:makinglifeinteresting@gmail.com" TargetMode="External"/><Relationship Id="rId13" Type="http://schemas.openxmlformats.org/officeDocument/2006/relationships/hyperlink" Target="mailto:mukuljain2@gmail.com" TargetMode="External"/><Relationship Id="rId12" Type="http://schemas.openxmlformats.org/officeDocument/2006/relationships/hyperlink" Target="mailto:jagmaglights@gmail.com" TargetMode="External"/><Relationship Id="rId15" Type="http://schemas.openxmlformats.org/officeDocument/2006/relationships/hyperlink" Target="mailto:vivekgupta17@gmail.com" TargetMode="External"/><Relationship Id="rId14" Type="http://schemas.openxmlformats.org/officeDocument/2006/relationships/hyperlink" Target="mailto:rklal1008@reddifmail.com" TargetMode="External"/><Relationship Id="rId17" Type="http://schemas.openxmlformats.org/officeDocument/2006/relationships/hyperlink" Target="mailto:gaurav@bigohealth.com" TargetMode="External"/><Relationship Id="rId16" Type="http://schemas.openxmlformats.org/officeDocument/2006/relationships/hyperlink" Target="mailto:jagmaglights@gmail.com" TargetMode="External"/><Relationship Id="rId19" Type="http://schemas.openxmlformats.org/officeDocument/2006/relationships/hyperlink" Target="mailto:raman@eonmed.in" TargetMode="External"/><Relationship Id="rId18" Type="http://schemas.openxmlformats.org/officeDocument/2006/relationships/hyperlink" Target="mailto:incubationmanager@upidnoida.ac.in"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inc24dup062123.pdf" TargetMode="External"/><Relationship Id="rId42" Type="http://schemas.openxmlformats.org/officeDocument/2006/relationships/hyperlink" Target="http://inc24dup062819.pdf" TargetMode="External"/><Relationship Id="rId41" Type="http://schemas.openxmlformats.org/officeDocument/2006/relationships/hyperlink" Target="http://inc24dup062163.pdf" TargetMode="External"/><Relationship Id="rId44" Type="http://schemas.openxmlformats.org/officeDocument/2006/relationships/hyperlink" Target="http://inc24dup064562.pdf" TargetMode="External"/><Relationship Id="rId43" Type="http://schemas.openxmlformats.org/officeDocument/2006/relationships/hyperlink" Target="http://inc24ddl064062.pdf" TargetMode="External"/><Relationship Id="rId46" Type="http://schemas.openxmlformats.org/officeDocument/2006/relationships/hyperlink" Target="http://inc24dup066543.pdf" TargetMode="External"/><Relationship Id="rId45" Type="http://schemas.openxmlformats.org/officeDocument/2006/relationships/hyperlink" Target="http://inc24dup065227.pdf" TargetMode="External"/><Relationship Id="rId107" Type="http://schemas.openxmlformats.org/officeDocument/2006/relationships/hyperlink" Target="http://inc24dup061954.pdf" TargetMode="External"/><Relationship Id="rId106" Type="http://schemas.openxmlformats.org/officeDocument/2006/relationships/hyperlink" Target="http://inc24dup061919.pdf" TargetMode="External"/><Relationship Id="rId105" Type="http://schemas.openxmlformats.org/officeDocument/2006/relationships/hyperlink" Target="http://inc24dup061331.pdf" TargetMode="External"/><Relationship Id="rId104" Type="http://schemas.openxmlformats.org/officeDocument/2006/relationships/hyperlink" Target="http://inc24dup060615.pdf" TargetMode="External"/><Relationship Id="rId109" Type="http://schemas.openxmlformats.org/officeDocument/2006/relationships/hyperlink" Target="http://inc24dup063477.pdf" TargetMode="External"/><Relationship Id="rId108" Type="http://schemas.openxmlformats.org/officeDocument/2006/relationships/hyperlink" Target="http://inc24dup062675.pdf" TargetMode="External"/><Relationship Id="rId48" Type="http://schemas.openxmlformats.org/officeDocument/2006/relationships/hyperlink" Target="http://inc24dup039156.pdf" TargetMode="External"/><Relationship Id="rId47" Type="http://schemas.openxmlformats.org/officeDocument/2006/relationships/hyperlink" Target="http://inc24dup038405.pdf" TargetMode="External"/><Relationship Id="rId49" Type="http://schemas.openxmlformats.org/officeDocument/2006/relationships/hyperlink" Target="http://inc24dup039179.pdf" TargetMode="External"/><Relationship Id="rId103" Type="http://schemas.openxmlformats.org/officeDocument/2006/relationships/hyperlink" Target="http://inc24dup059320.pdf" TargetMode="External"/><Relationship Id="rId102" Type="http://schemas.openxmlformats.org/officeDocument/2006/relationships/hyperlink" Target="http://inc24djh057710.pdf" TargetMode="External"/><Relationship Id="rId101" Type="http://schemas.openxmlformats.org/officeDocument/2006/relationships/hyperlink" Target="http://inc24drj055888.pdf" TargetMode="External"/><Relationship Id="rId100" Type="http://schemas.openxmlformats.org/officeDocument/2006/relationships/hyperlink" Target="http://inc24dup050993.pdf" TargetMode="External"/><Relationship Id="rId31" Type="http://schemas.openxmlformats.org/officeDocument/2006/relationships/hyperlink" Target="http://inc24dup045128.pdf" TargetMode="External"/><Relationship Id="rId30" Type="http://schemas.openxmlformats.org/officeDocument/2006/relationships/hyperlink" Target="http://inc24dup038968.pdf" TargetMode="External"/><Relationship Id="rId33" Type="http://schemas.openxmlformats.org/officeDocument/2006/relationships/hyperlink" Target="http://inc24dup054686.pdf" TargetMode="External"/><Relationship Id="rId32" Type="http://schemas.openxmlformats.org/officeDocument/2006/relationships/hyperlink" Target="http://inc24dup048013.pdf" TargetMode="External"/><Relationship Id="rId35" Type="http://schemas.openxmlformats.org/officeDocument/2006/relationships/hyperlink" Target="http://inc24dup058326.pdf" TargetMode="External"/><Relationship Id="rId34" Type="http://schemas.openxmlformats.org/officeDocument/2006/relationships/hyperlink" Target="http://inc24dup056415.pdf" TargetMode="External"/><Relationship Id="rId37" Type="http://schemas.openxmlformats.org/officeDocument/2006/relationships/hyperlink" Target="http://inc24dkr061570.pdf" TargetMode="External"/><Relationship Id="rId36" Type="http://schemas.openxmlformats.org/officeDocument/2006/relationships/hyperlink" Target="http://inc24dup061055.pdf" TargetMode="External"/><Relationship Id="rId39" Type="http://schemas.openxmlformats.org/officeDocument/2006/relationships/hyperlink" Target="http://inc24ddl062099.pdf" TargetMode="External"/><Relationship Id="rId38" Type="http://schemas.openxmlformats.org/officeDocument/2006/relationships/hyperlink" Target="http://inc24dup061599.pdf" TargetMode="External"/><Relationship Id="rId20" Type="http://schemas.openxmlformats.org/officeDocument/2006/relationships/hyperlink" Target="http://inc24dup056719.pdf" TargetMode="External"/><Relationship Id="rId22" Type="http://schemas.openxmlformats.org/officeDocument/2006/relationships/hyperlink" Target="http://inc24duk060263.pdf" TargetMode="External"/><Relationship Id="rId21" Type="http://schemas.openxmlformats.org/officeDocument/2006/relationships/hyperlink" Target="http://inc24duk059211.pdf" TargetMode="External"/><Relationship Id="rId24" Type="http://schemas.openxmlformats.org/officeDocument/2006/relationships/hyperlink" Target="http://inc24duk061857.pdf" TargetMode="External"/><Relationship Id="rId23" Type="http://schemas.openxmlformats.org/officeDocument/2006/relationships/hyperlink" Target="http://inc24djh060782.pdf" TargetMode="External"/><Relationship Id="rId26" Type="http://schemas.openxmlformats.org/officeDocument/2006/relationships/hyperlink" Target="http://inc24duk062401.pdf" TargetMode="External"/><Relationship Id="rId25" Type="http://schemas.openxmlformats.org/officeDocument/2006/relationships/hyperlink" Target="http://inc24duk062386.pdf" TargetMode="External"/><Relationship Id="rId28" Type="http://schemas.openxmlformats.org/officeDocument/2006/relationships/hyperlink" Target="http://inc24duk065025.pdf" TargetMode="External"/><Relationship Id="rId27" Type="http://schemas.openxmlformats.org/officeDocument/2006/relationships/hyperlink" Target="http://inc24dup064510.pdf" TargetMode="External"/><Relationship Id="rId29" Type="http://schemas.openxmlformats.org/officeDocument/2006/relationships/hyperlink" Target="http://inc24dup066361.pdf" TargetMode="External"/><Relationship Id="rId95" Type="http://schemas.openxmlformats.org/officeDocument/2006/relationships/hyperlink" Target="http://inc24dup065310.pdf" TargetMode="External"/><Relationship Id="rId94" Type="http://schemas.openxmlformats.org/officeDocument/2006/relationships/hyperlink" Target="http://inc24dup064678.pdf" TargetMode="External"/><Relationship Id="rId97" Type="http://schemas.openxmlformats.org/officeDocument/2006/relationships/hyperlink" Target="http://inc24ddl066115.pdf" TargetMode="External"/><Relationship Id="rId96" Type="http://schemas.openxmlformats.org/officeDocument/2006/relationships/hyperlink" Target="http://inc24dup065340.pdf" TargetMode="External"/><Relationship Id="rId11" Type="http://schemas.openxmlformats.org/officeDocument/2006/relationships/hyperlink" Target="http://inc24dup038061.pdf" TargetMode="External"/><Relationship Id="rId99" Type="http://schemas.openxmlformats.org/officeDocument/2006/relationships/hyperlink" Target="http://inc24dup045224.pdf" TargetMode="External"/><Relationship Id="rId10" Type="http://schemas.openxmlformats.org/officeDocument/2006/relationships/hyperlink" Target="http://inc24dup038049.pdf" TargetMode="External"/><Relationship Id="rId98" Type="http://schemas.openxmlformats.org/officeDocument/2006/relationships/hyperlink" Target="http://inc24duk066123.pdf" TargetMode="External"/><Relationship Id="rId13" Type="http://schemas.openxmlformats.org/officeDocument/2006/relationships/hyperlink" Target="http://inc24dcg047822.pdf" TargetMode="External"/><Relationship Id="rId12" Type="http://schemas.openxmlformats.org/officeDocument/2006/relationships/hyperlink" Target="http://inc24dup040927.pdf" TargetMode="External"/><Relationship Id="rId91" Type="http://schemas.openxmlformats.org/officeDocument/2006/relationships/hyperlink" Target="http://inc24dup053240.pdf" TargetMode="External"/><Relationship Id="rId90" Type="http://schemas.openxmlformats.org/officeDocument/2006/relationships/hyperlink" Target="http://inc24ddl047280.pdf" TargetMode="External"/><Relationship Id="rId93" Type="http://schemas.openxmlformats.org/officeDocument/2006/relationships/hyperlink" Target="http://inc24dup063951.pdf" TargetMode="External"/><Relationship Id="rId92" Type="http://schemas.openxmlformats.org/officeDocument/2006/relationships/hyperlink" Target="http://inc24dup059816.pdf" TargetMode="External"/><Relationship Id="rId15" Type="http://schemas.openxmlformats.org/officeDocument/2006/relationships/hyperlink" Target="http://inc24dup048471.pdf" TargetMode="External"/><Relationship Id="rId110" Type="http://schemas.openxmlformats.org/officeDocument/2006/relationships/hyperlink" Target="http://inc24dup066308.pdf" TargetMode="External"/><Relationship Id="rId14" Type="http://schemas.openxmlformats.org/officeDocument/2006/relationships/hyperlink" Target="http://inc24ddl048447.pdf" TargetMode="External"/><Relationship Id="rId17" Type="http://schemas.openxmlformats.org/officeDocument/2006/relationships/hyperlink" Target="http://inc24dup054319.pdf" TargetMode="External"/><Relationship Id="rId16" Type="http://schemas.openxmlformats.org/officeDocument/2006/relationships/hyperlink" Target="http://inc24dup054312.pdf" TargetMode="External"/><Relationship Id="rId19" Type="http://schemas.openxmlformats.org/officeDocument/2006/relationships/hyperlink" Target="http://inc24dup054353.pdf" TargetMode="External"/><Relationship Id="rId18" Type="http://schemas.openxmlformats.org/officeDocument/2006/relationships/hyperlink" Target="http://inc24dup054338.pdf" TargetMode="External"/><Relationship Id="rId112" Type="http://schemas.openxmlformats.org/officeDocument/2006/relationships/drawing" Target="../drawings/drawing9.xml"/><Relationship Id="rId111" Type="http://schemas.openxmlformats.org/officeDocument/2006/relationships/hyperlink" Target="http://inc24dup066873.pdf" TargetMode="External"/><Relationship Id="rId84" Type="http://schemas.openxmlformats.org/officeDocument/2006/relationships/hyperlink" Target="http://inc24duk064183.pdf" TargetMode="External"/><Relationship Id="rId83" Type="http://schemas.openxmlformats.org/officeDocument/2006/relationships/hyperlink" Target="http://inc24ddl064182.pdf" TargetMode="External"/><Relationship Id="rId86" Type="http://schemas.openxmlformats.org/officeDocument/2006/relationships/hyperlink" Target="http://inc24dup065630.pdf" TargetMode="External"/><Relationship Id="rId85" Type="http://schemas.openxmlformats.org/officeDocument/2006/relationships/hyperlink" Target="http://inc24dgj064210.pdf" TargetMode="External"/><Relationship Id="rId88" Type="http://schemas.openxmlformats.org/officeDocument/2006/relationships/hyperlink" Target="http://inc24dup038889.pdf" TargetMode="External"/><Relationship Id="rId87" Type="http://schemas.openxmlformats.org/officeDocument/2006/relationships/hyperlink" Target="http://inc24dup038864.pdf" TargetMode="External"/><Relationship Id="rId89" Type="http://schemas.openxmlformats.org/officeDocument/2006/relationships/hyperlink" Target="http://inc24dup040198.pdf" TargetMode="External"/><Relationship Id="rId80" Type="http://schemas.openxmlformats.org/officeDocument/2006/relationships/hyperlink" Target="http://inc24dup062313.pdf" TargetMode="External"/><Relationship Id="rId82" Type="http://schemas.openxmlformats.org/officeDocument/2006/relationships/hyperlink" Target="http://inc24dup064175.pdf" TargetMode="External"/><Relationship Id="rId81" Type="http://schemas.openxmlformats.org/officeDocument/2006/relationships/hyperlink" Target="http://inc24dup062961.pdf" TargetMode="External"/><Relationship Id="rId1" Type="http://schemas.openxmlformats.org/officeDocument/2006/relationships/hyperlink" Target="http://inc24dup046386.pdf" TargetMode="External"/><Relationship Id="rId2" Type="http://schemas.openxmlformats.org/officeDocument/2006/relationships/hyperlink" Target="http://inc24dup059014.pdf" TargetMode="External"/><Relationship Id="rId3" Type="http://schemas.openxmlformats.org/officeDocument/2006/relationships/hyperlink" Target="http://inc24dup060109.pdf" TargetMode="External"/><Relationship Id="rId4" Type="http://schemas.openxmlformats.org/officeDocument/2006/relationships/hyperlink" Target="http://inc24dup061212.pdf" TargetMode="External"/><Relationship Id="rId9" Type="http://schemas.openxmlformats.org/officeDocument/2006/relationships/hyperlink" Target="http://inc24dup066632.pdf" TargetMode="External"/><Relationship Id="rId5" Type="http://schemas.openxmlformats.org/officeDocument/2006/relationships/hyperlink" Target="http://inc24dup061251.pdf" TargetMode="External"/><Relationship Id="rId6" Type="http://schemas.openxmlformats.org/officeDocument/2006/relationships/hyperlink" Target="http://inc24duk061264.pdf" TargetMode="External"/><Relationship Id="rId7" Type="http://schemas.openxmlformats.org/officeDocument/2006/relationships/hyperlink" Target="http://inc24duk062979.pdf" TargetMode="External"/><Relationship Id="rId8" Type="http://schemas.openxmlformats.org/officeDocument/2006/relationships/hyperlink" Target="http://inc24dup063897.pdf" TargetMode="External"/><Relationship Id="rId73" Type="http://schemas.openxmlformats.org/officeDocument/2006/relationships/hyperlink" Target="http://inc24dhp037930.pdf" TargetMode="External"/><Relationship Id="rId72" Type="http://schemas.openxmlformats.org/officeDocument/2006/relationships/hyperlink" Target="http://inc24dbr066802.pdf" TargetMode="External"/><Relationship Id="rId75" Type="http://schemas.openxmlformats.org/officeDocument/2006/relationships/hyperlink" Target="http://inc24dup048817.pdf" TargetMode="External"/><Relationship Id="rId74" Type="http://schemas.openxmlformats.org/officeDocument/2006/relationships/hyperlink" Target="http://inc24dhr048249.pdf" TargetMode="External"/><Relationship Id="rId77" Type="http://schemas.openxmlformats.org/officeDocument/2006/relationships/hyperlink" Target="http://inc24dup060223.pdf" TargetMode="External"/><Relationship Id="rId76" Type="http://schemas.openxmlformats.org/officeDocument/2006/relationships/hyperlink" Target="http://inc24dup056585.pdf" TargetMode="External"/><Relationship Id="rId79" Type="http://schemas.openxmlformats.org/officeDocument/2006/relationships/hyperlink" Target="http://inc24dup061196.pdf" TargetMode="External"/><Relationship Id="rId78" Type="http://schemas.openxmlformats.org/officeDocument/2006/relationships/hyperlink" Target="http://inc24dup060649.pdf" TargetMode="External"/><Relationship Id="rId71" Type="http://schemas.openxmlformats.org/officeDocument/2006/relationships/hyperlink" Target="http://inc24dup066756.pdf" TargetMode="External"/><Relationship Id="rId70" Type="http://schemas.openxmlformats.org/officeDocument/2006/relationships/hyperlink" Target="http://inc24dup065418.pdf" TargetMode="External"/><Relationship Id="rId62" Type="http://schemas.openxmlformats.org/officeDocument/2006/relationships/hyperlink" Target="http://inc24dup057438.pdf" TargetMode="External"/><Relationship Id="rId61" Type="http://schemas.openxmlformats.org/officeDocument/2006/relationships/hyperlink" Target="http://inc24dup054207.pdf" TargetMode="External"/><Relationship Id="rId64" Type="http://schemas.openxmlformats.org/officeDocument/2006/relationships/hyperlink" Target="http://inc24dup058587.pdf" TargetMode="External"/><Relationship Id="rId63" Type="http://schemas.openxmlformats.org/officeDocument/2006/relationships/hyperlink" Target="http://inc24dup058576.pdf" TargetMode="External"/><Relationship Id="rId66" Type="http://schemas.openxmlformats.org/officeDocument/2006/relationships/hyperlink" Target="http://inc24dup062457.pdf" TargetMode="External"/><Relationship Id="rId65" Type="http://schemas.openxmlformats.org/officeDocument/2006/relationships/hyperlink" Target="http://inc24dup058588.pdf" TargetMode="External"/><Relationship Id="rId68" Type="http://schemas.openxmlformats.org/officeDocument/2006/relationships/hyperlink" Target="http://inc24dup063169.pdf" TargetMode="External"/><Relationship Id="rId67" Type="http://schemas.openxmlformats.org/officeDocument/2006/relationships/hyperlink" Target="http://inc24dup062489.pdf" TargetMode="External"/><Relationship Id="rId60" Type="http://schemas.openxmlformats.org/officeDocument/2006/relationships/hyperlink" Target="http://inc24dup050030.pdf" TargetMode="External"/><Relationship Id="rId69" Type="http://schemas.openxmlformats.org/officeDocument/2006/relationships/hyperlink" Target="http://inc24dup064358.pdf" TargetMode="External"/><Relationship Id="rId51" Type="http://schemas.openxmlformats.org/officeDocument/2006/relationships/hyperlink" Target="http://inc24dup040283.pdf" TargetMode="External"/><Relationship Id="rId50" Type="http://schemas.openxmlformats.org/officeDocument/2006/relationships/hyperlink" Target="http://inc24dup040269.pdf" TargetMode="External"/><Relationship Id="rId53" Type="http://schemas.openxmlformats.org/officeDocument/2006/relationships/hyperlink" Target="http://inc24dup044123.pdf" TargetMode="External"/><Relationship Id="rId52" Type="http://schemas.openxmlformats.org/officeDocument/2006/relationships/hyperlink" Target="http://inc24dup043454.pdf" TargetMode="External"/><Relationship Id="rId55" Type="http://schemas.openxmlformats.org/officeDocument/2006/relationships/hyperlink" Target="http://inc24dup054446.pdf" TargetMode="External"/><Relationship Id="rId54" Type="http://schemas.openxmlformats.org/officeDocument/2006/relationships/hyperlink" Target="http://inc24duk053463.pdf" TargetMode="External"/><Relationship Id="rId57" Type="http://schemas.openxmlformats.org/officeDocument/2006/relationships/hyperlink" Target="http://inc24dup060927.pdf" TargetMode="External"/><Relationship Id="rId56" Type="http://schemas.openxmlformats.org/officeDocument/2006/relationships/hyperlink" Target="http://inc24dmp058248.pdf" TargetMode="External"/><Relationship Id="rId59" Type="http://schemas.openxmlformats.org/officeDocument/2006/relationships/hyperlink" Target="http://inc24dup039013.pdf" TargetMode="External"/><Relationship Id="rId58" Type="http://schemas.openxmlformats.org/officeDocument/2006/relationships/hyperlink" Target="http://inc24ddl064337.pdf"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40" Type="http://schemas.openxmlformats.org/officeDocument/2006/relationships/hyperlink" Target="https://www.instagram.com/p/DJs6S1iOSkY/?img_index=1" TargetMode="External"/><Relationship Id="rId42" Type="http://schemas.openxmlformats.org/officeDocument/2006/relationships/hyperlink" Target="https://www.instagram.com/p/DJs6S1iOSkY/?img_index=1" TargetMode="External"/><Relationship Id="rId41" Type="http://schemas.openxmlformats.org/officeDocument/2006/relationships/hyperlink" Target="https://www.linkedin.com/in/sandeep-jain-/" TargetMode="External"/><Relationship Id="rId44" Type="http://schemas.openxmlformats.org/officeDocument/2006/relationships/hyperlink" Target="https://www.instagram.com/p/DJs6S1iOSkY/?img_index=1" TargetMode="External"/><Relationship Id="rId43" Type="http://schemas.openxmlformats.org/officeDocument/2006/relationships/hyperlink" Target="https://www.linkedin.com/in/ramveer-tanwar-pondman/" TargetMode="External"/><Relationship Id="rId46" Type="http://schemas.openxmlformats.org/officeDocument/2006/relationships/hyperlink" Target="https://www.instagram.com/p/DJs6S1iOSkY/?img_index=1" TargetMode="External"/><Relationship Id="rId45" Type="http://schemas.openxmlformats.org/officeDocument/2006/relationships/hyperlink" Target="https://www.linkedin.com/in/neha-jain-07519b9/" TargetMode="External"/><Relationship Id="rId48" Type="http://schemas.openxmlformats.org/officeDocument/2006/relationships/hyperlink" Target="https://www.instagram.com/p/DJs6S1iOSkY/?img_index=1" TargetMode="External"/><Relationship Id="rId47" Type="http://schemas.openxmlformats.org/officeDocument/2006/relationships/hyperlink" Target="https://www.linkedin.com/in/opsinghnsic/" TargetMode="External"/><Relationship Id="rId49" Type="http://schemas.openxmlformats.org/officeDocument/2006/relationships/hyperlink" Target="https://www.linkedin.com/in/chaurasia-himanshu/" TargetMode="External"/><Relationship Id="rId31" Type="http://schemas.openxmlformats.org/officeDocument/2006/relationships/hyperlink" Target="https://www.linkedin.com/in/dr-manvendra-yadav-19616624/" TargetMode="External"/><Relationship Id="rId30" Type="http://schemas.openxmlformats.org/officeDocument/2006/relationships/hyperlink" Target="https://www.linkedin.com/company/aicempi/" TargetMode="External"/><Relationship Id="rId33" Type="http://schemas.openxmlformats.org/officeDocument/2006/relationships/hyperlink" Target="https://www.linkedin.com/in/deepansahu/" TargetMode="External"/><Relationship Id="rId32" Type="http://schemas.openxmlformats.org/officeDocument/2006/relationships/hyperlink" Target="https://www.linkedin.com/feed/update/urn:li:activity:7418147331184721920" TargetMode="External"/><Relationship Id="rId35" Type="http://schemas.openxmlformats.org/officeDocument/2006/relationships/hyperlink" Target="https://www.linkedin.com/in/vivekgupta668/" TargetMode="External"/><Relationship Id="rId34" Type="http://schemas.openxmlformats.org/officeDocument/2006/relationships/hyperlink" Target="https://www.linkedin.com/feed/update/urn:li:activity:7425414165982240768" TargetMode="External"/><Relationship Id="rId37" Type="http://schemas.openxmlformats.org/officeDocument/2006/relationships/hyperlink" Target="https://www.linkedin.com/in/rajat-jain-59a667102/" TargetMode="External"/><Relationship Id="rId36" Type="http://schemas.openxmlformats.org/officeDocument/2006/relationships/hyperlink" Target="https://www.linkedin.com/feed/update/urn:li:activity:7425414165982240768" TargetMode="External"/><Relationship Id="rId39" Type="http://schemas.openxmlformats.org/officeDocument/2006/relationships/hyperlink" Target="https://www.linkedin.com/in/chandan-jha-56a22534/" TargetMode="External"/><Relationship Id="rId38" Type="http://schemas.openxmlformats.org/officeDocument/2006/relationships/hyperlink" Target="https://www.linkedin.com/feed/update/urn:li:activity:7425414165982240768" TargetMode="External"/><Relationship Id="rId20" Type="http://schemas.openxmlformats.org/officeDocument/2006/relationships/hyperlink" Target="https://www.linkedin.com/in/prasad-shetty-3233872b/" TargetMode="External"/><Relationship Id="rId22" Type="http://schemas.openxmlformats.org/officeDocument/2006/relationships/hyperlink" Target="https://www.linkedin.com/company/society-for-innovation-and-entrepreneurship---iit-bombay/" TargetMode="External"/><Relationship Id="rId21" Type="http://schemas.openxmlformats.org/officeDocument/2006/relationships/hyperlink" Target="https://www.linkedin.com/feed/update/urn:li:activity:7396230227112116224" TargetMode="External"/><Relationship Id="rId24" Type="http://schemas.openxmlformats.org/officeDocument/2006/relationships/hyperlink" Target="https://www.linkedin.com/feed/update/urn:li:activity:7396230227112116224" TargetMode="External"/><Relationship Id="rId23" Type="http://schemas.openxmlformats.org/officeDocument/2006/relationships/hyperlink" Target="https://www.linkedin.com/in/hari-tiwari-a16854a4/" TargetMode="External"/><Relationship Id="rId26" Type="http://schemas.openxmlformats.org/officeDocument/2006/relationships/hyperlink" Target="https://www.linkedin.com/feed/update/urn:li:activity:7404373745923977217" TargetMode="External"/><Relationship Id="rId25" Type="http://schemas.openxmlformats.org/officeDocument/2006/relationships/hyperlink" Target="https://www.linkedin.com/feed/update/urn:li:activity:7404373745923977217" TargetMode="External"/><Relationship Id="rId28" Type="http://schemas.openxmlformats.org/officeDocument/2006/relationships/hyperlink" Target="https://www.linkedin.com/in/manveen-chadha-48304167/" TargetMode="External"/><Relationship Id="rId27" Type="http://schemas.openxmlformats.org/officeDocument/2006/relationships/hyperlink" Target="https://www.linkedin.com/company/assochamforindia/" TargetMode="External"/><Relationship Id="rId29" Type="http://schemas.openxmlformats.org/officeDocument/2006/relationships/hyperlink" Target="https://www.linkedin.com/feed/update/urn:li:activity:7409633812223209472" TargetMode="External"/><Relationship Id="rId11" Type="http://schemas.openxmlformats.org/officeDocument/2006/relationships/hyperlink" Target="https://www.instagram.com/p/DQ_uYRYDbDF/?img_index=1" TargetMode="External"/><Relationship Id="rId10" Type="http://schemas.openxmlformats.org/officeDocument/2006/relationships/hyperlink" Target="https://www.linkedin.com/in/vivekgupta668/" TargetMode="External"/><Relationship Id="rId13" Type="http://schemas.openxmlformats.org/officeDocument/2006/relationships/hyperlink" Target="https://www.linkedin.com/in/anshumanchauhan/" TargetMode="External"/><Relationship Id="rId12" Type="http://schemas.openxmlformats.org/officeDocument/2006/relationships/hyperlink" Target="https://www.linkedin.com/company/indian-institute-of-technology-roorkee/" TargetMode="External"/><Relationship Id="rId15" Type="http://schemas.openxmlformats.org/officeDocument/2006/relationships/hyperlink" Target="https://www.linkedin.com/in/shibushivansh/" TargetMode="External"/><Relationship Id="rId14" Type="http://schemas.openxmlformats.org/officeDocument/2006/relationships/hyperlink" Target="https://www.linkedin.com/posts/e-cell-itsec_postevent-skilldevelopment-careergrowth-activity-7396570424777560064-yaTh?utm_source=share&amp;utm_medium=member_desktop&amp;rcm=ACoAABqZ21YB1p9PaudK87UBRvY19NLgCfo7dAg" TargetMode="External"/><Relationship Id="rId17" Type="http://schemas.openxmlformats.org/officeDocument/2006/relationships/hyperlink" Target="https://www.linkedin.com/in/vasav-krishna-11b500110/" TargetMode="External"/><Relationship Id="rId16" Type="http://schemas.openxmlformats.org/officeDocument/2006/relationships/hyperlink" Target="https://www.instagram.com/p/DRPLE8DEhQ0/?utm_source=ig_web_copy_link&amp;igsh=MzRlODBiNWFlZA==" TargetMode="External"/><Relationship Id="rId19" Type="http://schemas.openxmlformats.org/officeDocument/2006/relationships/hyperlink" Target="https://www.linkedin.com/company/society-for-innovation-and-entrepreneurship---iit-bombay/" TargetMode="External"/><Relationship Id="rId18" Type="http://schemas.openxmlformats.org/officeDocument/2006/relationships/hyperlink" Target="https://www.linkedin.com/feed/update/urn:li:activity:7381946676124622848" TargetMode="External"/><Relationship Id="rId1" Type="http://schemas.openxmlformats.org/officeDocument/2006/relationships/hyperlink" Target="https://www.linkedin.com/in/ashirwadrastogi/?skipRedirect=true" TargetMode="External"/><Relationship Id="rId2" Type="http://schemas.openxmlformats.org/officeDocument/2006/relationships/hyperlink" Target="https://www.linkedin.com/feed/update/urn:li:activity:7375892935055196161/?utm_source=share&amp;utm_medium=member_desktop&amp;rcm=ACoAABqZ21YB1p9PaudK87UBRvY19NLgCfo7dAg" TargetMode="External"/><Relationship Id="rId3" Type="http://schemas.openxmlformats.org/officeDocument/2006/relationships/hyperlink" Target="https://www.linkedin.com/in/vivek-singh-612a8152/" TargetMode="External"/><Relationship Id="rId4" Type="http://schemas.openxmlformats.org/officeDocument/2006/relationships/hyperlink" Target="https://www.linkedin.com/posts/e-cell-itsec_iic-itsengineeringcollege-entrepreneurship-activity-7383832009187487746-NYMT?utm_source=share&amp;utm_medium=member_desktop&amp;rcm=ACoAAFKVhWUBh-qDXOjaZMuRSlwjFkHviJqbnTY" TargetMode="External"/><Relationship Id="rId9" Type="http://schemas.openxmlformats.org/officeDocument/2006/relationships/hyperlink" Target="https://www.instagram.com/p/DQ_lXQxkSfm/?img_index=1" TargetMode="External"/><Relationship Id="rId5" Type="http://schemas.openxmlformats.org/officeDocument/2006/relationships/hyperlink" Target="https://www.linkedin.com/in/dilip-jadaun-8955a2195/" TargetMode="External"/><Relationship Id="rId6" Type="http://schemas.openxmlformats.org/officeDocument/2006/relationships/hyperlink" Target="https://www.linkedin.com/feed/update/urn:li:activity:7393192828413116416" TargetMode="External"/><Relationship Id="rId7" Type="http://schemas.openxmlformats.org/officeDocument/2006/relationships/hyperlink" Target="https://www.linkedin.com/company/assochamforindia/" TargetMode="External"/><Relationship Id="rId8" Type="http://schemas.openxmlformats.org/officeDocument/2006/relationships/hyperlink" Target="https://www.linkedin.com/in/manveen-chadha-48304167/" TargetMode="External"/><Relationship Id="rId51" Type="http://schemas.openxmlformats.org/officeDocument/2006/relationships/hyperlink" Target="https://www.instagram.com/p/DJs6S1iOSkY/?img_index=1" TargetMode="External"/><Relationship Id="rId50" Type="http://schemas.openxmlformats.org/officeDocument/2006/relationships/hyperlink" Target="https://www.instagram.com/p/DJs6S1iOSkY/?img_index=1" TargetMode="External"/><Relationship Id="rId5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inc24dup039179.pdf/" TargetMode="External"/><Relationship Id="rId42" Type="http://schemas.openxmlformats.org/officeDocument/2006/relationships/hyperlink" Target="http://inc24duk053463.pdf/" TargetMode="External"/><Relationship Id="rId41" Type="http://schemas.openxmlformats.org/officeDocument/2006/relationships/hyperlink" Target="http://inc24dup044123.pdf/" TargetMode="External"/><Relationship Id="rId44" Type="http://schemas.openxmlformats.org/officeDocument/2006/relationships/hyperlink" Target="http://inc24dup057438.pdf/" TargetMode="External"/><Relationship Id="rId43" Type="http://schemas.openxmlformats.org/officeDocument/2006/relationships/hyperlink" Target="http://inc24dup054446.pdf/" TargetMode="External"/><Relationship Id="rId46" Type="http://schemas.openxmlformats.org/officeDocument/2006/relationships/hyperlink" Target="http://inc24dup062457.pdf/" TargetMode="External"/><Relationship Id="rId45" Type="http://schemas.openxmlformats.org/officeDocument/2006/relationships/hyperlink" Target="http://inc24dup058588.pdf/" TargetMode="External"/><Relationship Id="rId107" Type="http://schemas.openxmlformats.org/officeDocument/2006/relationships/hyperlink" Target="http://inc24dup061919.pdf/" TargetMode="External"/><Relationship Id="rId106" Type="http://schemas.openxmlformats.org/officeDocument/2006/relationships/hyperlink" Target="http://inc24dup060615.pdf/" TargetMode="External"/><Relationship Id="rId105" Type="http://schemas.openxmlformats.org/officeDocument/2006/relationships/hyperlink" Target="http://inc24djh057710.pdf/" TargetMode="External"/><Relationship Id="rId104" Type="http://schemas.openxmlformats.org/officeDocument/2006/relationships/hyperlink" Target="http://inc24dup050993.pdf/" TargetMode="External"/><Relationship Id="rId109" Type="http://schemas.openxmlformats.org/officeDocument/2006/relationships/hyperlink" Target="http://inc24dup062675.pdf/" TargetMode="External"/><Relationship Id="rId108" Type="http://schemas.openxmlformats.org/officeDocument/2006/relationships/hyperlink" Target="http://inc24dup061954.pdf/" TargetMode="External"/><Relationship Id="rId48" Type="http://schemas.openxmlformats.org/officeDocument/2006/relationships/hyperlink" Target="http://inc24dup066756.pdf/" TargetMode="External"/><Relationship Id="rId47" Type="http://schemas.openxmlformats.org/officeDocument/2006/relationships/hyperlink" Target="http://inc24dup064358.pdf/" TargetMode="External"/><Relationship Id="rId49" Type="http://schemas.openxmlformats.org/officeDocument/2006/relationships/hyperlink" Target="http://inc24dbr066802.pdf/" TargetMode="External"/><Relationship Id="rId103" Type="http://schemas.openxmlformats.org/officeDocument/2006/relationships/hyperlink" Target="http://inc24dup065340.pdf/" TargetMode="External"/><Relationship Id="rId102" Type="http://schemas.openxmlformats.org/officeDocument/2006/relationships/hyperlink" Target="http://inc24ddl047280.pdf/" TargetMode="External"/><Relationship Id="rId101" Type="http://schemas.openxmlformats.org/officeDocument/2006/relationships/hyperlink" Target="http://inc24dup040198.pdf/" TargetMode="External"/><Relationship Id="rId100" Type="http://schemas.openxmlformats.org/officeDocument/2006/relationships/hyperlink" Target="http://inc24dup038864.pdf/" TargetMode="External"/><Relationship Id="rId31" Type="http://schemas.openxmlformats.org/officeDocument/2006/relationships/hyperlink" Target="http://inc24dup054686.pdf/" TargetMode="External"/><Relationship Id="rId30" Type="http://schemas.openxmlformats.org/officeDocument/2006/relationships/hyperlink" Target="http://inc24dup045128.pdf/" TargetMode="External"/><Relationship Id="rId33" Type="http://schemas.openxmlformats.org/officeDocument/2006/relationships/hyperlink" Target="http://inc24dup058326.pdf/" TargetMode="External"/><Relationship Id="rId32" Type="http://schemas.openxmlformats.org/officeDocument/2006/relationships/hyperlink" Target="http://inc24dup056415.pdf/" TargetMode="External"/><Relationship Id="rId35" Type="http://schemas.openxmlformats.org/officeDocument/2006/relationships/hyperlink" Target="http://inc24dkr061570.pdf/" TargetMode="External"/><Relationship Id="rId34" Type="http://schemas.openxmlformats.org/officeDocument/2006/relationships/hyperlink" Target="http://inc24dup061055.pdf/" TargetMode="External"/><Relationship Id="rId37" Type="http://schemas.openxmlformats.org/officeDocument/2006/relationships/hyperlink" Target="http://inc24dup062819.pdf/" TargetMode="External"/><Relationship Id="rId36" Type="http://schemas.openxmlformats.org/officeDocument/2006/relationships/hyperlink" Target="http://inc24dup062123.pdf/" TargetMode="External"/><Relationship Id="rId39" Type="http://schemas.openxmlformats.org/officeDocument/2006/relationships/hyperlink" Target="http://inc24dup039156.pdf/" TargetMode="External"/><Relationship Id="rId38" Type="http://schemas.openxmlformats.org/officeDocument/2006/relationships/hyperlink" Target="http://inc24dup065227.pdf/" TargetMode="External"/><Relationship Id="rId20" Type="http://schemas.openxmlformats.org/officeDocument/2006/relationships/hyperlink" Target="http://inc24dcg047822.pdf/" TargetMode="External"/><Relationship Id="rId22" Type="http://schemas.openxmlformats.org/officeDocument/2006/relationships/hyperlink" Target="http://inc24dup054312.pdf/" TargetMode="External"/><Relationship Id="rId21" Type="http://schemas.openxmlformats.org/officeDocument/2006/relationships/hyperlink" Target="http://inc24dup048471.pdf/" TargetMode="External"/><Relationship Id="rId24" Type="http://schemas.openxmlformats.org/officeDocument/2006/relationships/hyperlink" Target="http://inc24dup054338.pdf/" TargetMode="External"/><Relationship Id="rId23" Type="http://schemas.openxmlformats.org/officeDocument/2006/relationships/hyperlink" Target="http://inc24dup054319.pdf/" TargetMode="External"/><Relationship Id="rId26" Type="http://schemas.openxmlformats.org/officeDocument/2006/relationships/hyperlink" Target="http://inc24duk062401.pdf/" TargetMode="External"/><Relationship Id="rId25" Type="http://schemas.openxmlformats.org/officeDocument/2006/relationships/hyperlink" Target="http://inc24dup054353.pdf/" TargetMode="External"/><Relationship Id="rId28" Type="http://schemas.openxmlformats.org/officeDocument/2006/relationships/hyperlink" Target="http://inc24dup066361.pdf/" TargetMode="External"/><Relationship Id="rId27" Type="http://schemas.openxmlformats.org/officeDocument/2006/relationships/hyperlink" Target="http://inc24dup064510.pdf/" TargetMode="External"/><Relationship Id="rId29" Type="http://schemas.openxmlformats.org/officeDocument/2006/relationships/hyperlink" Target="http://inc24dup038968.pdf/" TargetMode="External"/><Relationship Id="rId95" Type="http://schemas.openxmlformats.org/officeDocument/2006/relationships/hyperlink" Target="http://inc24dhr048249.pdf/" TargetMode="External"/><Relationship Id="rId94" Type="http://schemas.openxmlformats.org/officeDocument/2006/relationships/hyperlink" Target="http://inc24dup063169.pdf/" TargetMode="External"/><Relationship Id="rId97" Type="http://schemas.openxmlformats.org/officeDocument/2006/relationships/hyperlink" Target="http://inc24dup064175.pdf/" TargetMode="External"/><Relationship Id="rId96" Type="http://schemas.openxmlformats.org/officeDocument/2006/relationships/hyperlink" Target="http://inc24dup062961.pdf/" TargetMode="External"/><Relationship Id="rId11" Type="http://schemas.openxmlformats.org/officeDocument/2006/relationships/hyperlink" Target="http://inc24dup065418.pdf/" TargetMode="External"/><Relationship Id="rId99" Type="http://schemas.openxmlformats.org/officeDocument/2006/relationships/hyperlink" Target="http://inc24dgj064210.pdf/" TargetMode="External"/><Relationship Id="rId10" Type="http://schemas.openxmlformats.org/officeDocument/2006/relationships/hyperlink" Target="http://inc24dup062489.pdf/" TargetMode="External"/><Relationship Id="rId98" Type="http://schemas.openxmlformats.org/officeDocument/2006/relationships/hyperlink" Target="http://inc24ddl064182.pdf/" TargetMode="External"/><Relationship Id="rId13" Type="http://schemas.openxmlformats.org/officeDocument/2006/relationships/hyperlink" Target="http://inc24dup038889.pdf/" TargetMode="External"/><Relationship Id="rId12" Type="http://schemas.openxmlformats.org/officeDocument/2006/relationships/hyperlink" Target="http://inc24dhp037930.pdf/" TargetMode="External"/><Relationship Id="rId91" Type="http://schemas.openxmlformats.org/officeDocument/2006/relationships/hyperlink" Target="http://inc24dup054207.pdf/" TargetMode="External"/><Relationship Id="rId90" Type="http://schemas.openxmlformats.org/officeDocument/2006/relationships/hyperlink" Target="http://inc24dup050030.pdf/" TargetMode="External"/><Relationship Id="rId93" Type="http://schemas.openxmlformats.org/officeDocument/2006/relationships/hyperlink" Target="http://inc24dup058587.pdf/" TargetMode="External"/><Relationship Id="rId92" Type="http://schemas.openxmlformats.org/officeDocument/2006/relationships/hyperlink" Target="http://inc24dup058576.pdf/" TargetMode="External"/><Relationship Id="rId15" Type="http://schemas.openxmlformats.org/officeDocument/2006/relationships/hyperlink" Target="http://inc24dup059320.pdf/" TargetMode="External"/><Relationship Id="rId110" Type="http://schemas.openxmlformats.org/officeDocument/2006/relationships/hyperlink" Target="http://inc24dup066308.pdf/" TargetMode="External"/><Relationship Id="rId14" Type="http://schemas.openxmlformats.org/officeDocument/2006/relationships/hyperlink" Target="http://inc24duk066123.pdf/" TargetMode="External"/><Relationship Id="rId17" Type="http://schemas.openxmlformats.org/officeDocument/2006/relationships/hyperlink" Target="http://inc24dup063897.pdf/" TargetMode="External"/><Relationship Id="rId16" Type="http://schemas.openxmlformats.org/officeDocument/2006/relationships/hyperlink" Target="http://inc24dup046386.pdf/" TargetMode="External"/><Relationship Id="rId19" Type="http://schemas.openxmlformats.org/officeDocument/2006/relationships/hyperlink" Target="http://inc24dup040927.pdf/" TargetMode="External"/><Relationship Id="rId18" Type="http://schemas.openxmlformats.org/officeDocument/2006/relationships/hyperlink" Target="http://inc24dup038061.pdf/" TargetMode="External"/><Relationship Id="rId112" Type="http://schemas.openxmlformats.org/officeDocument/2006/relationships/drawing" Target="../drawings/drawing15.xml"/><Relationship Id="rId111" Type="http://schemas.openxmlformats.org/officeDocument/2006/relationships/hyperlink" Target="http://inc24dup066873.pdf/" TargetMode="External"/><Relationship Id="rId84" Type="http://schemas.openxmlformats.org/officeDocument/2006/relationships/hyperlink" Target="http://inc24dup066543.pdf/" TargetMode="External"/><Relationship Id="rId83" Type="http://schemas.openxmlformats.org/officeDocument/2006/relationships/hyperlink" Target="http://inc24dup064562.pdf/" TargetMode="External"/><Relationship Id="rId86" Type="http://schemas.openxmlformats.org/officeDocument/2006/relationships/hyperlink" Target="http://inc24dup040269.pdf/" TargetMode="External"/><Relationship Id="rId85" Type="http://schemas.openxmlformats.org/officeDocument/2006/relationships/hyperlink" Target="http://inc24dup038405.pdf/" TargetMode="External"/><Relationship Id="rId88" Type="http://schemas.openxmlformats.org/officeDocument/2006/relationships/hyperlink" Target="http://inc24dmp058248.pdf/" TargetMode="External"/><Relationship Id="rId87" Type="http://schemas.openxmlformats.org/officeDocument/2006/relationships/hyperlink" Target="http://inc24dup043454.pdf/" TargetMode="External"/><Relationship Id="rId89" Type="http://schemas.openxmlformats.org/officeDocument/2006/relationships/hyperlink" Target="http://inc24ddl064337.pdf/" TargetMode="External"/><Relationship Id="rId80" Type="http://schemas.openxmlformats.org/officeDocument/2006/relationships/hyperlink" Target="http://inc24dup066632.pdf/" TargetMode="External"/><Relationship Id="rId82" Type="http://schemas.openxmlformats.org/officeDocument/2006/relationships/hyperlink" Target="http://inc24ddl062099.pdf/" TargetMode="External"/><Relationship Id="rId81" Type="http://schemas.openxmlformats.org/officeDocument/2006/relationships/hyperlink" Target="http://inc24djh060782.pdf/" TargetMode="External"/><Relationship Id="rId1" Type="http://schemas.openxmlformats.org/officeDocument/2006/relationships/hyperlink" Target="http://inc24dup059014.pdf/" TargetMode="External"/><Relationship Id="rId2" Type="http://schemas.openxmlformats.org/officeDocument/2006/relationships/hyperlink" Target="http://inc24dup061212.pdf/" TargetMode="External"/><Relationship Id="rId3" Type="http://schemas.openxmlformats.org/officeDocument/2006/relationships/hyperlink" Target="http://inc24duk061264.pdf/" TargetMode="External"/><Relationship Id="rId4" Type="http://schemas.openxmlformats.org/officeDocument/2006/relationships/hyperlink" Target="http://inc24duk062979.pdf/" TargetMode="External"/><Relationship Id="rId9" Type="http://schemas.openxmlformats.org/officeDocument/2006/relationships/hyperlink" Target="http://inc24dup040283.pdf/" TargetMode="External"/><Relationship Id="rId5" Type="http://schemas.openxmlformats.org/officeDocument/2006/relationships/hyperlink" Target="http://inc24duk062386.pdf/" TargetMode="External"/><Relationship Id="rId6" Type="http://schemas.openxmlformats.org/officeDocument/2006/relationships/hyperlink" Target="http://inc24duk065025.pdf/" TargetMode="External"/><Relationship Id="rId7" Type="http://schemas.openxmlformats.org/officeDocument/2006/relationships/hyperlink" Target="http://inc24dup061599.pdf/" TargetMode="External"/><Relationship Id="rId8" Type="http://schemas.openxmlformats.org/officeDocument/2006/relationships/hyperlink" Target="http://inc24dup062163.pdf/" TargetMode="External"/><Relationship Id="rId73" Type="http://schemas.openxmlformats.org/officeDocument/2006/relationships/hyperlink" Target="http://inc24ddl064062.pdf/" TargetMode="External"/><Relationship Id="rId72" Type="http://schemas.openxmlformats.org/officeDocument/2006/relationships/hyperlink" Target="http://inc24dup048013.pdf/" TargetMode="External"/><Relationship Id="rId75" Type="http://schemas.openxmlformats.org/officeDocument/2006/relationships/hyperlink" Target="http://inc24dup039013.pdf/" TargetMode="External"/><Relationship Id="rId74" Type="http://schemas.openxmlformats.org/officeDocument/2006/relationships/hyperlink" Target="http://inc24dup060927.pdf/" TargetMode="External"/><Relationship Id="rId77" Type="http://schemas.openxmlformats.org/officeDocument/2006/relationships/hyperlink" Target="http://inc24dup063477.pdf/" TargetMode="External"/><Relationship Id="rId76" Type="http://schemas.openxmlformats.org/officeDocument/2006/relationships/hyperlink" Target="http://inc24dup063951.pdf/" TargetMode="External"/><Relationship Id="rId79" Type="http://schemas.openxmlformats.org/officeDocument/2006/relationships/hyperlink" Target="http://inc24dup061251.pdf/" TargetMode="External"/><Relationship Id="rId78" Type="http://schemas.openxmlformats.org/officeDocument/2006/relationships/hyperlink" Target="http://inc24dup060109.pdf/" TargetMode="External"/><Relationship Id="rId71" Type="http://schemas.openxmlformats.org/officeDocument/2006/relationships/hyperlink" Target="http://inc24duk061857.pdf/" TargetMode="External"/><Relationship Id="rId70" Type="http://schemas.openxmlformats.org/officeDocument/2006/relationships/hyperlink" Target="http://inc24duk060263.pdf/" TargetMode="External"/><Relationship Id="rId62" Type="http://schemas.openxmlformats.org/officeDocument/2006/relationships/hyperlink" Target="http://inc24ddl066115.pdf/" TargetMode="External"/><Relationship Id="rId61" Type="http://schemas.openxmlformats.org/officeDocument/2006/relationships/hyperlink" Target="http://inc24dup065310.pdf/" TargetMode="External"/><Relationship Id="rId64" Type="http://schemas.openxmlformats.org/officeDocument/2006/relationships/hyperlink" Target="http://inc24drj055888.pdf/" TargetMode="External"/><Relationship Id="rId63" Type="http://schemas.openxmlformats.org/officeDocument/2006/relationships/hyperlink" Target="http://inc24dup045224.pdf/" TargetMode="External"/><Relationship Id="rId66" Type="http://schemas.openxmlformats.org/officeDocument/2006/relationships/hyperlink" Target="http://inc24dup038049.pdf/" TargetMode="External"/><Relationship Id="rId65" Type="http://schemas.openxmlformats.org/officeDocument/2006/relationships/hyperlink" Target="http://inc24dup061331.pdf/" TargetMode="External"/><Relationship Id="rId68" Type="http://schemas.openxmlformats.org/officeDocument/2006/relationships/hyperlink" Target="http://inc24dup056719.pdf/" TargetMode="External"/><Relationship Id="rId67" Type="http://schemas.openxmlformats.org/officeDocument/2006/relationships/hyperlink" Target="http://inc24ddl048447.pdf/" TargetMode="External"/><Relationship Id="rId60" Type="http://schemas.openxmlformats.org/officeDocument/2006/relationships/hyperlink" Target="http://inc24dup064678.pdf/" TargetMode="External"/><Relationship Id="rId69" Type="http://schemas.openxmlformats.org/officeDocument/2006/relationships/hyperlink" Target="http://inc24duk059211.pdf/" TargetMode="External"/><Relationship Id="rId51" Type="http://schemas.openxmlformats.org/officeDocument/2006/relationships/hyperlink" Target="http://inc24dup056585.pdf/" TargetMode="External"/><Relationship Id="rId50" Type="http://schemas.openxmlformats.org/officeDocument/2006/relationships/hyperlink" Target="http://inc24dup048817.pdf/" TargetMode="External"/><Relationship Id="rId53" Type="http://schemas.openxmlformats.org/officeDocument/2006/relationships/hyperlink" Target="http://inc24dup060649.pdf/" TargetMode="External"/><Relationship Id="rId52" Type="http://schemas.openxmlformats.org/officeDocument/2006/relationships/hyperlink" Target="http://inc24dup060223.pdf/" TargetMode="External"/><Relationship Id="rId55" Type="http://schemas.openxmlformats.org/officeDocument/2006/relationships/hyperlink" Target="http://inc24dup062313.pdf/" TargetMode="External"/><Relationship Id="rId54" Type="http://schemas.openxmlformats.org/officeDocument/2006/relationships/hyperlink" Target="http://inc24dup061196.pdf/" TargetMode="External"/><Relationship Id="rId57" Type="http://schemas.openxmlformats.org/officeDocument/2006/relationships/hyperlink" Target="http://inc24dup065630.pdf/" TargetMode="External"/><Relationship Id="rId56" Type="http://schemas.openxmlformats.org/officeDocument/2006/relationships/hyperlink" Target="http://inc24duk064183.pdf/" TargetMode="External"/><Relationship Id="rId59" Type="http://schemas.openxmlformats.org/officeDocument/2006/relationships/hyperlink" Target="http://inc24dup059816.pdf/" TargetMode="External"/><Relationship Id="rId58" Type="http://schemas.openxmlformats.org/officeDocument/2006/relationships/hyperlink" Target="http://inc24dup053240.pdf/"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1" Type="http://schemas.openxmlformats.org/officeDocument/2006/relationships/hyperlink" Target="mailto:ap.tcmbd@gmail.com" TargetMode="External"/><Relationship Id="rId30" Type="http://schemas.openxmlformats.org/officeDocument/2006/relationships/hyperlink" Target="mailto:dd@cogniphy.us" TargetMode="External"/><Relationship Id="rId33" Type="http://schemas.openxmlformats.org/officeDocument/2006/relationships/hyperlink" Target="mailto:abhishektiwari@kpmg.com" TargetMode="External"/><Relationship Id="rId32" Type="http://schemas.openxmlformats.org/officeDocument/2006/relationships/hyperlink" Target="mailto:ceo@bionestiitgtidf.com" TargetMode="External"/><Relationship Id="rId35" Type="http://schemas.openxmlformats.org/officeDocument/2006/relationships/hyperlink" Target="mailto:drrahulsinghindia@gmail.com" TargetMode="External"/><Relationship Id="rId34" Type="http://schemas.openxmlformats.org/officeDocument/2006/relationships/hyperlink" Target="mailto:anil@iitmandicatalyst.in" TargetMode="External"/><Relationship Id="rId36" Type="http://schemas.openxmlformats.org/officeDocument/2006/relationships/drawing" Target="../drawings/drawing18.xml"/><Relationship Id="rId20" Type="http://schemas.openxmlformats.org/officeDocument/2006/relationships/hyperlink" Target="mailto:mayank@knit.ac.in" TargetMode="External"/><Relationship Id="rId22" Type="http://schemas.openxmlformats.org/officeDocument/2006/relationships/hyperlink" Target="mailto:incubationmanager@reck.ac.in" TargetMode="External"/><Relationship Id="rId21" Type="http://schemas.openxmlformats.org/officeDocument/2006/relationships/hyperlink" Target="mailto:rpsco22@gmail.com" TargetMode="External"/><Relationship Id="rId24" Type="http://schemas.openxmlformats.org/officeDocument/2006/relationships/hyperlink" Target="mailto:sb.singh.luck@gmail.com" TargetMode="External"/><Relationship Id="rId23" Type="http://schemas.openxmlformats.org/officeDocument/2006/relationships/hyperlink" Target="mailto:anubhav.sen@fitt.iitd.ac.in" TargetMode="External"/><Relationship Id="rId26" Type="http://schemas.openxmlformats.org/officeDocument/2006/relationships/hyperlink" Target="mailto:titanritesh@gmail.com" TargetMode="External"/><Relationship Id="rId25" Type="http://schemas.openxmlformats.org/officeDocument/2006/relationships/hyperlink" Target="mailto:ca.ujjwal.modi@gmail.com" TargetMode="External"/><Relationship Id="rId28" Type="http://schemas.openxmlformats.org/officeDocument/2006/relationships/hyperlink" Target="mailto:manveen130186@gmail.com" TargetMode="External"/><Relationship Id="rId27" Type="http://schemas.openxmlformats.org/officeDocument/2006/relationships/hyperlink" Target="mailto:tidefitt@gmail.com" TargetMode="External"/><Relationship Id="rId29" Type="http://schemas.openxmlformats.org/officeDocument/2006/relationships/hyperlink" Target="mailto:manish.nitme@gmail.com" TargetMode="External"/><Relationship Id="rId11" Type="http://schemas.openxmlformats.org/officeDocument/2006/relationships/hyperlink" Target="mailto:upendraagarwal.eee@its.edu.in" TargetMode="External"/><Relationship Id="rId10" Type="http://schemas.openxmlformats.org/officeDocument/2006/relationships/hyperlink" Target="mailto:sachinsharma.rb@gmail.com" TargetMode="External"/><Relationship Id="rId13" Type="http://schemas.openxmlformats.org/officeDocument/2006/relationships/hyperlink" Target="mailto:pragatitripathi.ece@its.edu.in" TargetMode="External"/><Relationship Id="rId12" Type="http://schemas.openxmlformats.org/officeDocument/2006/relationships/hyperlink" Target="mailto:setu.ece@its.edu.in" TargetMode="External"/><Relationship Id="rId15" Type="http://schemas.openxmlformats.org/officeDocument/2006/relationships/hyperlink" Target="mailto:vivek.kumar@ft-board.com" TargetMode="External"/><Relationship Id="rId14" Type="http://schemas.openxmlformats.org/officeDocument/2006/relationships/hyperlink" Target="mailto:seniormanager.glbcri@glbitm.ac.in" TargetMode="External"/><Relationship Id="rId17" Type="http://schemas.openxmlformats.org/officeDocument/2006/relationships/hyperlink" Target="mailto:bhuvnesh@verdantmotors.com" TargetMode="External"/><Relationship Id="rId16" Type="http://schemas.openxmlformats.org/officeDocument/2006/relationships/hyperlink" Target="mailto:manager.ic@ietlucknow.ac.in" TargetMode="External"/><Relationship Id="rId19" Type="http://schemas.openxmlformats.org/officeDocument/2006/relationships/hyperlink" Target="about:blank" TargetMode="External"/><Relationship Id="rId18" Type="http://schemas.openxmlformats.org/officeDocument/2006/relationships/hyperlink" Target="mailto:akhilrai@kpmg.com" TargetMode="External"/><Relationship Id="rId1" Type="http://schemas.openxmlformats.org/officeDocument/2006/relationships/hyperlink" Target="mailto:aghaasimhusain@its.edu.in" TargetMode="External"/><Relationship Id="rId2" Type="http://schemas.openxmlformats.org/officeDocument/2006/relationships/hyperlink" Target="mailto:ayubkhan48@gmail.com" TargetMode="External"/><Relationship Id="rId3" Type="http://schemas.openxmlformats.org/officeDocument/2006/relationships/hyperlink" Target="mailto:praveencjha.ash@its.edu.in" TargetMode="External"/><Relationship Id="rId4" Type="http://schemas.openxmlformats.org/officeDocument/2006/relationships/hyperlink" Target="mailto:jeeveshgupta13@gmail.com" TargetMode="External"/><Relationship Id="rId9" Type="http://schemas.openxmlformats.org/officeDocument/2006/relationships/hyperlink" Target="mailto:chetandixit.me@its.edu.in" TargetMode="External"/><Relationship Id="rId5" Type="http://schemas.openxmlformats.org/officeDocument/2006/relationships/hyperlink" Target="mailto:mohitsaxena@its.edu.in" TargetMode="External"/><Relationship Id="rId6" Type="http://schemas.openxmlformats.org/officeDocument/2006/relationships/hyperlink" Target="mailto:manvendra.yadav@empi.ac.in" TargetMode="External"/><Relationship Id="rId7" Type="http://schemas.openxmlformats.org/officeDocument/2006/relationships/hyperlink" Target="mailto:hod.ece@its.edu.in" TargetMode="External"/><Relationship Id="rId8" Type="http://schemas.openxmlformats.org/officeDocument/2006/relationships/hyperlink" Target="mailto:rajivranjan.eee@its.edu.in"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40" Type="http://schemas.openxmlformats.org/officeDocument/2006/relationships/hyperlink" Target="https://drive.google.com/open?id=1m2y__B7sO4HmVQfCGZRUZJqyjU5yMgDa" TargetMode="External"/><Relationship Id="rId42" Type="http://schemas.openxmlformats.org/officeDocument/2006/relationships/hyperlink" Target="https://drive.google.com/open?id=1IcEI_MAkHO_QM_ez-_WslE__UAgS1n_m" TargetMode="External"/><Relationship Id="rId41" Type="http://schemas.openxmlformats.org/officeDocument/2006/relationships/hyperlink" Target="https://drive.google.com/open?id=1Ni99mpdW7Z71u4pshGJex4XwTRLuodF8" TargetMode="External"/><Relationship Id="rId44" Type="http://schemas.openxmlformats.org/officeDocument/2006/relationships/hyperlink" Target="https://drive.google.com/open?id=1HgPD0yXF2wvI6GxcpZ0EDJClT3TXLKIH" TargetMode="External"/><Relationship Id="rId43" Type="http://schemas.openxmlformats.org/officeDocument/2006/relationships/hyperlink" Target="https://drive.google.com/open?id=19-4qnKDTXVathWIn11U6QkLvkeMy-aiN" TargetMode="External"/><Relationship Id="rId46" Type="http://schemas.openxmlformats.org/officeDocument/2006/relationships/hyperlink" Target="https://drive.google.com/open?id=1gvNDJjq6TKXzRGAhwKfXgArNZdA1xtPz" TargetMode="External"/><Relationship Id="rId45" Type="http://schemas.openxmlformats.org/officeDocument/2006/relationships/hyperlink" Target="https://drive.google.com/open?id=1w_F0UsFKmwg5gmuFfFF7O45Rudkkhex_" TargetMode="External"/><Relationship Id="rId107" Type="http://schemas.openxmlformats.org/officeDocument/2006/relationships/hyperlink" Target="https://drive.google.com/open?id=18X6Ey2eLyct-WdnSyiRCk8f9izsZGxnb" TargetMode="External"/><Relationship Id="rId106" Type="http://schemas.openxmlformats.org/officeDocument/2006/relationships/hyperlink" Target="https://drive.google.com/open?id=17VO1jpOeeaEI3gzvBek9rRt8z5BXHjT2" TargetMode="External"/><Relationship Id="rId105" Type="http://schemas.openxmlformats.org/officeDocument/2006/relationships/hyperlink" Target="https://drive.google.com/open?id=1hYqAdkwM8j-xvlmwZltSrrXi33ig5NIm" TargetMode="External"/><Relationship Id="rId104" Type="http://schemas.openxmlformats.org/officeDocument/2006/relationships/hyperlink" Target="https://drive.google.com/open?id=1UverL1aDQSrPrYo8CaYr1n6qB2KFeMO7" TargetMode="External"/><Relationship Id="rId109" Type="http://schemas.openxmlformats.org/officeDocument/2006/relationships/hyperlink" Target="https://drive.google.com/open?id=1ouDG1eXNELOJfVGUVpEoDJgrUboyOapz" TargetMode="External"/><Relationship Id="rId108" Type="http://schemas.openxmlformats.org/officeDocument/2006/relationships/hyperlink" Target="https://drive.google.com/open?id=1JI2gF-dIehXDuTYiUkAR1N-8VQBrSEYC" TargetMode="External"/><Relationship Id="rId48" Type="http://schemas.openxmlformats.org/officeDocument/2006/relationships/hyperlink" Target="https://drive.google.com/open?id=14D78bozEwsSWIcHe4al2F52AOTxivCK2" TargetMode="External"/><Relationship Id="rId47" Type="http://schemas.openxmlformats.org/officeDocument/2006/relationships/hyperlink" Target="https://drive.google.com/open?id=1IyzBSNEo8LJ9kO3fKBaYNRKR2nqGqbKw" TargetMode="External"/><Relationship Id="rId49" Type="http://schemas.openxmlformats.org/officeDocument/2006/relationships/hyperlink" Target="https://drive.google.com/open?id=1VDb-zmRoQXhF3N-4BD-q6JaNK8v8bqSX" TargetMode="External"/><Relationship Id="rId103" Type="http://schemas.openxmlformats.org/officeDocument/2006/relationships/hyperlink" Target="https://drive.google.com/open?id=17vRZbnZ3dy-Eu-l7VUU5eF7SwChtxgao" TargetMode="External"/><Relationship Id="rId102" Type="http://schemas.openxmlformats.org/officeDocument/2006/relationships/hyperlink" Target="https://drive.google.com/open?id=1RBgvPqiXnS5NgmDmy77FmUyAlEiKOl5v" TargetMode="External"/><Relationship Id="rId101" Type="http://schemas.openxmlformats.org/officeDocument/2006/relationships/hyperlink" Target="https://drive.google.com/open?id=1FEMyFdvX4UhaqhP3KkXS3dSiFnZQ5OcW" TargetMode="External"/><Relationship Id="rId100" Type="http://schemas.openxmlformats.org/officeDocument/2006/relationships/hyperlink" Target="https://drive.google.com/open?id=1M-Eo5h4jOJtYO7NZCY_xeVB-cvno8TbR" TargetMode="External"/><Relationship Id="rId31" Type="http://schemas.openxmlformats.org/officeDocument/2006/relationships/hyperlink" Target="https://drive.google.com/open?id=1PuR64sQipwKoL3tFsTAYLq9UvaL0mHCP" TargetMode="External"/><Relationship Id="rId30" Type="http://schemas.openxmlformats.org/officeDocument/2006/relationships/hyperlink" Target="https://drive.google.com/open?id=16PdWvIDp5ZgEtq9dhIZXGvk55vRZr84g" TargetMode="External"/><Relationship Id="rId33" Type="http://schemas.openxmlformats.org/officeDocument/2006/relationships/hyperlink" Target="https://drive.google.com/open?id=12uC3QQm-g-Z_BfLeXQJK1eBKOZ2AQxnX" TargetMode="External"/><Relationship Id="rId32" Type="http://schemas.openxmlformats.org/officeDocument/2006/relationships/hyperlink" Target="https://drive.google.com/open?id=1PF267HQfuDW9DRaGBwsSzB1QoXWjfgXo" TargetMode="External"/><Relationship Id="rId35" Type="http://schemas.openxmlformats.org/officeDocument/2006/relationships/hyperlink" Target="https://drive.google.com/open?id=13FSAMcRP0mQlJth8OgNNUUJV60mZ6uJd" TargetMode="External"/><Relationship Id="rId34" Type="http://schemas.openxmlformats.org/officeDocument/2006/relationships/hyperlink" Target="https://drive.google.com/open?id=1EeBuoG7H1L_FpFytcqH1xYXXjtjWFzgx" TargetMode="External"/><Relationship Id="rId37" Type="http://schemas.openxmlformats.org/officeDocument/2006/relationships/hyperlink" Target="https://drive.google.com/open?id=1-SRSyXiTnFi2vx8_Qg63V1s0jDMVls5B" TargetMode="External"/><Relationship Id="rId36" Type="http://schemas.openxmlformats.org/officeDocument/2006/relationships/hyperlink" Target="https://drive.google.com/open?id=164VToDiiEkvhOjUBp76SuoAJhgLt9Vxe" TargetMode="External"/><Relationship Id="rId175" Type="http://schemas.openxmlformats.org/officeDocument/2006/relationships/drawing" Target="../drawings/drawing22.xml"/><Relationship Id="rId39" Type="http://schemas.openxmlformats.org/officeDocument/2006/relationships/hyperlink" Target="https://drive.google.com/open?id=1DxkWyOhHQszv8D9lCD0yRKDh6pjYmSpG" TargetMode="External"/><Relationship Id="rId174" Type="http://schemas.openxmlformats.org/officeDocument/2006/relationships/hyperlink" Target="https://drive.google.com/open?id=1CWUW4MCRkDc-Gk5msmqsj3iRkcMaPfNR" TargetMode="External"/><Relationship Id="rId38" Type="http://schemas.openxmlformats.org/officeDocument/2006/relationships/hyperlink" Target="https://drive.google.com/open?id=1KjOnk85oKDg1bMg9aB25oPwW_z4UOmNU" TargetMode="External"/><Relationship Id="rId173" Type="http://schemas.openxmlformats.org/officeDocument/2006/relationships/hyperlink" Target="https://drive.google.com/open?id=1ql2TsnWyfJFjj5vW11Q_qh499KRaGBhM" TargetMode="External"/><Relationship Id="rId20" Type="http://schemas.openxmlformats.org/officeDocument/2006/relationships/hyperlink" Target="https://drive.google.com/open?id=1AqexGrGOAPNKigeEMtneUVXhYpj1goKf" TargetMode="External"/><Relationship Id="rId22" Type="http://schemas.openxmlformats.org/officeDocument/2006/relationships/hyperlink" Target="https://drive.google.com/open?id=1M8nQYhsrwXmtoSwRp0yXOFSQ43fHDQBc" TargetMode="External"/><Relationship Id="rId21" Type="http://schemas.openxmlformats.org/officeDocument/2006/relationships/hyperlink" Target="https://drive.google.com/open?id=1977Gusvh607tES6dQ1jMRNwsVtsG8u0j" TargetMode="External"/><Relationship Id="rId24" Type="http://schemas.openxmlformats.org/officeDocument/2006/relationships/hyperlink" Target="https://drive.google.com/open?id=1zQaxKo-vm0f3OrDnWfmjyDEDZm5RJWmQ" TargetMode="External"/><Relationship Id="rId23" Type="http://schemas.openxmlformats.org/officeDocument/2006/relationships/hyperlink" Target="https://drive.google.com/open?id=1V0kD3aV9YRg5IPuEmtRcy0sKVuMW1q4l" TargetMode="External"/><Relationship Id="rId129" Type="http://schemas.openxmlformats.org/officeDocument/2006/relationships/hyperlink" Target="https://drive.google.com/open?id=12o3iAaGhnz2g1DiGvviC_utXv2B048i4" TargetMode="External"/><Relationship Id="rId128" Type="http://schemas.openxmlformats.org/officeDocument/2006/relationships/hyperlink" Target="https://drive.google.com/open?id=1P8CbTRcorP7auxWu1luhi3YH-AbsMq5t" TargetMode="External"/><Relationship Id="rId127" Type="http://schemas.openxmlformats.org/officeDocument/2006/relationships/hyperlink" Target="https://drive.google.com/open?id=1p1zzOcJJJxPUR_ph_nTXh5PF-8EhPktZ" TargetMode="External"/><Relationship Id="rId126" Type="http://schemas.openxmlformats.org/officeDocument/2006/relationships/hyperlink" Target="https://drive.google.com/open?id=11ajvS4IT1IVMH5G7izAbtb2cpYVDvW8J" TargetMode="External"/><Relationship Id="rId26" Type="http://schemas.openxmlformats.org/officeDocument/2006/relationships/hyperlink" Target="https://drive.google.com/open?id=1WB553QC2AWskM0Q778DLOe6-5k7aCnuz" TargetMode="External"/><Relationship Id="rId121" Type="http://schemas.openxmlformats.org/officeDocument/2006/relationships/hyperlink" Target="https://drive.google.com/open?id=1xTQIK5YPSgIEazCwly9pFBWnR1XbQkpE" TargetMode="External"/><Relationship Id="rId25" Type="http://schemas.openxmlformats.org/officeDocument/2006/relationships/hyperlink" Target="https://drive.google.com/open?id=10F4mbINBIMG-aW7K5oo9dkYTOnRhr1SK" TargetMode="External"/><Relationship Id="rId120" Type="http://schemas.openxmlformats.org/officeDocument/2006/relationships/hyperlink" Target="https://drive.google.com/open?id=1WPJRy-HcpOMDuS1_1pt3R5C2Er2YIzoa" TargetMode="External"/><Relationship Id="rId28" Type="http://schemas.openxmlformats.org/officeDocument/2006/relationships/hyperlink" Target="https://drive.google.com/open?id=1w3bbcvC5epJfFLJLsS8hBQUz0mzLmvfw" TargetMode="External"/><Relationship Id="rId27" Type="http://schemas.openxmlformats.org/officeDocument/2006/relationships/hyperlink" Target="https://drive.google.com/open?id=1BQgMicT1u6KiQ5oK1nQgo_Zs3HTfMRkL" TargetMode="External"/><Relationship Id="rId125" Type="http://schemas.openxmlformats.org/officeDocument/2006/relationships/hyperlink" Target="https://drive.google.com/open?id=1_qSAim4plHNtNYb8of6-vTmb5x35MqKL" TargetMode="External"/><Relationship Id="rId29" Type="http://schemas.openxmlformats.org/officeDocument/2006/relationships/hyperlink" Target="https://drive.google.com/open?id=1QDNxLEQQvYipBh76u6CUrdK-iUtFoCYp" TargetMode="External"/><Relationship Id="rId124" Type="http://schemas.openxmlformats.org/officeDocument/2006/relationships/hyperlink" Target="https://drive.google.com/open?id=1ZwCcZZUvKduz9Yhwt9bzrO3l3YWZU3nA" TargetMode="External"/><Relationship Id="rId123" Type="http://schemas.openxmlformats.org/officeDocument/2006/relationships/hyperlink" Target="https://drive.google.com/open?id=1WtB4-N7L6umh_4fTXoPVfanLCgc3R4IA" TargetMode="External"/><Relationship Id="rId122" Type="http://schemas.openxmlformats.org/officeDocument/2006/relationships/hyperlink" Target="https://drive.google.com/open?id=1Xoj1K_nx4Eo-XkQ56d6kLETqkgmkcfw4" TargetMode="External"/><Relationship Id="rId95" Type="http://schemas.openxmlformats.org/officeDocument/2006/relationships/hyperlink" Target="https://drive.google.com/open?id=1_7sfGmmfzb_VZDKo9gFh760zEup-tIh2" TargetMode="External"/><Relationship Id="rId94" Type="http://schemas.openxmlformats.org/officeDocument/2006/relationships/hyperlink" Target="https://drive.google.com/open?id=1BJNoVK4-YL6cKjmmq2VelHelGaHeNyEc" TargetMode="External"/><Relationship Id="rId97" Type="http://schemas.openxmlformats.org/officeDocument/2006/relationships/hyperlink" Target="https://drive.google.com/open?id=1UKuJ-vgyeP_hkOUxAvKeaf1RC9fxDMIM" TargetMode="External"/><Relationship Id="rId96" Type="http://schemas.openxmlformats.org/officeDocument/2006/relationships/hyperlink" Target="https://drive.google.com/open?id=1nZgpYJMH93vMYg0pKZEFqa59yqfMJ5mA" TargetMode="External"/><Relationship Id="rId11" Type="http://schemas.openxmlformats.org/officeDocument/2006/relationships/hyperlink" Target="https://drive.google.com/open?id=1EMqd2Nwnk6uL-wNPpvBKPN4ux_eG81d1" TargetMode="External"/><Relationship Id="rId99" Type="http://schemas.openxmlformats.org/officeDocument/2006/relationships/hyperlink" Target="https://drive.google.com/open?id=1ee5kX00vN9ib-hez7L-0jwrqq9uTBQYi" TargetMode="External"/><Relationship Id="rId10" Type="http://schemas.openxmlformats.org/officeDocument/2006/relationships/hyperlink" Target="https://drive.google.com/open?id=1VTErn7Dj3R-N1V0C1evRVG7yx0ArWGer" TargetMode="External"/><Relationship Id="rId98" Type="http://schemas.openxmlformats.org/officeDocument/2006/relationships/hyperlink" Target="https://drive.google.com/open?id=1AMag7Zd95kYWZpkYTIJcBKxjs0Mbnt1u" TargetMode="External"/><Relationship Id="rId13" Type="http://schemas.openxmlformats.org/officeDocument/2006/relationships/hyperlink" Target="https://drive.google.com/open?id=1aeo1Ea9qAmXB6ydWgYnEUWdui7hV7ljJ" TargetMode="External"/><Relationship Id="rId12" Type="http://schemas.openxmlformats.org/officeDocument/2006/relationships/hyperlink" Target="https://drive.google.com/open?id=1xoaMNSAQweZyEGgopdSRO-MLVbxME7Gr" TargetMode="External"/><Relationship Id="rId91" Type="http://schemas.openxmlformats.org/officeDocument/2006/relationships/hyperlink" Target="https://drive.google.com/open?id=1t72trgwtHXllvApdPMIZpIVct5Ym0uNp" TargetMode="External"/><Relationship Id="rId90" Type="http://schemas.openxmlformats.org/officeDocument/2006/relationships/hyperlink" Target="https://drive.google.com/open?id=1XD-uMoDxszQcnSqrlwtn6TpiQWBShXgW" TargetMode="External"/><Relationship Id="rId93" Type="http://schemas.openxmlformats.org/officeDocument/2006/relationships/hyperlink" Target="https://drive.google.com/open?id=1gM7TwsgHuv1MJ1Hg8Pnxe8uZNjOBIa3q" TargetMode="External"/><Relationship Id="rId92" Type="http://schemas.openxmlformats.org/officeDocument/2006/relationships/hyperlink" Target="https://drive.google.com/open?id=1F7TAoWou7ISWaKF8-qlwo-MhF9tOqHIc" TargetMode="External"/><Relationship Id="rId118" Type="http://schemas.openxmlformats.org/officeDocument/2006/relationships/hyperlink" Target="https://drive.google.com/open?id=1TR4R8tyjCYg3CP8dEYFBhfdFmGBNhyEz" TargetMode="External"/><Relationship Id="rId117" Type="http://schemas.openxmlformats.org/officeDocument/2006/relationships/hyperlink" Target="https://drive.google.com/open?id=1Gb9VM_KrI5oX-LZtNYgUUkH1thkMkxfp" TargetMode="External"/><Relationship Id="rId116" Type="http://schemas.openxmlformats.org/officeDocument/2006/relationships/hyperlink" Target="https://drive.google.com/open?id=1iwZgZnhye1d4qhjG3BBXStTrNM7Dh2cB" TargetMode="External"/><Relationship Id="rId115" Type="http://schemas.openxmlformats.org/officeDocument/2006/relationships/hyperlink" Target="https://drive.google.com/open?id=1l0-l9H1KRcwF1zqtMogX9VdxUzssvbEW" TargetMode="External"/><Relationship Id="rId119" Type="http://schemas.openxmlformats.org/officeDocument/2006/relationships/hyperlink" Target="https://drive.google.com/open?id=1dGFy0kvUXfHaihjPAcA1rLJ0KKBZa3RT" TargetMode="External"/><Relationship Id="rId15" Type="http://schemas.openxmlformats.org/officeDocument/2006/relationships/hyperlink" Target="https://drive.google.com/open?id=1rIMS8awbR-ElMK-8RGps5SIOX0vcBuN9" TargetMode="External"/><Relationship Id="rId110" Type="http://schemas.openxmlformats.org/officeDocument/2006/relationships/hyperlink" Target="https://drive.google.com/open?id=1kWvWxO4Bp8Vo0Pe80stqyMLoXDR04z1h" TargetMode="External"/><Relationship Id="rId14" Type="http://schemas.openxmlformats.org/officeDocument/2006/relationships/hyperlink" Target="https://drive.google.com/open?id=18meRfQjYC3r-NkbKOkuK6aQQ6DXDY2Vm" TargetMode="External"/><Relationship Id="rId17" Type="http://schemas.openxmlformats.org/officeDocument/2006/relationships/hyperlink" Target="https://drive.google.com/open?id=1JMVVC5T0HNOtIxCGHEiJP_0WRyhApvUo" TargetMode="External"/><Relationship Id="rId16" Type="http://schemas.openxmlformats.org/officeDocument/2006/relationships/hyperlink" Target="https://drive.google.com/open?id=1HGKzRQ5-JbVXpVZn6r6CK0HxC__FT-CV" TargetMode="External"/><Relationship Id="rId19" Type="http://schemas.openxmlformats.org/officeDocument/2006/relationships/hyperlink" Target="https://drive.google.com/open?id=1-B9bQADtv8Cif776yGlTcG9fbsR-1NUw" TargetMode="External"/><Relationship Id="rId114" Type="http://schemas.openxmlformats.org/officeDocument/2006/relationships/hyperlink" Target="https://drive.google.com/open?id=1uYaGEqrxP8vJLNBXeHNve0QI2uEuVXn7" TargetMode="External"/><Relationship Id="rId18" Type="http://schemas.openxmlformats.org/officeDocument/2006/relationships/hyperlink" Target="https://drive.google.com/open?id=1pSpKTEl-GYWN9So_r3UCCyg0j_9ikvT4" TargetMode="External"/><Relationship Id="rId113" Type="http://schemas.openxmlformats.org/officeDocument/2006/relationships/hyperlink" Target="https://drive.google.com/open?id=1E38LLJ0p2PQXl2norYN72MUHjangfzvN" TargetMode="External"/><Relationship Id="rId112" Type="http://schemas.openxmlformats.org/officeDocument/2006/relationships/hyperlink" Target="https://drive.google.com/open?id=1mo_YkM8MEcQPxAiioPyp6efAmNMBmBjN" TargetMode="External"/><Relationship Id="rId111" Type="http://schemas.openxmlformats.org/officeDocument/2006/relationships/hyperlink" Target="https://drive.google.com/open?id=1PI273wTfLrEhmMJuE3ZnmgGiIccr9VdJ" TargetMode="External"/><Relationship Id="rId84" Type="http://schemas.openxmlformats.org/officeDocument/2006/relationships/hyperlink" Target="https://drive.google.com/open?id=1tOzui_mncTIWWOklPSjUBrMZbK5qw-Xg" TargetMode="External"/><Relationship Id="rId83" Type="http://schemas.openxmlformats.org/officeDocument/2006/relationships/hyperlink" Target="https://drive.google.com/open?id=1BCP1ft59YzyqkGaaWmV40vSqGEctHQv5" TargetMode="External"/><Relationship Id="rId86" Type="http://schemas.openxmlformats.org/officeDocument/2006/relationships/hyperlink" Target="https://drive.google.com/open?id=11p0x9WudF9mDCA7YZy2tdiMCTIQNX-al" TargetMode="External"/><Relationship Id="rId85" Type="http://schemas.openxmlformats.org/officeDocument/2006/relationships/hyperlink" Target="https://drive.google.com/open?id=1kPop_s1Zp2LfTKSYyZJldHhVOcFCr0N_" TargetMode="External"/><Relationship Id="rId88" Type="http://schemas.openxmlformats.org/officeDocument/2006/relationships/hyperlink" Target="https://drive.google.com/open?id=128u6N5AuMt6pGDFHPXQMJ1VpQgNoJHt6" TargetMode="External"/><Relationship Id="rId150" Type="http://schemas.openxmlformats.org/officeDocument/2006/relationships/hyperlink" Target="https://drive.google.com/open?id=1yFi-rBbo0r40rbexjvJjzUPM7brdnkLc" TargetMode="External"/><Relationship Id="rId87" Type="http://schemas.openxmlformats.org/officeDocument/2006/relationships/hyperlink" Target="https://drive.google.com/open?id=1kOi_rURoxgG4q6JEF-oSCbAFEYgGoOG8" TargetMode="External"/><Relationship Id="rId89" Type="http://schemas.openxmlformats.org/officeDocument/2006/relationships/hyperlink" Target="https://drive.google.com/open?id=1WKp05wdTyLZ7LGyMaR9smb5WslK5X59b" TargetMode="External"/><Relationship Id="rId80" Type="http://schemas.openxmlformats.org/officeDocument/2006/relationships/hyperlink" Target="https://drive.google.com/open?id=1TycpKJxkks_nV8Er_XvTTCHAhoFzaxzk" TargetMode="External"/><Relationship Id="rId82" Type="http://schemas.openxmlformats.org/officeDocument/2006/relationships/hyperlink" Target="https://drive.google.com/open?id=16ZAEAR4jsEJG_T_cnBTudKxKCj3XfLoM" TargetMode="External"/><Relationship Id="rId81" Type="http://schemas.openxmlformats.org/officeDocument/2006/relationships/hyperlink" Target="https://drive.google.com/open?id=1QdY7Z5uaLDRwUHcBRmote734USC5gb7L" TargetMode="External"/><Relationship Id="rId1" Type="http://schemas.openxmlformats.org/officeDocument/2006/relationships/hyperlink" Target="https://drive.google.com/open?id=1fImzA65SzU7lVUqiF3QlmvZbVcyar3Ns" TargetMode="External"/><Relationship Id="rId2" Type="http://schemas.openxmlformats.org/officeDocument/2006/relationships/hyperlink" Target="https://drive.google.com/open?id=1jaUCyaRbxd9fugktu0ajMRmyMPDt55Xw" TargetMode="External"/><Relationship Id="rId3" Type="http://schemas.openxmlformats.org/officeDocument/2006/relationships/hyperlink" Target="https://drive.google.com/open?id=1bXx0-pUZqN1bMxrOI_F-wFvGMWM5l4GS" TargetMode="External"/><Relationship Id="rId149" Type="http://schemas.openxmlformats.org/officeDocument/2006/relationships/hyperlink" Target="https://drive.google.com/open?id=1oYVq13Km7PX9xYITq6Lrs_duuj682ZPq" TargetMode="External"/><Relationship Id="rId4" Type="http://schemas.openxmlformats.org/officeDocument/2006/relationships/hyperlink" Target="https://drive.google.com/open?id=1bA6gbV3tOKvxQ1LRoZBjTQZYu5FHDsBF" TargetMode="External"/><Relationship Id="rId148" Type="http://schemas.openxmlformats.org/officeDocument/2006/relationships/hyperlink" Target="https://drive.google.com/open?id=1KuCW2mV8BxGmcsbnsJriUjC5aoC5xlJt" TargetMode="External"/><Relationship Id="rId9" Type="http://schemas.openxmlformats.org/officeDocument/2006/relationships/hyperlink" Target="https://drive.google.com/open?id=1Bs3CriqWnWVCePhZQlyzGy3BfRUMGkUe" TargetMode="External"/><Relationship Id="rId143" Type="http://schemas.openxmlformats.org/officeDocument/2006/relationships/hyperlink" Target="https://drive.google.com/open?id=1GhoWF4AGqthD0YfNfDy44zAO5fUVz-J-" TargetMode="External"/><Relationship Id="rId142" Type="http://schemas.openxmlformats.org/officeDocument/2006/relationships/hyperlink" Target="https://drive.google.com/open?id=1l-xNFZQKfjqeogxdSyP4ba-0KrUw45ex" TargetMode="External"/><Relationship Id="rId141" Type="http://schemas.openxmlformats.org/officeDocument/2006/relationships/hyperlink" Target="https://drive.google.com/open?id=1UIUAx7eiAQMrlo3uUdJJTDlaUrOoqOsO" TargetMode="External"/><Relationship Id="rId140" Type="http://schemas.openxmlformats.org/officeDocument/2006/relationships/hyperlink" Target="https://drive.google.com/open?id=1ggT7OXURMy6waDJoiJy_quks4xQCUgqX" TargetMode="External"/><Relationship Id="rId5" Type="http://schemas.openxmlformats.org/officeDocument/2006/relationships/hyperlink" Target="https://drive.google.com/open?id=1xK35BnVP8qICdPDhXW1QqQwCTDC4d3ID" TargetMode="External"/><Relationship Id="rId147" Type="http://schemas.openxmlformats.org/officeDocument/2006/relationships/hyperlink" Target="https://drive.google.com/open?id=1VEC9XFbEx9qm1hTIyawro8pJhayKifa1" TargetMode="External"/><Relationship Id="rId6" Type="http://schemas.openxmlformats.org/officeDocument/2006/relationships/hyperlink" Target="https://drive.google.com/open?id=11T2JnvuvFSftGmWIBw35NpX2ACkCaFCN" TargetMode="External"/><Relationship Id="rId146" Type="http://schemas.openxmlformats.org/officeDocument/2006/relationships/hyperlink" Target="https://drive.google.com/open?id=1sNnpPyNnvrjWWlY6BzK_zcqpmQGgFyY4" TargetMode="External"/><Relationship Id="rId7" Type="http://schemas.openxmlformats.org/officeDocument/2006/relationships/hyperlink" Target="https://drive.google.com/open?id=1t27G0jrBJAhmguqHk8hGv9gauHgo7iNg" TargetMode="External"/><Relationship Id="rId145" Type="http://schemas.openxmlformats.org/officeDocument/2006/relationships/hyperlink" Target="https://drive.google.com/open?id=1eRAhDydsnnbUiaIUh7iceQwHjnROxNQ1" TargetMode="External"/><Relationship Id="rId8" Type="http://schemas.openxmlformats.org/officeDocument/2006/relationships/hyperlink" Target="https://drive.google.com/open?id=1ojIL2Abdn0M89WLECb1E2NKRKWYyUS4P" TargetMode="External"/><Relationship Id="rId144" Type="http://schemas.openxmlformats.org/officeDocument/2006/relationships/hyperlink" Target="https://drive.google.com/open?id=1O1Xm5gY92Dg6DVmZ66tcNM1TkljETPgB" TargetMode="External"/><Relationship Id="rId73" Type="http://schemas.openxmlformats.org/officeDocument/2006/relationships/hyperlink" Target="https://drive.google.com/open?id=1TgDP9xrc56W1uEf2R4kcaS-mq5hXyU7X" TargetMode="External"/><Relationship Id="rId72" Type="http://schemas.openxmlformats.org/officeDocument/2006/relationships/hyperlink" Target="https://drive.google.com/open?id=1fODmmvop8dBIwc_30N7H-uWziKFAYa_e" TargetMode="External"/><Relationship Id="rId75" Type="http://schemas.openxmlformats.org/officeDocument/2006/relationships/hyperlink" Target="https://drive.google.com/open?id=1cdAEpcUXasubPO2JKkYrr2F8XijE422j" TargetMode="External"/><Relationship Id="rId74" Type="http://schemas.openxmlformats.org/officeDocument/2006/relationships/hyperlink" Target="https://drive.google.com/open?id=1_b2RtqEPO2I7SARlDLkkvPxXo0CXfOl_" TargetMode="External"/><Relationship Id="rId77" Type="http://schemas.openxmlformats.org/officeDocument/2006/relationships/hyperlink" Target="https://drive.google.com/open?id=1WJX6rCHsSr1FRZLZSJ0tsZeTuJK-QW_x" TargetMode="External"/><Relationship Id="rId76" Type="http://schemas.openxmlformats.org/officeDocument/2006/relationships/hyperlink" Target="https://drive.google.com/open?id=1DT_YWcbnDGnJhQcyNzd6WodbNT84YYK7" TargetMode="External"/><Relationship Id="rId79" Type="http://schemas.openxmlformats.org/officeDocument/2006/relationships/hyperlink" Target="https://drive.google.com/open?id=1qUbMFgE__q6RndEnO4HlUMQeOXB4Lvl-" TargetMode="External"/><Relationship Id="rId78" Type="http://schemas.openxmlformats.org/officeDocument/2006/relationships/hyperlink" Target="https://drive.google.com/open?id=1Jotb-FDjQ_WkgbnXmfwqhG-qVTQOst1I" TargetMode="External"/><Relationship Id="rId71" Type="http://schemas.openxmlformats.org/officeDocument/2006/relationships/hyperlink" Target="https://drive.google.com/open?id=17X5hRqlh20rovabEs4PnAOeODwVklhV3" TargetMode="External"/><Relationship Id="rId70" Type="http://schemas.openxmlformats.org/officeDocument/2006/relationships/hyperlink" Target="https://drive.google.com/open?id=1pYRCq65n_qVy7MltgO2HSAO8Ci56gBRo" TargetMode="External"/><Relationship Id="rId139" Type="http://schemas.openxmlformats.org/officeDocument/2006/relationships/hyperlink" Target="https://drive.google.com/open?id=19rM5xbFJM-8P9KUOTT1QNsuL0NK2S7f2" TargetMode="External"/><Relationship Id="rId138" Type="http://schemas.openxmlformats.org/officeDocument/2006/relationships/hyperlink" Target="https://drive.google.com/open?id=1-L6NKFN7LyMmiWPiQq5nr-YwE0Vz7Sla" TargetMode="External"/><Relationship Id="rId137" Type="http://schemas.openxmlformats.org/officeDocument/2006/relationships/hyperlink" Target="https://drive.google.com/open?id=1PAwqm0XJZXWcsl9UpkARsSV8MwLQHk8e" TargetMode="External"/><Relationship Id="rId132" Type="http://schemas.openxmlformats.org/officeDocument/2006/relationships/hyperlink" Target="https://drive.google.com/open?id=1514wxFIPd3fdeC0iNKgZ0P47zwkkP3Ev" TargetMode="External"/><Relationship Id="rId131" Type="http://schemas.openxmlformats.org/officeDocument/2006/relationships/hyperlink" Target="https://drive.google.com/open?id=1rrG_XZ0v4VBx3rZvuVvNqzi6ntm9iqvF" TargetMode="External"/><Relationship Id="rId130" Type="http://schemas.openxmlformats.org/officeDocument/2006/relationships/hyperlink" Target="https://drive.google.com/open?id=1izxGybtk3OfBD9TQ83bBU3aJ7tPG5k0S" TargetMode="External"/><Relationship Id="rId136" Type="http://schemas.openxmlformats.org/officeDocument/2006/relationships/hyperlink" Target="https://drive.google.com/open?id=1iXvvrj5ME-koGxkTcrK9Tl-HsKdDRXqw" TargetMode="External"/><Relationship Id="rId135" Type="http://schemas.openxmlformats.org/officeDocument/2006/relationships/hyperlink" Target="https://drive.google.com/open?id=1pDUCsavUOvpv4GkgxzZACrqCSO26y9yh" TargetMode="External"/><Relationship Id="rId134" Type="http://schemas.openxmlformats.org/officeDocument/2006/relationships/hyperlink" Target="https://drive.google.com/open?id=1xoXPX_c40iOGoqO_UYRXJSObwvy3MGNI" TargetMode="External"/><Relationship Id="rId133" Type="http://schemas.openxmlformats.org/officeDocument/2006/relationships/hyperlink" Target="https://drive.google.com/open?id=1SS61-KPoazglzUSSfhjorAWUbmmWpHmu" TargetMode="External"/><Relationship Id="rId62" Type="http://schemas.openxmlformats.org/officeDocument/2006/relationships/hyperlink" Target="https://drive.google.com/open?id=16AcNbCCijAaqtfji-c8caBRoLoo94QMT" TargetMode="External"/><Relationship Id="rId61" Type="http://schemas.openxmlformats.org/officeDocument/2006/relationships/hyperlink" Target="https://drive.google.com/open?id=189AK9VxCBupV0956Re8LEay-s3XV6LLk" TargetMode="External"/><Relationship Id="rId64" Type="http://schemas.openxmlformats.org/officeDocument/2006/relationships/hyperlink" Target="https://drive.google.com/open?id=1raDz7jiT6te3tJdwbtVf3kI7eNeSb_bI" TargetMode="External"/><Relationship Id="rId63" Type="http://schemas.openxmlformats.org/officeDocument/2006/relationships/hyperlink" Target="https://drive.google.com/open?id=11OvaVfQ0AoIiyabGzBI76wI6_QLB4RjD" TargetMode="External"/><Relationship Id="rId66" Type="http://schemas.openxmlformats.org/officeDocument/2006/relationships/hyperlink" Target="https://drive.google.com/open?id=1ewesg_RzExUEoeQx1A8dTtPNKdUjY3_o" TargetMode="External"/><Relationship Id="rId172" Type="http://schemas.openxmlformats.org/officeDocument/2006/relationships/hyperlink" Target="https://drive.google.com/open?id=1k0WOSFjr32t5LWDh5kVyccmvoBv7jv3_" TargetMode="External"/><Relationship Id="rId65" Type="http://schemas.openxmlformats.org/officeDocument/2006/relationships/hyperlink" Target="https://drive.google.com/open?id=1zI1yj_EDUY8vrrD7mnDoNkexQMrdT9oG" TargetMode="External"/><Relationship Id="rId171" Type="http://schemas.openxmlformats.org/officeDocument/2006/relationships/hyperlink" Target="https://drive.google.com/open?id=1W14AC1UvmBlEoaipau_IZWv4QCRNJ-Tg" TargetMode="External"/><Relationship Id="rId68" Type="http://schemas.openxmlformats.org/officeDocument/2006/relationships/hyperlink" Target="https://drive.google.com/open?id=1HIBzLzXgBdlcw_zdPvqDQKDqbK93o_9A" TargetMode="External"/><Relationship Id="rId170" Type="http://schemas.openxmlformats.org/officeDocument/2006/relationships/hyperlink" Target="https://drive.google.com/open?id=1ElxWW0Sg2otx0BTva7pDquy5Tmsg3Syz" TargetMode="External"/><Relationship Id="rId67" Type="http://schemas.openxmlformats.org/officeDocument/2006/relationships/hyperlink" Target="https://drive.google.com/open?id=1LI6KQh-z6hoadqiNWCxcpUH0LTRd7pSU" TargetMode="External"/><Relationship Id="rId60" Type="http://schemas.openxmlformats.org/officeDocument/2006/relationships/hyperlink" Target="https://drive.google.com/open?id=1lhWxnUeHxvz7EuglSm2UItT0PeIKDOz2" TargetMode="External"/><Relationship Id="rId165" Type="http://schemas.openxmlformats.org/officeDocument/2006/relationships/hyperlink" Target="https://drive.google.com/open?id=1SrHrY_u_na_Pz_4sTgjnR_IwZDUbd-Ov" TargetMode="External"/><Relationship Id="rId69" Type="http://schemas.openxmlformats.org/officeDocument/2006/relationships/hyperlink" Target="https://drive.google.com/open?id=1V5FMPfIsCfERfod16NN7tYINtL4vk9Ek" TargetMode="External"/><Relationship Id="rId164" Type="http://schemas.openxmlformats.org/officeDocument/2006/relationships/hyperlink" Target="https://drive.google.com/open?id=1FFAOPRfqZv7bJYJGfMCKdqAYF0JgWDWv" TargetMode="External"/><Relationship Id="rId163" Type="http://schemas.openxmlformats.org/officeDocument/2006/relationships/hyperlink" Target="https://drive.google.com/open?id=1aNaNYQagapVuH7SPEkltFQGbIu7v2Fc1" TargetMode="External"/><Relationship Id="rId162" Type="http://schemas.openxmlformats.org/officeDocument/2006/relationships/hyperlink" Target="https://drive.google.com/open?id=15_GlsQ96RyZKB9d4IyY-X230uJzsNqdE" TargetMode="External"/><Relationship Id="rId169" Type="http://schemas.openxmlformats.org/officeDocument/2006/relationships/hyperlink" Target="https://drive.google.com/open?id=1z-dDlHKZ8TvYPbq4X_UbIb0ByER54QYD" TargetMode="External"/><Relationship Id="rId168" Type="http://schemas.openxmlformats.org/officeDocument/2006/relationships/hyperlink" Target="https://drive.google.com/open?id=1ccWs4J1j_Ctjjqls_9PNtx86EtBtME92" TargetMode="External"/><Relationship Id="rId167" Type="http://schemas.openxmlformats.org/officeDocument/2006/relationships/hyperlink" Target="https://drive.google.com/open?id=1EsUa-wx8aKtY2a33HreQXDnJ18EmZ0eN" TargetMode="External"/><Relationship Id="rId166" Type="http://schemas.openxmlformats.org/officeDocument/2006/relationships/hyperlink" Target="https://drive.google.com/open?id=1z9iC-8HVfB0YJt0I3Q6spOUvsnNXK18D" TargetMode="External"/><Relationship Id="rId51" Type="http://schemas.openxmlformats.org/officeDocument/2006/relationships/hyperlink" Target="https://drive.google.com/open?id=1lrP9ApDPFVNTaSMAMsHL-CqHfvzzBZZc" TargetMode="External"/><Relationship Id="rId50" Type="http://schemas.openxmlformats.org/officeDocument/2006/relationships/hyperlink" Target="https://drive.google.com/open?id=1cgySHEu-l02vDUWqwNoEl3KRADcWotnH" TargetMode="External"/><Relationship Id="rId53" Type="http://schemas.openxmlformats.org/officeDocument/2006/relationships/hyperlink" Target="https://drive.google.com/open?id=1TeX-IJZhafbM1OIZcT9Yow8YJJH9XCaR" TargetMode="External"/><Relationship Id="rId52" Type="http://schemas.openxmlformats.org/officeDocument/2006/relationships/hyperlink" Target="https://drive.google.com/open?id=1aZ-jrQytFxMa61EX3OUWv0kciGQFcm90" TargetMode="External"/><Relationship Id="rId55" Type="http://schemas.openxmlformats.org/officeDocument/2006/relationships/hyperlink" Target="https://drive.google.com/open?id=17xIR63RMSklVXbzZ0l5vg1YoSTPKDz1s" TargetMode="External"/><Relationship Id="rId161" Type="http://schemas.openxmlformats.org/officeDocument/2006/relationships/hyperlink" Target="https://drive.google.com/open?id=1cqHwXKbIpJW2ORmeA5G66hSsx7njwMJx" TargetMode="External"/><Relationship Id="rId54" Type="http://schemas.openxmlformats.org/officeDocument/2006/relationships/hyperlink" Target="https://drive.google.com/open?id=1lb5bpxi367m_sEXbYW1haMlscWTMJSy-" TargetMode="External"/><Relationship Id="rId160" Type="http://schemas.openxmlformats.org/officeDocument/2006/relationships/hyperlink" Target="https://drive.google.com/open?id=1yrOtZbyE0QCpxp1JlWNwpJmEAy4uedAu" TargetMode="External"/><Relationship Id="rId57" Type="http://schemas.openxmlformats.org/officeDocument/2006/relationships/hyperlink" Target="https://drive.google.com/open?id=1FRGI4gPeC5DEvRIxPLIM6ZNPYLKH0zK8" TargetMode="External"/><Relationship Id="rId56" Type="http://schemas.openxmlformats.org/officeDocument/2006/relationships/hyperlink" Target="https://drive.google.com/open?id=1XtQsfguySYcsK-aXZzpcL44GZ2ITa-wY" TargetMode="External"/><Relationship Id="rId159" Type="http://schemas.openxmlformats.org/officeDocument/2006/relationships/hyperlink" Target="https://drive.google.com/open?id=1oclMR4nsLRFKFRroK0YfUrGam7JLeMGc" TargetMode="External"/><Relationship Id="rId59" Type="http://schemas.openxmlformats.org/officeDocument/2006/relationships/hyperlink" Target="https://drive.google.com/open?id=1dgLqyyPxm_vXB922QmM2mQPfLs7mF6RB" TargetMode="External"/><Relationship Id="rId154" Type="http://schemas.openxmlformats.org/officeDocument/2006/relationships/hyperlink" Target="https://drive.google.com/open?id=1mGfX5nFTsHjsAAnwIPKH5ytB4TVMXdly" TargetMode="External"/><Relationship Id="rId58" Type="http://schemas.openxmlformats.org/officeDocument/2006/relationships/hyperlink" Target="https://drive.google.com/open?id=1x_Vnx1DT61gFW9JR6Xc6lxYyII4P3_jJ" TargetMode="External"/><Relationship Id="rId153" Type="http://schemas.openxmlformats.org/officeDocument/2006/relationships/hyperlink" Target="https://drive.google.com/open?id=13OTwQZrS2_2wveiULdz9ui067m3IVhB0" TargetMode="External"/><Relationship Id="rId152" Type="http://schemas.openxmlformats.org/officeDocument/2006/relationships/hyperlink" Target="https://drive.google.com/open?id=10prIswwIE5xPKdTo8n2M1-XYsXGvSUak" TargetMode="External"/><Relationship Id="rId151" Type="http://schemas.openxmlformats.org/officeDocument/2006/relationships/hyperlink" Target="https://drive.google.com/open?id=1K1wukknJmmal4XBlDjPO4zfSg3HNrHGw" TargetMode="External"/><Relationship Id="rId158" Type="http://schemas.openxmlformats.org/officeDocument/2006/relationships/hyperlink" Target="https://drive.google.com/open?id=1kil0T0O_OnDelwiQ_lxHpGOwjA0I-lM0" TargetMode="External"/><Relationship Id="rId157" Type="http://schemas.openxmlformats.org/officeDocument/2006/relationships/hyperlink" Target="https://drive.google.com/open?id=19kYQCr9B484OiHGT5au9-if3GFq0W-fY" TargetMode="External"/><Relationship Id="rId156" Type="http://schemas.openxmlformats.org/officeDocument/2006/relationships/hyperlink" Target="https://drive.google.com/open?id=1_5fmcPHnGRkZY7BGWmdnviO_bnBpCnng" TargetMode="External"/><Relationship Id="rId155" Type="http://schemas.openxmlformats.org/officeDocument/2006/relationships/hyperlink" Target="https://drive.google.com/open?id=1rIQE2GwZLamw4tQ0ZS4LYun1uIPG6OdZ"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mailto:bigblareinnovations1@gmail.com" TargetMode="External"/><Relationship Id="rId2" Type="http://schemas.openxmlformats.org/officeDocument/2006/relationships/hyperlink" Target="mailto:Anujkatiyar12@gmail.com" TargetMode="External"/><Relationship Id="rId3" Type="http://schemas.openxmlformats.org/officeDocument/2006/relationships/hyperlink" Target="mailto:protovillallp@gmail.com" TargetMode="External"/><Relationship Id="rId4" Type="http://schemas.openxmlformats.org/officeDocument/2006/relationships/hyperlink" Target="mailto:raosanjay111@gmail.com" TargetMode="External"/><Relationship Id="rId5"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20" Type="http://schemas.openxmlformats.org/officeDocument/2006/relationships/drawing" Target="../drawings/drawing27.xml"/><Relationship Id="rId11" Type="http://schemas.openxmlformats.org/officeDocument/2006/relationships/hyperlink" Target="https://github.com/almostalok/citizen-connect-saarthi-hub" TargetMode="External"/><Relationship Id="rId10" Type="http://schemas.openxmlformats.org/officeDocument/2006/relationships/hyperlink" Target="https://github.com/Ashaddd/Data_Dynamo" TargetMode="External"/><Relationship Id="rId13" Type="http://schemas.openxmlformats.org/officeDocument/2006/relationships/hyperlink" Target="https://github.com/erikaSKOOL/ArduBotz-TechTrix" TargetMode="External"/><Relationship Id="rId12" Type="http://schemas.openxmlformats.org/officeDocument/2006/relationships/hyperlink" Target="https://github.com/GUPTA-AMBAR/e-libaray" TargetMode="External"/><Relationship Id="rId15" Type="http://schemas.openxmlformats.org/officeDocument/2006/relationships/hyperlink" Target="https://github.com/adityagaur00/SereneMind" TargetMode="External"/><Relationship Id="rId14" Type="http://schemas.openxmlformats.org/officeDocument/2006/relationships/hyperlink" Target="https://github.com/Nishu-18/serenity" TargetMode="External"/><Relationship Id="rId17" Type="http://schemas.openxmlformats.org/officeDocument/2006/relationships/hyperlink" Target="https://github.com/adityaguptareal/Cosync" TargetMode="External"/><Relationship Id="rId16" Type="http://schemas.openxmlformats.org/officeDocument/2006/relationships/hyperlink" Target="https://github.com/M-zhar/HackThe-Issue" TargetMode="External"/><Relationship Id="rId19" Type="http://schemas.openxmlformats.org/officeDocument/2006/relationships/hyperlink" Target="https://github.com/24f2005749/hackathon-its.git" TargetMode="External"/><Relationship Id="rId18" Type="http://schemas.openxmlformats.org/officeDocument/2006/relationships/hyperlink" Target="https://github.com/Aniket-Chugh/hacktheissueproblemsolutionwebs" TargetMode="External"/><Relationship Id="rId1" Type="http://schemas.openxmlformats.org/officeDocument/2006/relationships/hyperlink" Target="https://github.com/Shivampg1/SanAzle.git" TargetMode="External"/><Relationship Id="rId2" Type="http://schemas.openxmlformats.org/officeDocument/2006/relationships/hyperlink" Target="https://github.com/er-anubhav/Nirvana" TargetMode="External"/><Relationship Id="rId3" Type="http://schemas.openxmlformats.org/officeDocument/2006/relationships/hyperlink" Target="https://github.com/Ayush95697/Jashn-E-Hub.git" TargetMode="External"/><Relationship Id="rId4" Type="http://schemas.openxmlformats.org/officeDocument/2006/relationships/hyperlink" Target="https://github.com/Alexa88879/Nivaran..git" TargetMode="External"/><Relationship Id="rId9" Type="http://schemas.openxmlformats.org/officeDocument/2006/relationships/hyperlink" Target="https://github.com/harxit13/Projects" TargetMode="External"/><Relationship Id="rId5" Type="http://schemas.openxmlformats.org/officeDocument/2006/relationships/hyperlink" Target="https://github.com/vishnuj29/AI-Sanitization_Hackstone" TargetMode="External"/><Relationship Id="rId6" Type="http://schemas.openxmlformats.org/officeDocument/2006/relationships/hyperlink" Target="https://github.com/Alkush-Pipania/hack-the-issue/tree/master" TargetMode="External"/><Relationship Id="rId7" Type="http://schemas.openxmlformats.org/officeDocument/2006/relationships/hyperlink" Target="https://github.com/Devashish-1/herbal" TargetMode="External"/><Relationship Id="rId8" Type="http://schemas.openxmlformats.org/officeDocument/2006/relationships/hyperlink" Target="https://github.com/Shivampg1/SanAzle.git"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30" Type="http://schemas.openxmlformats.org/officeDocument/2006/relationships/drawing" Target="../drawings/drawing32.xml"/><Relationship Id="rId20" Type="http://schemas.openxmlformats.org/officeDocument/2006/relationships/hyperlink" Target="https://www.instagram.com/p/DSmTyFWE5CX/?img_index=1" TargetMode="External"/><Relationship Id="rId22" Type="http://schemas.openxmlformats.org/officeDocument/2006/relationships/hyperlink" Target="https://www.instagram.com/p/DSpzyJNk47A/?img_index=1" TargetMode="External"/><Relationship Id="rId21" Type="http://schemas.openxmlformats.org/officeDocument/2006/relationships/hyperlink" Target="https://www.instagram.com/p/DSnDNWpkxW9/" TargetMode="External"/><Relationship Id="rId24" Type="http://schemas.openxmlformats.org/officeDocument/2006/relationships/hyperlink" Target="https://x.com/ITSEC_NFED/status/2012382009679823024?s=20" TargetMode="External"/><Relationship Id="rId23" Type="http://schemas.openxmlformats.org/officeDocument/2006/relationships/hyperlink" Target="https://www.facebook.com/share/p/1BTfw5uajL/" TargetMode="External"/><Relationship Id="rId26" Type="http://schemas.openxmlformats.org/officeDocument/2006/relationships/hyperlink" Target="https://www.linkedin.com/posts/e-cell-itsec_we-are-delighted-to-share-that-india-ai-impact-activity-7425414165982240768-y1_5?utm_source=share&amp;utm_medium=member_desktop&amp;rcm=ACoAAFKVhWUBh-qDXOjaZMuRSlwjFkHviJqbnTY" TargetMode="External"/><Relationship Id="rId25" Type="http://schemas.openxmlformats.org/officeDocument/2006/relationships/hyperlink" Target="https://www.linkedin.com/feed/update/urn:li:activity:7424519350037987329" TargetMode="External"/><Relationship Id="rId28" Type="http://schemas.openxmlformats.org/officeDocument/2006/relationships/hyperlink" Target="https://www.instagram.com/p/DVIFxj7DE4T/?utm_source=ig_web_copy_link&amp;igsh=MzRlODBiNWFlZA==" TargetMode="External"/><Relationship Id="rId27" Type="http://schemas.openxmlformats.org/officeDocument/2006/relationships/hyperlink" Target="https://www.linkedin.com/feed/update/urn:li:activity:7431314539486289920" TargetMode="External"/><Relationship Id="rId29" Type="http://schemas.openxmlformats.org/officeDocument/2006/relationships/hyperlink" Target="https://www.instagram.com/p/DVpchrGk85I/?utm_source=ig_web_copy_link&amp;igsh=MzRlODBiNWFlZA==" TargetMode="External"/><Relationship Id="rId11" Type="http://schemas.openxmlformats.org/officeDocument/2006/relationships/hyperlink" Target="https://www.instagram.com/p/DQ_lXQxkSfm/?img_index=1" TargetMode="External"/><Relationship Id="rId10" Type="http://schemas.openxmlformats.org/officeDocument/2006/relationships/hyperlink" Target="https://www.linkedin.com/feed/update/urn:li:activity:7393612423875952640" TargetMode="External"/><Relationship Id="rId13" Type="http://schemas.openxmlformats.org/officeDocument/2006/relationships/hyperlink" Target="https://www.instagram.com/p/DQ_uYRYDbDF/?img_index=1" TargetMode="External"/><Relationship Id="rId12" Type="http://schemas.openxmlformats.org/officeDocument/2006/relationships/hyperlink" Target="https://www.linkedin.com/feed/update/urn:li:activity:7393992052247519232" TargetMode="External"/><Relationship Id="rId15" Type="http://schemas.openxmlformats.org/officeDocument/2006/relationships/hyperlink" Target="https://www.linkedin.com/posts/e-cell-itsec_postevent-skilldevelopment-careergrowth-activity-7396570424777560064-yaTh?utm_source=share&amp;utm_medium=member_desktop&amp;rcm=ACoAABqZ21YB1p9PaudK87UBRvY19NLgCfo7dAg" TargetMode="External"/><Relationship Id="rId14" Type="http://schemas.openxmlformats.org/officeDocument/2006/relationships/hyperlink" Target="https://www.linkedin.com/feed/update/urn:li:activity:7394353470331461633" TargetMode="External"/><Relationship Id="rId17" Type="http://schemas.openxmlformats.org/officeDocument/2006/relationships/hyperlink" Target="https://www.instagram.com/p/DRPLE8DEhQ0/?utm_source=ig_web_copy_link&amp;igsh=MzRlODBiNWFlZA==" TargetMode="External"/><Relationship Id="rId16" Type="http://schemas.openxmlformats.org/officeDocument/2006/relationships/hyperlink" Target="https://www.instagram.com/p/DQ_xQz6k7Tn/?utm_source=ig_web_copy_link&amp;igsh=MzRlODBiNWFlZA==" TargetMode="External"/><Relationship Id="rId19" Type="http://schemas.openxmlformats.org/officeDocument/2006/relationships/hyperlink" Target="https://www.linkedin.com/feed/update/urn:li:activity:7408530149652008961" TargetMode="External"/><Relationship Id="rId18" Type="http://schemas.openxmlformats.org/officeDocument/2006/relationships/hyperlink" Target="https://www.instagram.com/p/DSEZjUmkX4Q/?utm_source=ig_web_copy_link&amp;igsh=MzRlODBiNWFlZA==" TargetMode="External"/><Relationship Id="rId1" Type="http://schemas.openxmlformats.org/officeDocument/2006/relationships/hyperlink" Target="https://www.linkedin.com/feed/update/urn:li:activity:7374029411811225600" TargetMode="External"/><Relationship Id="rId2" Type="http://schemas.openxmlformats.org/officeDocument/2006/relationships/hyperlink" Target="https://www.linkedin.com/feed/update/urn:li:activity:7375888868723666944" TargetMode="External"/><Relationship Id="rId3" Type="http://schemas.openxmlformats.org/officeDocument/2006/relationships/hyperlink" Target="https://www.linkedin.com/feed/update/urn:li:activity:7375562576895635457" TargetMode="External"/><Relationship Id="rId4" Type="http://schemas.openxmlformats.org/officeDocument/2006/relationships/hyperlink" Target="https://www.linkedin.com/feed/update/urn:li:activity:7382304785389027328" TargetMode="External"/><Relationship Id="rId9" Type="http://schemas.openxmlformats.org/officeDocument/2006/relationships/hyperlink" Target="https://www.linkedin.com/feed/update/urn:li:activity:7393192828413116416" TargetMode="External"/><Relationship Id="rId5" Type="http://schemas.openxmlformats.org/officeDocument/2006/relationships/hyperlink" Target="https://www.linkedin.com/feed/update/urn:li:activity:7383546586867408899" TargetMode="External"/><Relationship Id="rId6" Type="http://schemas.openxmlformats.org/officeDocument/2006/relationships/hyperlink" Target="https://www.instagram.com/p/DPqjIJvCEL-/" TargetMode="External"/><Relationship Id="rId7" Type="http://schemas.openxmlformats.org/officeDocument/2006/relationships/hyperlink" Target="https://www.linkedin.com/posts/e-cell-itsec_iic-itsengineeringcollege-entrepreneurship-activity-7383832009187487746-NYMT?utm_source=share&amp;utm_medium=member_desktop&amp;rcm=ACoAAFKVhWUBh-qDXOjaZMuRSlwjFkHviJqbnTY" TargetMode="External"/><Relationship Id="rId8" Type="http://schemas.openxmlformats.org/officeDocument/2006/relationships/hyperlink" Target="https://www.instagram.com/p/DQwVatfDmAp/" TargetMode="External"/></Relationships>
</file>

<file path=xl/worksheets/_rels/sheet33.xml.rels><?xml version="1.0" encoding="UTF-8" standalone="yes"?><Relationships xmlns="http://schemas.openxmlformats.org/package/2006/relationships"><Relationship Id="rId11" Type="http://schemas.openxmlformats.org/officeDocument/2006/relationships/hyperlink" Target="https://www.instagram.com/bunkpages/" TargetMode="External"/><Relationship Id="rId10" Type="http://schemas.openxmlformats.org/officeDocument/2006/relationships/hyperlink" Target="https://www.instagram.com/evince_infowraps/" TargetMode="External"/><Relationship Id="rId13" Type="http://schemas.openxmlformats.org/officeDocument/2006/relationships/drawing" Target="../drawings/drawing33.xml"/><Relationship Id="rId12" Type="http://schemas.openxmlformats.org/officeDocument/2006/relationships/hyperlink" Target="https://www.instagram.com/twirl_n_taste/" TargetMode="External"/><Relationship Id="rId1" Type="http://schemas.openxmlformats.org/officeDocument/2006/relationships/hyperlink" Target="https://www.instagram.com/__bakinghappiness_/" TargetMode="External"/><Relationship Id="rId2" Type="http://schemas.openxmlformats.org/officeDocument/2006/relationships/hyperlink" Target="https://www.instagram.com/bemiracules/" TargetMode="External"/><Relationship Id="rId3" Type="http://schemas.openxmlformats.org/officeDocument/2006/relationships/hyperlink" Target="https://www.instagram.com/bikanoworld/" TargetMode="External"/><Relationship Id="rId4" Type="http://schemas.openxmlformats.org/officeDocument/2006/relationships/hyperlink" Target="https://www.instagram.com/ranggat_an_art_from_soul/" TargetMode="External"/><Relationship Id="rId9" Type="http://schemas.openxmlformats.org/officeDocument/2006/relationships/hyperlink" Target="https://www.instagram.com/slush.co__/" TargetMode="External"/><Relationship Id="rId5" Type="http://schemas.openxmlformats.org/officeDocument/2006/relationships/hyperlink" Target="https://www.instagram.com/ensemble._official/" TargetMode="External"/><Relationship Id="rId6" Type="http://schemas.openxmlformats.org/officeDocument/2006/relationships/hyperlink" Target="https://www.instagram.com/shreyas.purple.drawer/" TargetMode="External"/><Relationship Id="rId7" Type="http://schemas.openxmlformats.org/officeDocument/2006/relationships/hyperlink" Target="https://www.instagram.com/punkanddisorderly_" TargetMode="External"/><Relationship Id="rId8" Type="http://schemas.openxmlformats.org/officeDocument/2006/relationships/hyperlink" Target="https://www.instagram.com/bonn_food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88"/>
    <col customWidth="1" min="2" max="2" width="52.0"/>
    <col customWidth="1" min="3" max="3" width="38.13"/>
    <col customWidth="1" min="4" max="4" width="16.25"/>
    <col customWidth="1" min="5" max="5" width="25.25"/>
    <col customWidth="1" min="6" max="6" width="38.63"/>
    <col customWidth="1" min="7" max="7" width="33.13"/>
    <col customWidth="1" min="8" max="8" width="29.75"/>
    <col customWidth="1" min="11" max="11" width="20.88"/>
    <col customWidth="1" min="12" max="12" width="28.25"/>
    <col customWidth="1" min="14" max="14" width="46.63"/>
    <col customWidth="1" min="15" max="15" width="149.0"/>
    <col customWidth="1" min="16" max="16" width="59.38"/>
    <col customWidth="1" min="17" max="17" width="93.5"/>
    <col customWidth="1" min="18" max="18" width="27.13"/>
    <col customWidth="1" min="19" max="19" width="38.0"/>
    <col customWidth="1" min="20" max="20" width="45.75"/>
  </cols>
  <sheetData>
    <row r="1">
      <c r="A1" s="6" t="s">
        <v>2</v>
      </c>
      <c r="B1" s="3"/>
      <c r="C1" s="3"/>
      <c r="D1" s="3"/>
      <c r="E1" s="3"/>
      <c r="F1" s="3"/>
      <c r="G1" s="3"/>
      <c r="H1" s="3"/>
      <c r="I1" s="3"/>
      <c r="J1" s="3"/>
      <c r="K1" s="3"/>
      <c r="L1" s="3"/>
      <c r="M1" s="3"/>
      <c r="N1" s="3"/>
      <c r="O1" s="5"/>
    </row>
    <row r="2">
      <c r="A2" s="11" t="s">
        <v>12</v>
      </c>
      <c r="B2" s="11" t="s">
        <v>23</v>
      </c>
      <c r="C2" s="11" t="s">
        <v>24</v>
      </c>
      <c r="D2" s="11" t="s">
        <v>26</v>
      </c>
      <c r="E2" s="11" t="s">
        <v>27</v>
      </c>
      <c r="F2" s="11" t="s">
        <v>28</v>
      </c>
      <c r="G2" s="11" t="s">
        <v>29</v>
      </c>
      <c r="H2" s="11" t="s">
        <v>30</v>
      </c>
      <c r="I2" s="11" t="s">
        <v>31</v>
      </c>
      <c r="J2" s="11" t="s">
        <v>32</v>
      </c>
      <c r="K2" s="11" t="s">
        <v>34</v>
      </c>
      <c r="L2" s="11" t="s">
        <v>36</v>
      </c>
      <c r="M2" s="11" t="s">
        <v>38</v>
      </c>
      <c r="N2" s="11" t="s">
        <v>40</v>
      </c>
      <c r="O2" s="11" t="s">
        <v>42</v>
      </c>
    </row>
    <row r="3">
      <c r="A3" s="17">
        <v>1.0</v>
      </c>
      <c r="B3" s="17" t="s">
        <v>46</v>
      </c>
      <c r="C3" s="17" t="s">
        <v>49</v>
      </c>
      <c r="D3" s="17" t="s">
        <v>51</v>
      </c>
      <c r="E3" s="17" t="s">
        <v>52</v>
      </c>
      <c r="F3" s="17" t="s">
        <v>54</v>
      </c>
      <c r="G3" s="25" t="s">
        <v>56</v>
      </c>
      <c r="H3" s="17" t="s">
        <v>78</v>
      </c>
      <c r="I3" s="17">
        <v>7.991164254E9</v>
      </c>
      <c r="J3" s="25" t="s">
        <v>83</v>
      </c>
      <c r="K3" s="27">
        <v>44264.0</v>
      </c>
      <c r="L3" s="17" t="s">
        <v>100</v>
      </c>
      <c r="M3" s="17" t="s">
        <v>102</v>
      </c>
      <c r="N3" s="17" t="s">
        <v>104</v>
      </c>
      <c r="O3" s="29" t="s">
        <v>107</v>
      </c>
    </row>
    <row r="4">
      <c r="A4" s="17">
        <v>2.0</v>
      </c>
      <c r="B4" s="17" t="s">
        <v>112</v>
      </c>
      <c r="C4" s="17" t="s">
        <v>114</v>
      </c>
      <c r="D4" s="17" t="s">
        <v>51</v>
      </c>
      <c r="E4" s="17" t="s">
        <v>117</v>
      </c>
      <c r="F4" s="17" t="s">
        <v>118</v>
      </c>
      <c r="G4" s="31" t="s">
        <v>120</v>
      </c>
      <c r="H4" s="17" t="s">
        <v>137</v>
      </c>
      <c r="I4" s="17">
        <v>8.755554293E9</v>
      </c>
      <c r="J4" s="17" t="s">
        <v>141</v>
      </c>
      <c r="K4" s="27">
        <v>44686.0</v>
      </c>
      <c r="L4" s="17" t="s">
        <v>146</v>
      </c>
      <c r="M4" s="17" t="s">
        <v>148</v>
      </c>
      <c r="N4" s="17" t="s">
        <v>151</v>
      </c>
      <c r="O4" s="29" t="s">
        <v>154</v>
      </c>
    </row>
    <row r="5">
      <c r="A5" s="17">
        <v>3.0</v>
      </c>
      <c r="B5" s="17" t="s">
        <v>157</v>
      </c>
      <c r="C5" s="17" t="s">
        <v>159</v>
      </c>
      <c r="D5" s="17" t="s">
        <v>51</v>
      </c>
      <c r="E5" s="17" t="s">
        <v>161</v>
      </c>
      <c r="F5" s="17" t="s">
        <v>118</v>
      </c>
      <c r="G5" s="25" t="s">
        <v>167</v>
      </c>
      <c r="H5" s="17" t="s">
        <v>177</v>
      </c>
      <c r="I5" s="17">
        <v>7.738967863E9</v>
      </c>
      <c r="J5" s="17" t="s">
        <v>180</v>
      </c>
      <c r="K5" s="17" t="s">
        <v>181</v>
      </c>
      <c r="L5" s="17" t="s">
        <v>146</v>
      </c>
      <c r="M5" s="17" t="s">
        <v>182</v>
      </c>
      <c r="N5" s="17" t="s">
        <v>185</v>
      </c>
      <c r="O5" s="29" t="s">
        <v>189</v>
      </c>
    </row>
    <row r="6">
      <c r="A6" s="17">
        <v>4.0</v>
      </c>
      <c r="B6" s="17" t="s">
        <v>191</v>
      </c>
      <c r="C6" s="17" t="s">
        <v>193</v>
      </c>
      <c r="D6" s="17" t="s">
        <v>51</v>
      </c>
      <c r="E6" s="17" t="s">
        <v>195</v>
      </c>
      <c r="F6" s="17" t="s">
        <v>118</v>
      </c>
      <c r="G6" s="25" t="s">
        <v>199</v>
      </c>
      <c r="H6" s="17" t="s">
        <v>78</v>
      </c>
      <c r="I6" s="17">
        <v>9.654204232E9</v>
      </c>
      <c r="J6" s="17" t="s">
        <v>207</v>
      </c>
      <c r="K6" s="27">
        <v>44292.0</v>
      </c>
      <c r="L6" s="17" t="s">
        <v>210</v>
      </c>
      <c r="M6" s="17" t="s">
        <v>211</v>
      </c>
      <c r="N6" s="17" t="s">
        <v>212</v>
      </c>
      <c r="O6" s="29" t="s">
        <v>214</v>
      </c>
    </row>
    <row r="7">
      <c r="A7" s="17">
        <v>5.0</v>
      </c>
      <c r="B7" s="17" t="s">
        <v>218</v>
      </c>
      <c r="C7" s="17" t="s">
        <v>219</v>
      </c>
      <c r="D7" s="17" t="s">
        <v>51</v>
      </c>
      <c r="E7" s="17" t="s">
        <v>220</v>
      </c>
      <c r="F7" s="17" t="s">
        <v>222</v>
      </c>
      <c r="G7" s="17" t="s">
        <v>224</v>
      </c>
      <c r="H7" s="17" t="s">
        <v>177</v>
      </c>
      <c r="I7" s="17">
        <v>7.8399217E9</v>
      </c>
      <c r="J7" s="17" t="s">
        <v>229</v>
      </c>
      <c r="K7" s="34">
        <v>44688.0</v>
      </c>
      <c r="L7" s="17" t="s">
        <v>232</v>
      </c>
      <c r="M7" s="17" t="s">
        <v>234</v>
      </c>
      <c r="N7" s="17" t="s">
        <v>236</v>
      </c>
      <c r="O7" s="29" t="s">
        <v>239</v>
      </c>
    </row>
    <row r="8">
      <c r="A8" s="17">
        <v>6.0</v>
      </c>
      <c r="B8" s="37" t="s">
        <v>241</v>
      </c>
      <c r="C8" s="17" t="s">
        <v>247</v>
      </c>
      <c r="D8" s="17" t="s">
        <v>249</v>
      </c>
      <c r="E8" s="17" t="s">
        <v>252</v>
      </c>
      <c r="F8" s="17" t="s">
        <v>254</v>
      </c>
      <c r="G8" s="17" t="s">
        <v>224</v>
      </c>
      <c r="H8" s="17" t="s">
        <v>259</v>
      </c>
      <c r="I8" s="17">
        <v>9.65456213E9</v>
      </c>
      <c r="J8" s="17" t="s">
        <v>264</v>
      </c>
      <c r="K8" s="27">
        <v>44205.0</v>
      </c>
      <c r="L8" s="17" t="s">
        <v>269</v>
      </c>
      <c r="M8" s="17" t="s">
        <v>270</v>
      </c>
      <c r="N8" s="17" t="s">
        <v>271</v>
      </c>
      <c r="O8" s="29" t="s">
        <v>273</v>
      </c>
    </row>
    <row r="9">
      <c r="A9" s="17">
        <v>7.0</v>
      </c>
      <c r="B9" s="17" t="s">
        <v>55</v>
      </c>
      <c r="C9" s="17" t="s">
        <v>279</v>
      </c>
      <c r="D9" s="17" t="s">
        <v>249</v>
      </c>
      <c r="E9" s="17" t="s">
        <v>283</v>
      </c>
      <c r="F9" s="17" t="s">
        <v>284</v>
      </c>
      <c r="G9" s="25" t="s">
        <v>291</v>
      </c>
      <c r="H9" s="17" t="s">
        <v>308</v>
      </c>
      <c r="I9" s="17">
        <v>9.66737393E9</v>
      </c>
      <c r="J9" s="17" t="s">
        <v>59</v>
      </c>
      <c r="K9" s="27">
        <v>43679.0</v>
      </c>
      <c r="L9" s="17" t="s">
        <v>314</v>
      </c>
      <c r="M9" s="17" t="s">
        <v>61</v>
      </c>
      <c r="N9" s="17" t="s">
        <v>62</v>
      </c>
      <c r="O9" s="29" t="s">
        <v>318</v>
      </c>
    </row>
    <row r="10">
      <c r="A10" s="17">
        <v>8.0</v>
      </c>
      <c r="B10" s="17" t="s">
        <v>119</v>
      </c>
      <c r="C10" s="17" t="s">
        <v>322</v>
      </c>
      <c r="D10" s="17" t="s">
        <v>249</v>
      </c>
      <c r="E10" s="17" t="s">
        <v>323</v>
      </c>
      <c r="F10" s="17" t="s">
        <v>284</v>
      </c>
      <c r="G10" s="25" t="s">
        <v>324</v>
      </c>
      <c r="H10" s="17" t="s">
        <v>137</v>
      </c>
      <c r="I10" s="17">
        <v>9.897888324E9</v>
      </c>
      <c r="J10" s="17" t="s">
        <v>122</v>
      </c>
      <c r="K10" s="34">
        <v>42917.0</v>
      </c>
      <c r="L10" s="17" t="s">
        <v>335</v>
      </c>
      <c r="M10" s="17" t="s">
        <v>124</v>
      </c>
      <c r="N10" s="17" t="s">
        <v>125</v>
      </c>
      <c r="O10" s="29" t="s">
        <v>337</v>
      </c>
    </row>
    <row r="11">
      <c r="A11" s="17">
        <v>9.0</v>
      </c>
      <c r="B11" s="17" t="s">
        <v>108</v>
      </c>
      <c r="C11" s="17" t="s">
        <v>342</v>
      </c>
      <c r="D11" s="17" t="s">
        <v>249</v>
      </c>
      <c r="E11" s="17" t="s">
        <v>349</v>
      </c>
      <c r="F11" s="17" t="s">
        <v>350</v>
      </c>
      <c r="G11" s="25" t="s">
        <v>353</v>
      </c>
      <c r="H11" s="17" t="s">
        <v>137</v>
      </c>
      <c r="I11" s="17">
        <v>7.905205165E9</v>
      </c>
      <c r="J11" s="17" t="s">
        <v>113</v>
      </c>
      <c r="K11" s="27">
        <v>44111.0</v>
      </c>
      <c r="L11" s="17" t="s">
        <v>366</v>
      </c>
      <c r="M11" s="17" t="s">
        <v>115</v>
      </c>
      <c r="N11" s="17" t="s">
        <v>116</v>
      </c>
      <c r="O11" s="29" t="s">
        <v>369</v>
      </c>
    </row>
    <row r="12">
      <c r="A12" s="17">
        <v>10.0</v>
      </c>
      <c r="B12" s="17" t="s">
        <v>194</v>
      </c>
      <c r="C12" s="17" t="s">
        <v>372</v>
      </c>
      <c r="D12" s="17" t="s">
        <v>374</v>
      </c>
      <c r="E12" s="17" t="s">
        <v>376</v>
      </c>
      <c r="F12" s="17" t="s">
        <v>377</v>
      </c>
      <c r="G12" s="25" t="s">
        <v>382</v>
      </c>
      <c r="H12" s="17" t="s">
        <v>137</v>
      </c>
      <c r="I12" s="17">
        <v>9.818346488E9</v>
      </c>
      <c r="J12" s="17" t="s">
        <v>197</v>
      </c>
      <c r="K12" s="17" t="s">
        <v>392</v>
      </c>
      <c r="L12" s="17" t="s">
        <v>394</v>
      </c>
      <c r="M12" s="17" t="s">
        <v>198</v>
      </c>
      <c r="N12" s="17" t="s">
        <v>200</v>
      </c>
      <c r="O12" s="29" t="s">
        <v>396</v>
      </c>
    </row>
    <row r="13">
      <c r="A13" s="17">
        <v>11.0</v>
      </c>
      <c r="B13" s="17" t="s">
        <v>398</v>
      </c>
      <c r="C13" s="17" t="s">
        <v>400</v>
      </c>
      <c r="D13" s="17" t="s">
        <v>249</v>
      </c>
      <c r="E13" s="17" t="s">
        <v>403</v>
      </c>
      <c r="F13" s="17" t="s">
        <v>405</v>
      </c>
      <c r="G13" s="25" t="s">
        <v>407</v>
      </c>
      <c r="H13" s="17" t="s">
        <v>259</v>
      </c>
      <c r="I13" s="17">
        <v>9.810916692E9</v>
      </c>
      <c r="J13" s="17" t="s">
        <v>414</v>
      </c>
      <c r="K13" s="17" t="s">
        <v>416</v>
      </c>
      <c r="L13" s="17" t="s">
        <v>419</v>
      </c>
      <c r="M13" s="17" t="s">
        <v>421</v>
      </c>
      <c r="N13" s="17" t="s">
        <v>423</v>
      </c>
      <c r="O13" s="29" t="s">
        <v>424</v>
      </c>
    </row>
    <row r="14">
      <c r="A14" s="17">
        <v>12.0</v>
      </c>
      <c r="B14" s="17" t="s">
        <v>426</v>
      </c>
      <c r="C14" s="17" t="s">
        <v>428</v>
      </c>
      <c r="D14" s="17" t="s">
        <v>51</v>
      </c>
      <c r="E14" s="17" t="s">
        <v>430</v>
      </c>
      <c r="F14" s="17" t="s">
        <v>118</v>
      </c>
      <c r="G14" s="25" t="s">
        <v>432</v>
      </c>
      <c r="H14" s="17" t="s">
        <v>259</v>
      </c>
      <c r="I14" s="17">
        <v>9.717824934E9</v>
      </c>
      <c r="J14" s="17" t="s">
        <v>439</v>
      </c>
      <c r="K14" s="17" t="s">
        <v>441</v>
      </c>
      <c r="L14" s="17" t="s">
        <v>443</v>
      </c>
      <c r="M14" s="17" t="s">
        <v>444</v>
      </c>
      <c r="N14" s="17" t="s">
        <v>447</v>
      </c>
      <c r="O14" s="29" t="s">
        <v>449</v>
      </c>
    </row>
    <row r="15">
      <c r="A15" s="17">
        <v>13.0</v>
      </c>
      <c r="B15" s="44" t="s">
        <v>80</v>
      </c>
      <c r="C15" s="17" t="s">
        <v>450</v>
      </c>
      <c r="D15" s="17" t="s">
        <v>249</v>
      </c>
      <c r="E15" s="17" t="s">
        <v>452</v>
      </c>
      <c r="F15" s="17" t="s">
        <v>454</v>
      </c>
      <c r="G15" s="31" t="s">
        <v>456</v>
      </c>
      <c r="H15" s="17" t="s">
        <v>308</v>
      </c>
      <c r="I15" s="17">
        <v>9.821733362E9</v>
      </c>
      <c r="J15" s="17" t="s">
        <v>84</v>
      </c>
      <c r="K15" s="17" t="s">
        <v>464</v>
      </c>
      <c r="L15" s="17" t="s">
        <v>465</v>
      </c>
      <c r="M15" s="17" t="s">
        <v>85</v>
      </c>
      <c r="N15" s="17" t="s">
        <v>87</v>
      </c>
      <c r="O15" s="29" t="s">
        <v>471</v>
      </c>
    </row>
    <row r="16">
      <c r="A16" s="17">
        <v>14.0</v>
      </c>
      <c r="B16" s="17" t="s">
        <v>473</v>
      </c>
      <c r="C16" s="17" t="s">
        <v>474</v>
      </c>
      <c r="D16" s="17" t="s">
        <v>249</v>
      </c>
      <c r="E16" s="17" t="s">
        <v>476</v>
      </c>
      <c r="F16" s="17" t="s">
        <v>477</v>
      </c>
      <c r="G16" s="25" t="s">
        <v>479</v>
      </c>
      <c r="H16" s="17" t="s">
        <v>78</v>
      </c>
      <c r="I16" s="17">
        <v>7.827171336E9</v>
      </c>
      <c r="J16" s="17" t="s">
        <v>133</v>
      </c>
      <c r="K16" s="34">
        <v>43363.0</v>
      </c>
      <c r="L16" s="17" t="s">
        <v>489</v>
      </c>
      <c r="M16" s="17" t="s">
        <v>224</v>
      </c>
      <c r="N16" s="17" t="s">
        <v>135</v>
      </c>
      <c r="O16" s="29" t="s">
        <v>491</v>
      </c>
    </row>
    <row r="17">
      <c r="A17" s="17">
        <v>15.0</v>
      </c>
      <c r="B17" s="17" t="s">
        <v>493</v>
      </c>
      <c r="C17" s="17" t="s">
        <v>495</v>
      </c>
      <c r="D17" s="17" t="s">
        <v>51</v>
      </c>
      <c r="E17" s="17" t="s">
        <v>497</v>
      </c>
      <c r="F17" s="17" t="s">
        <v>498</v>
      </c>
      <c r="G17" s="25" t="s">
        <v>499</v>
      </c>
      <c r="H17" s="17" t="s">
        <v>308</v>
      </c>
      <c r="I17" s="17">
        <v>9.536522228E9</v>
      </c>
      <c r="J17" s="17" t="s">
        <v>276</v>
      </c>
      <c r="K17" s="34">
        <v>44813.0</v>
      </c>
      <c r="L17" s="17" t="s">
        <v>514</v>
      </c>
      <c r="M17" s="17" t="s">
        <v>278</v>
      </c>
      <c r="N17" s="17" t="s">
        <v>281</v>
      </c>
      <c r="O17" s="29" t="s">
        <v>518</v>
      </c>
    </row>
    <row r="18">
      <c r="A18" s="17">
        <v>16.0</v>
      </c>
      <c r="B18" s="44" t="s">
        <v>94</v>
      </c>
      <c r="C18" s="17" t="s">
        <v>524</v>
      </c>
      <c r="D18" s="17" t="s">
        <v>374</v>
      </c>
      <c r="E18" s="17" t="s">
        <v>526</v>
      </c>
      <c r="F18" s="17" t="s">
        <v>254</v>
      </c>
      <c r="G18" s="31" t="s">
        <v>527</v>
      </c>
      <c r="H18" s="17" t="s">
        <v>308</v>
      </c>
      <c r="I18" s="50">
        <v>9.958867299E9</v>
      </c>
      <c r="J18" s="50" t="s">
        <v>98</v>
      </c>
      <c r="K18" s="17" t="s">
        <v>544</v>
      </c>
      <c r="L18" s="17" t="s">
        <v>546</v>
      </c>
      <c r="M18" s="17" t="s">
        <v>224</v>
      </c>
      <c r="N18" s="50" t="s">
        <v>103</v>
      </c>
      <c r="O18" s="29" t="s">
        <v>550</v>
      </c>
    </row>
    <row r="19">
      <c r="A19" s="17">
        <v>17.0</v>
      </c>
      <c r="B19" s="44" t="s">
        <v>66</v>
      </c>
      <c r="C19" s="17" t="s">
        <v>551</v>
      </c>
      <c r="D19" s="17" t="s">
        <v>249</v>
      </c>
      <c r="E19" s="17" t="s">
        <v>552</v>
      </c>
      <c r="F19" s="17" t="s">
        <v>118</v>
      </c>
      <c r="G19" s="25" t="s">
        <v>556</v>
      </c>
      <c r="H19" s="17" t="s">
        <v>308</v>
      </c>
      <c r="I19" s="17">
        <v>9.871644652E9</v>
      </c>
      <c r="J19" s="17" t="s">
        <v>69</v>
      </c>
      <c r="K19" s="17" t="s">
        <v>570</v>
      </c>
      <c r="L19" s="17" t="s">
        <v>572</v>
      </c>
      <c r="M19" s="17" t="s">
        <v>70</v>
      </c>
      <c r="N19" s="17" t="s">
        <v>71</v>
      </c>
      <c r="O19" s="29" t="s">
        <v>578</v>
      </c>
    </row>
    <row r="20">
      <c r="A20" s="17">
        <v>18.0</v>
      </c>
      <c r="B20" s="17" t="s">
        <v>580</v>
      </c>
      <c r="C20" s="17" t="s">
        <v>582</v>
      </c>
      <c r="D20" s="17" t="s">
        <v>249</v>
      </c>
      <c r="E20" s="17" t="s">
        <v>584</v>
      </c>
      <c r="F20" s="17" t="s">
        <v>118</v>
      </c>
      <c r="G20" s="25" t="s">
        <v>586</v>
      </c>
      <c r="H20" s="17" t="s">
        <v>78</v>
      </c>
      <c r="I20" s="17">
        <v>9.717549264E9</v>
      </c>
      <c r="J20" s="17" t="s">
        <v>602</v>
      </c>
      <c r="K20" s="27">
        <v>44387.0</v>
      </c>
      <c r="L20" s="17" t="s">
        <v>603</v>
      </c>
      <c r="M20" s="17" t="s">
        <v>604</v>
      </c>
      <c r="N20" s="17" t="s">
        <v>605</v>
      </c>
      <c r="O20" s="29" t="s">
        <v>607</v>
      </c>
    </row>
    <row r="21">
      <c r="A21" s="17">
        <v>19.0</v>
      </c>
      <c r="B21" s="17" t="s">
        <v>149</v>
      </c>
      <c r="C21" s="17" t="s">
        <v>609</v>
      </c>
      <c r="D21" s="17" t="s">
        <v>610</v>
      </c>
      <c r="E21" s="17" t="s">
        <v>612</v>
      </c>
      <c r="F21" s="17" t="s">
        <v>284</v>
      </c>
      <c r="G21" s="25" t="s">
        <v>617</v>
      </c>
      <c r="H21" s="17" t="s">
        <v>78</v>
      </c>
      <c r="I21" s="17">
        <v>8.8004655E9</v>
      </c>
      <c r="J21" s="17" t="s">
        <v>152</v>
      </c>
      <c r="K21" s="17" t="s">
        <v>630</v>
      </c>
      <c r="L21" s="17" t="s">
        <v>632</v>
      </c>
      <c r="M21" s="17" t="s">
        <v>155</v>
      </c>
      <c r="N21" s="17" t="s">
        <v>156</v>
      </c>
      <c r="O21" s="29" t="s">
        <v>635</v>
      </c>
    </row>
    <row r="22">
      <c r="A22" s="17">
        <v>20.0</v>
      </c>
      <c r="B22" s="17" t="s">
        <v>636</v>
      </c>
      <c r="C22" s="17" t="s">
        <v>637</v>
      </c>
      <c r="D22" s="17" t="s">
        <v>51</v>
      </c>
      <c r="E22" s="17" t="s">
        <v>639</v>
      </c>
      <c r="F22" s="17" t="s">
        <v>377</v>
      </c>
      <c r="G22" s="25" t="s">
        <v>643</v>
      </c>
      <c r="H22" s="17" t="s">
        <v>177</v>
      </c>
      <c r="I22" s="17">
        <v>9.013481588E9</v>
      </c>
      <c r="J22" s="17" t="s">
        <v>657</v>
      </c>
      <c r="K22" s="17" t="s">
        <v>658</v>
      </c>
      <c r="L22" s="17" t="s">
        <v>659</v>
      </c>
      <c r="M22" s="17" t="s">
        <v>661</v>
      </c>
      <c r="N22" s="17" t="s">
        <v>662</v>
      </c>
      <c r="O22" s="29" t="s">
        <v>665</v>
      </c>
    </row>
    <row r="23">
      <c r="A23" s="17">
        <v>21.0</v>
      </c>
      <c r="B23" s="37" t="s">
        <v>668</v>
      </c>
      <c r="C23" s="17" t="s">
        <v>670</v>
      </c>
      <c r="D23" s="17" t="s">
        <v>249</v>
      </c>
      <c r="E23" s="17" t="s">
        <v>672</v>
      </c>
      <c r="F23" s="17" t="s">
        <v>118</v>
      </c>
      <c r="G23" s="25" t="s">
        <v>678</v>
      </c>
      <c r="H23" s="17" t="s">
        <v>137</v>
      </c>
      <c r="I23" s="17">
        <v>9.741119806E9</v>
      </c>
      <c r="J23" s="17" t="s">
        <v>691</v>
      </c>
      <c r="K23" s="17" t="s">
        <v>692</v>
      </c>
      <c r="L23" s="17" t="s">
        <v>659</v>
      </c>
      <c r="M23" s="17" t="s">
        <v>694</v>
      </c>
      <c r="N23" s="17" t="s">
        <v>696</v>
      </c>
      <c r="O23" s="29" t="s">
        <v>698</v>
      </c>
    </row>
    <row r="24">
      <c r="A24" s="17">
        <v>22.0</v>
      </c>
      <c r="B24" s="17" t="s">
        <v>89</v>
      </c>
      <c r="C24" s="17" t="s">
        <v>700</v>
      </c>
      <c r="D24" s="17" t="s">
        <v>51</v>
      </c>
      <c r="E24" s="17" t="s">
        <v>701</v>
      </c>
      <c r="F24" s="17" t="s">
        <v>54</v>
      </c>
      <c r="G24" s="25" t="s">
        <v>707</v>
      </c>
      <c r="H24" s="17" t="s">
        <v>308</v>
      </c>
      <c r="I24" s="17">
        <v>8.130925826E9</v>
      </c>
      <c r="J24" s="17" t="s">
        <v>91</v>
      </c>
      <c r="K24" s="27">
        <v>43862.0</v>
      </c>
      <c r="L24" s="17" t="s">
        <v>720</v>
      </c>
      <c r="M24" s="17" t="s">
        <v>92</v>
      </c>
      <c r="N24" s="17" t="s">
        <v>93</v>
      </c>
      <c r="O24" s="29" t="s">
        <v>725</v>
      </c>
    </row>
    <row r="25">
      <c r="A25" s="17">
        <v>23.0</v>
      </c>
      <c r="B25" s="17" t="s">
        <v>728</v>
      </c>
      <c r="C25" s="17" t="s">
        <v>729</v>
      </c>
      <c r="D25" s="17" t="s">
        <v>51</v>
      </c>
      <c r="E25" s="17" t="s">
        <v>732</v>
      </c>
      <c r="F25" s="17" t="s">
        <v>477</v>
      </c>
      <c r="G25" s="17" t="s">
        <v>224</v>
      </c>
      <c r="H25" s="17" t="s">
        <v>177</v>
      </c>
      <c r="I25" s="17">
        <v>7.048905197E9</v>
      </c>
      <c r="J25" s="17" t="s">
        <v>736</v>
      </c>
      <c r="K25" s="27">
        <v>43745.0</v>
      </c>
      <c r="L25" s="17" t="s">
        <v>739</v>
      </c>
      <c r="M25" s="17" t="s">
        <v>741</v>
      </c>
      <c r="N25" s="17" t="s">
        <v>742</v>
      </c>
      <c r="O25" s="29" t="s">
        <v>744</v>
      </c>
    </row>
    <row r="26">
      <c r="A26" s="17">
        <v>24.0</v>
      </c>
      <c r="B26" s="17" t="s">
        <v>748</v>
      </c>
      <c r="C26" s="17" t="s">
        <v>751</v>
      </c>
      <c r="D26" s="17" t="s">
        <v>249</v>
      </c>
      <c r="E26" s="17" t="s">
        <v>754</v>
      </c>
      <c r="F26" s="17" t="s">
        <v>118</v>
      </c>
      <c r="G26" s="25" t="s">
        <v>757</v>
      </c>
      <c r="H26" s="17" t="s">
        <v>78</v>
      </c>
      <c r="I26" s="17">
        <v>8.887752537E9</v>
      </c>
      <c r="J26" s="17" t="s">
        <v>763</v>
      </c>
      <c r="K26" s="17" t="s">
        <v>765</v>
      </c>
      <c r="L26" s="17" t="s">
        <v>767</v>
      </c>
      <c r="M26" s="17" t="s">
        <v>771</v>
      </c>
      <c r="N26" s="17" t="s">
        <v>773</v>
      </c>
      <c r="O26" s="29" t="s">
        <v>774</v>
      </c>
    </row>
    <row r="27">
      <c r="A27" s="17">
        <v>25.0</v>
      </c>
      <c r="B27" s="17" t="s">
        <v>208</v>
      </c>
      <c r="C27" s="17" t="s">
        <v>776</v>
      </c>
      <c r="D27" s="17" t="s">
        <v>249</v>
      </c>
      <c r="E27" s="17" t="s">
        <v>777</v>
      </c>
      <c r="F27" s="17" t="s">
        <v>778</v>
      </c>
      <c r="G27" s="25" t="s">
        <v>780</v>
      </c>
      <c r="H27" s="17" t="s">
        <v>78</v>
      </c>
      <c r="I27" s="17">
        <v>8.929724957E9</v>
      </c>
      <c r="J27" s="17" t="s">
        <v>213</v>
      </c>
      <c r="K27" s="27">
        <v>45571.0</v>
      </c>
      <c r="L27" s="17" t="s">
        <v>792</v>
      </c>
      <c r="M27" s="17" t="s">
        <v>215</v>
      </c>
      <c r="N27" s="17" t="s">
        <v>216</v>
      </c>
      <c r="O27" s="29" t="s">
        <v>794</v>
      </c>
    </row>
    <row r="28">
      <c r="A28" s="17">
        <v>26.0</v>
      </c>
      <c r="B28" s="17" t="s">
        <v>795</v>
      </c>
      <c r="C28" s="17" t="s">
        <v>797</v>
      </c>
      <c r="D28" s="17" t="s">
        <v>249</v>
      </c>
      <c r="E28" s="17" t="s">
        <v>800</v>
      </c>
      <c r="F28" s="17" t="s">
        <v>801</v>
      </c>
      <c r="G28" s="25" t="s">
        <v>803</v>
      </c>
      <c r="H28" s="17" t="s">
        <v>259</v>
      </c>
      <c r="I28" s="17">
        <v>9.999971805E9</v>
      </c>
      <c r="J28" s="17" t="s">
        <v>812</v>
      </c>
      <c r="K28" s="27">
        <v>45143.0</v>
      </c>
      <c r="L28" s="17" t="s">
        <v>813</v>
      </c>
      <c r="M28" s="17" t="s">
        <v>814</v>
      </c>
      <c r="N28" s="17" t="s">
        <v>815</v>
      </c>
      <c r="O28" s="29" t="s">
        <v>816</v>
      </c>
    </row>
    <row r="29">
      <c r="A29" s="17">
        <v>27.0</v>
      </c>
      <c r="B29" s="17" t="s">
        <v>301</v>
      </c>
      <c r="C29" s="17" t="s">
        <v>818</v>
      </c>
      <c r="D29" s="17" t="s">
        <v>249</v>
      </c>
      <c r="E29" s="17" t="s">
        <v>819</v>
      </c>
      <c r="F29" s="17" t="s">
        <v>820</v>
      </c>
      <c r="G29" s="25" t="s">
        <v>823</v>
      </c>
      <c r="H29" s="17" t="s">
        <v>78</v>
      </c>
      <c r="I29" s="17">
        <v>9.910278711E9</v>
      </c>
      <c r="J29" s="17" t="s">
        <v>303</v>
      </c>
      <c r="K29" s="17" t="s">
        <v>833</v>
      </c>
      <c r="L29" s="17" t="s">
        <v>813</v>
      </c>
      <c r="M29" s="17" t="s">
        <v>304</v>
      </c>
      <c r="N29" s="17" t="s">
        <v>305</v>
      </c>
      <c r="O29" s="29" t="s">
        <v>835</v>
      </c>
    </row>
    <row r="30">
      <c r="A30" s="17">
        <v>28.0</v>
      </c>
      <c r="B30" s="17" t="s">
        <v>286</v>
      </c>
      <c r="C30" s="17" t="s">
        <v>838</v>
      </c>
      <c r="D30" s="17" t="s">
        <v>249</v>
      </c>
      <c r="E30" s="17" t="s">
        <v>840</v>
      </c>
      <c r="F30" s="17" t="s">
        <v>350</v>
      </c>
      <c r="G30" s="25" t="s">
        <v>841</v>
      </c>
      <c r="H30" s="17" t="s">
        <v>78</v>
      </c>
      <c r="I30" s="17">
        <v>8.527597206E9</v>
      </c>
      <c r="J30" s="17" t="s">
        <v>293</v>
      </c>
      <c r="K30" s="17" t="s">
        <v>853</v>
      </c>
      <c r="L30" s="17" t="s">
        <v>854</v>
      </c>
      <c r="M30" s="17" t="s">
        <v>295</v>
      </c>
      <c r="N30" s="17" t="s">
        <v>297</v>
      </c>
      <c r="O30" s="29" t="s">
        <v>856</v>
      </c>
    </row>
    <row r="31">
      <c r="A31" s="17">
        <v>29.0</v>
      </c>
      <c r="B31" s="17" t="s">
        <v>256</v>
      </c>
      <c r="C31" s="17" t="s">
        <v>859</v>
      </c>
      <c r="D31" s="17" t="s">
        <v>249</v>
      </c>
      <c r="E31" s="17" t="s">
        <v>861</v>
      </c>
      <c r="F31" s="17" t="s">
        <v>862</v>
      </c>
      <c r="G31" s="25" t="s">
        <v>863</v>
      </c>
      <c r="H31" s="17" t="s">
        <v>137</v>
      </c>
      <c r="I31" s="17">
        <v>9.816926747E9</v>
      </c>
      <c r="J31" s="17" t="s">
        <v>261</v>
      </c>
      <c r="K31" s="27">
        <v>44815.0</v>
      </c>
      <c r="L31" s="17" t="s">
        <v>868</v>
      </c>
      <c r="M31" s="17" t="s">
        <v>263</v>
      </c>
      <c r="N31" s="17" t="s">
        <v>267</v>
      </c>
      <c r="O31" s="29" t="s">
        <v>870</v>
      </c>
    </row>
    <row r="32">
      <c r="A32" s="17">
        <v>30.0</v>
      </c>
      <c r="B32" s="17" t="s">
        <v>221</v>
      </c>
      <c r="C32" s="17" t="s">
        <v>871</v>
      </c>
      <c r="D32" s="17" t="s">
        <v>249</v>
      </c>
      <c r="E32" s="17" t="s">
        <v>873</v>
      </c>
      <c r="F32" s="17" t="s">
        <v>54</v>
      </c>
      <c r="G32" s="25" t="s">
        <v>876</v>
      </c>
      <c r="H32" s="17" t="s">
        <v>78</v>
      </c>
      <c r="I32" s="17">
        <v>8.105870564E9</v>
      </c>
      <c r="J32" s="17" t="s">
        <v>226</v>
      </c>
      <c r="K32" s="17" t="s">
        <v>465</v>
      </c>
      <c r="L32" s="17" t="s">
        <v>868</v>
      </c>
      <c r="M32" s="17" t="s">
        <v>228</v>
      </c>
      <c r="N32" s="17" t="s">
        <v>230</v>
      </c>
      <c r="O32" s="29" t="s">
        <v>887</v>
      </c>
    </row>
    <row r="33">
      <c r="A33" s="17">
        <v>31.0</v>
      </c>
      <c r="B33" s="17" t="s">
        <v>138</v>
      </c>
      <c r="C33" s="17" t="s">
        <v>888</v>
      </c>
      <c r="D33" s="17" t="s">
        <v>249</v>
      </c>
      <c r="E33" s="17" t="s">
        <v>891</v>
      </c>
      <c r="F33" s="17" t="s">
        <v>377</v>
      </c>
      <c r="G33" s="25" t="s">
        <v>893</v>
      </c>
      <c r="H33" s="17" t="s">
        <v>78</v>
      </c>
      <c r="I33" s="17">
        <v>7.303015135E9</v>
      </c>
      <c r="J33" s="17" t="s">
        <v>142</v>
      </c>
      <c r="K33" s="27">
        <v>45391.0</v>
      </c>
      <c r="L33" s="17" t="s">
        <v>900</v>
      </c>
      <c r="M33" s="17" t="s">
        <v>143</v>
      </c>
      <c r="N33" s="17" t="s">
        <v>144</v>
      </c>
      <c r="O33" s="29" t="s">
        <v>902</v>
      </c>
    </row>
    <row r="34">
      <c r="A34" s="17">
        <v>32.0</v>
      </c>
      <c r="B34" s="17" t="s">
        <v>903</v>
      </c>
      <c r="C34" s="17" t="s">
        <v>904</v>
      </c>
      <c r="D34" s="17" t="s">
        <v>249</v>
      </c>
      <c r="E34" s="17" t="s">
        <v>906</v>
      </c>
      <c r="F34" s="17" t="s">
        <v>350</v>
      </c>
      <c r="G34" s="25" t="s">
        <v>908</v>
      </c>
      <c r="H34" s="17" t="s">
        <v>78</v>
      </c>
      <c r="I34" s="17">
        <v>8.445183497E9</v>
      </c>
      <c r="J34" s="17" t="s">
        <v>913</v>
      </c>
      <c r="K34" s="27">
        <v>45454.0</v>
      </c>
      <c r="L34" s="17" t="s">
        <v>916</v>
      </c>
      <c r="M34" s="17" t="s">
        <v>917</v>
      </c>
      <c r="N34" s="17" t="s">
        <v>918</v>
      </c>
      <c r="O34" s="29" t="s">
        <v>919</v>
      </c>
    </row>
    <row r="35">
      <c r="A35" s="17">
        <v>33.0</v>
      </c>
      <c r="B35" s="17" t="s">
        <v>920</v>
      </c>
      <c r="C35" s="17" t="s">
        <v>921</v>
      </c>
      <c r="D35" s="17" t="s">
        <v>249</v>
      </c>
      <c r="E35" s="17" t="s">
        <v>922</v>
      </c>
      <c r="F35" s="17" t="s">
        <v>862</v>
      </c>
      <c r="G35" s="25" t="s">
        <v>927</v>
      </c>
      <c r="H35" s="17" t="s">
        <v>137</v>
      </c>
      <c r="I35" s="17">
        <v>9.654176787E9</v>
      </c>
      <c r="J35" s="17" t="s">
        <v>931</v>
      </c>
      <c r="K35" s="17" t="s">
        <v>933</v>
      </c>
      <c r="L35" s="17" t="s">
        <v>934</v>
      </c>
      <c r="M35" s="17" t="s">
        <v>935</v>
      </c>
      <c r="N35" s="17" t="s">
        <v>238</v>
      </c>
      <c r="O35" s="29" t="s">
        <v>936</v>
      </c>
    </row>
    <row r="36">
      <c r="A36" s="17">
        <v>34.0</v>
      </c>
      <c r="B36" s="17" t="s">
        <v>231</v>
      </c>
      <c r="C36" s="17" t="s">
        <v>939</v>
      </c>
      <c r="D36" s="17" t="s">
        <v>249</v>
      </c>
      <c r="E36" s="17" t="s">
        <v>941</v>
      </c>
      <c r="F36" s="17" t="s">
        <v>118</v>
      </c>
      <c r="G36" s="25" t="s">
        <v>944</v>
      </c>
      <c r="H36" s="17" t="s">
        <v>78</v>
      </c>
      <c r="I36" s="17">
        <v>8.802414439E9</v>
      </c>
      <c r="J36" s="17" t="s">
        <v>235</v>
      </c>
      <c r="K36" s="17" t="s">
        <v>563</v>
      </c>
      <c r="L36" s="17" t="s">
        <v>934</v>
      </c>
      <c r="M36" s="17" t="s">
        <v>237</v>
      </c>
      <c r="N36" s="17" t="s">
        <v>238</v>
      </c>
      <c r="O36" s="29" t="s">
        <v>954</v>
      </c>
    </row>
    <row r="37">
      <c r="A37" s="17">
        <v>35.0</v>
      </c>
      <c r="B37" s="17" t="s">
        <v>956</v>
      </c>
      <c r="C37" s="17" t="s">
        <v>957</v>
      </c>
      <c r="D37" s="17" t="s">
        <v>51</v>
      </c>
      <c r="E37" s="17" t="s">
        <v>959</v>
      </c>
      <c r="F37" s="17" t="s">
        <v>118</v>
      </c>
      <c r="G37" s="25" t="s">
        <v>962</v>
      </c>
      <c r="H37" s="17" t="s">
        <v>259</v>
      </c>
      <c r="I37" s="17">
        <v>7.860507313E9</v>
      </c>
      <c r="J37" s="17" t="s">
        <v>969</v>
      </c>
      <c r="K37" s="17" t="s">
        <v>970</v>
      </c>
      <c r="L37" s="17" t="s">
        <v>971</v>
      </c>
      <c r="M37" s="17" t="s">
        <v>972</v>
      </c>
      <c r="N37" s="17" t="s">
        <v>973</v>
      </c>
      <c r="O37" s="29" t="s">
        <v>974</v>
      </c>
    </row>
    <row r="38">
      <c r="A38" s="17">
        <v>36.0</v>
      </c>
      <c r="B38" s="17" t="s">
        <v>976</v>
      </c>
      <c r="C38" s="17" t="s">
        <v>977</v>
      </c>
      <c r="D38" s="17" t="s">
        <v>249</v>
      </c>
      <c r="E38" s="17" t="s">
        <v>978</v>
      </c>
      <c r="F38" s="17" t="s">
        <v>979</v>
      </c>
      <c r="G38" s="25" t="s">
        <v>981</v>
      </c>
      <c r="H38" s="17" t="s">
        <v>308</v>
      </c>
      <c r="I38" s="17">
        <v>9.583409084E9</v>
      </c>
      <c r="J38" s="17" t="s">
        <v>988</v>
      </c>
      <c r="K38" s="17" t="s">
        <v>989</v>
      </c>
      <c r="L38" s="17" t="s">
        <v>990</v>
      </c>
      <c r="M38" s="17" t="s">
        <v>992</v>
      </c>
      <c r="N38" s="17" t="s">
        <v>993</v>
      </c>
      <c r="O38" s="29" t="s">
        <v>994</v>
      </c>
    </row>
    <row r="39">
      <c r="A39" s="17">
        <v>37.0</v>
      </c>
      <c r="B39" s="17" t="s">
        <v>996</v>
      </c>
      <c r="C39" s="17" t="s">
        <v>997</v>
      </c>
      <c r="D39" s="17" t="s">
        <v>249</v>
      </c>
      <c r="E39" s="17" t="s">
        <v>999</v>
      </c>
      <c r="F39" s="17" t="s">
        <v>1000</v>
      </c>
      <c r="G39" s="25" t="s">
        <v>1002</v>
      </c>
      <c r="H39" s="17" t="s">
        <v>78</v>
      </c>
      <c r="I39" s="17">
        <v>9.045087852E9</v>
      </c>
      <c r="J39" s="17" t="s">
        <v>1009</v>
      </c>
      <c r="K39" s="17" t="s">
        <v>1010</v>
      </c>
      <c r="L39" s="17" t="s">
        <v>1011</v>
      </c>
      <c r="M39" s="17" t="s">
        <v>1013</v>
      </c>
      <c r="N39" s="17" t="s">
        <v>1014</v>
      </c>
      <c r="O39" s="29" t="s">
        <v>1016</v>
      </c>
    </row>
    <row r="40">
      <c r="A40" s="17">
        <v>38.0</v>
      </c>
      <c r="B40" s="17" t="s">
        <v>1018</v>
      </c>
      <c r="C40" s="17" t="s">
        <v>1019</v>
      </c>
      <c r="D40" s="17" t="s">
        <v>374</v>
      </c>
      <c r="E40" s="17" t="s">
        <v>1020</v>
      </c>
      <c r="F40" s="17" t="s">
        <v>1021</v>
      </c>
      <c r="G40" s="25" t="s">
        <v>1023</v>
      </c>
      <c r="H40" s="17" t="s">
        <v>259</v>
      </c>
      <c r="I40" s="17">
        <v>6.388728641E9</v>
      </c>
      <c r="J40" s="17" t="s">
        <v>1029</v>
      </c>
      <c r="K40" s="17" t="s">
        <v>1030</v>
      </c>
      <c r="L40" s="17" t="s">
        <v>1031</v>
      </c>
      <c r="M40" s="17" t="s">
        <v>1032</v>
      </c>
      <c r="N40" s="17" t="s">
        <v>1033</v>
      </c>
      <c r="O40" s="29" t="s">
        <v>1034</v>
      </c>
    </row>
    <row r="41">
      <c r="A41" s="17">
        <v>39.0</v>
      </c>
      <c r="B41" s="17" t="s">
        <v>1036</v>
      </c>
      <c r="C41" s="17" t="s">
        <v>1037</v>
      </c>
      <c r="D41" s="17" t="s">
        <v>51</v>
      </c>
      <c r="E41" s="17" t="s">
        <v>1038</v>
      </c>
      <c r="F41" s="17" t="s">
        <v>1039</v>
      </c>
      <c r="G41" s="25" t="s">
        <v>1041</v>
      </c>
      <c r="H41" s="17" t="s">
        <v>259</v>
      </c>
      <c r="I41" s="17">
        <v>7.531937711E9</v>
      </c>
      <c r="J41" s="17" t="s">
        <v>1049</v>
      </c>
      <c r="K41" s="27">
        <v>45816.0</v>
      </c>
      <c r="L41" s="17" t="s">
        <v>1050</v>
      </c>
      <c r="M41" s="17" t="s">
        <v>1051</v>
      </c>
      <c r="N41" s="17" t="s">
        <v>1052</v>
      </c>
      <c r="O41" s="29" t="s">
        <v>1053</v>
      </c>
    </row>
    <row r="42">
      <c r="A42" s="17">
        <v>40.0</v>
      </c>
      <c r="B42" s="17" t="s">
        <v>1055</v>
      </c>
      <c r="C42" s="17" t="s">
        <v>1056</v>
      </c>
      <c r="D42" s="17" t="s">
        <v>51</v>
      </c>
      <c r="E42" s="17" t="s">
        <v>1057</v>
      </c>
      <c r="F42" s="17" t="s">
        <v>54</v>
      </c>
      <c r="G42" s="25" t="s">
        <v>1058</v>
      </c>
      <c r="H42" s="17" t="s">
        <v>308</v>
      </c>
      <c r="I42" s="17">
        <v>8.299702146E9</v>
      </c>
      <c r="J42" s="17" t="s">
        <v>1065</v>
      </c>
      <c r="K42" s="17" t="s">
        <v>1066</v>
      </c>
      <c r="L42" s="17" t="s">
        <v>1068</v>
      </c>
      <c r="M42" s="17" t="s">
        <v>1070</v>
      </c>
      <c r="N42" s="17" t="s">
        <v>1072</v>
      </c>
      <c r="O42" s="65" t="s">
        <v>1074</v>
      </c>
    </row>
    <row r="43">
      <c r="A43" s="17">
        <v>41.0</v>
      </c>
      <c r="B43" s="17" t="s">
        <v>1075</v>
      </c>
      <c r="C43" s="17" t="s">
        <v>1076</v>
      </c>
      <c r="D43" s="17" t="s">
        <v>249</v>
      </c>
      <c r="E43" s="17" t="s">
        <v>1078</v>
      </c>
      <c r="F43" s="17" t="s">
        <v>1079</v>
      </c>
      <c r="G43" s="17" t="s">
        <v>224</v>
      </c>
      <c r="H43" s="17" t="s">
        <v>137</v>
      </c>
      <c r="I43" s="17">
        <v>9.873160572E9</v>
      </c>
      <c r="J43" s="17" t="s">
        <v>1082</v>
      </c>
      <c r="K43" s="27">
        <v>46083.0</v>
      </c>
      <c r="L43" s="27">
        <v>46083.0</v>
      </c>
      <c r="M43" s="17" t="s">
        <v>1087</v>
      </c>
      <c r="N43" s="17" t="s">
        <v>1088</v>
      </c>
      <c r="O43" s="29" t="s">
        <v>1089</v>
      </c>
    </row>
    <row r="44">
      <c r="A44" s="17">
        <v>42.0</v>
      </c>
      <c r="B44" s="17" t="s">
        <v>1090</v>
      </c>
      <c r="C44" s="17" t="s">
        <v>1092</v>
      </c>
      <c r="D44" s="17" t="s">
        <v>249</v>
      </c>
      <c r="E44" s="17" t="s">
        <v>1095</v>
      </c>
      <c r="F44" s="17" t="s">
        <v>1096</v>
      </c>
      <c r="G44" s="25" t="s">
        <v>1099</v>
      </c>
      <c r="H44" s="17" t="s">
        <v>137</v>
      </c>
      <c r="I44" s="17">
        <v>8.299713263E9</v>
      </c>
      <c r="J44" s="17" t="s">
        <v>1106</v>
      </c>
      <c r="K44" s="17" t="s">
        <v>1109</v>
      </c>
      <c r="L44" s="68" t="s">
        <v>1110</v>
      </c>
      <c r="M44" s="17" t="s">
        <v>1113</v>
      </c>
      <c r="N44" s="17" t="s">
        <v>1114</v>
      </c>
      <c r="O44" s="29" t="s">
        <v>1115</v>
      </c>
    </row>
    <row r="45">
      <c r="A45" s="17">
        <v>43.0</v>
      </c>
      <c r="B45" s="17" t="s">
        <v>1117</v>
      </c>
      <c r="C45" s="17" t="s">
        <v>1118</v>
      </c>
      <c r="D45" s="17" t="s">
        <v>249</v>
      </c>
      <c r="E45" s="17" t="s">
        <v>1119</v>
      </c>
      <c r="F45" s="17" t="s">
        <v>54</v>
      </c>
      <c r="G45" s="25" t="s">
        <v>1122</v>
      </c>
      <c r="H45" s="17" t="s">
        <v>259</v>
      </c>
      <c r="I45" s="17">
        <v>7.060920297E9</v>
      </c>
      <c r="J45" s="17" t="s">
        <v>1131</v>
      </c>
      <c r="K45" s="17" t="s">
        <v>1133</v>
      </c>
      <c r="L45" s="17" t="s">
        <v>1135</v>
      </c>
      <c r="M45" s="17" t="s">
        <v>1136</v>
      </c>
      <c r="N45" s="17" t="s">
        <v>1137</v>
      </c>
      <c r="O45" s="29" t="s">
        <v>1138</v>
      </c>
    </row>
    <row r="46">
      <c r="A46" s="17">
        <v>44.0</v>
      </c>
      <c r="B46" s="17" t="s">
        <v>162</v>
      </c>
      <c r="C46" s="17" t="s">
        <v>1139</v>
      </c>
      <c r="D46" s="17" t="s">
        <v>249</v>
      </c>
      <c r="E46" s="17" t="s">
        <v>1141</v>
      </c>
      <c r="F46" s="17" t="s">
        <v>1142</v>
      </c>
      <c r="G46" s="17" t="s">
        <v>224</v>
      </c>
      <c r="H46" s="17" t="s">
        <v>308</v>
      </c>
      <c r="I46" s="17">
        <v>9.472257316E9</v>
      </c>
      <c r="J46" s="17" t="s">
        <v>165</v>
      </c>
      <c r="K46" s="27">
        <v>44502.0</v>
      </c>
      <c r="L46" s="70" t="s">
        <v>1144</v>
      </c>
      <c r="M46" s="17" t="s">
        <v>166</v>
      </c>
      <c r="N46" s="17" t="s">
        <v>224</v>
      </c>
      <c r="O46" s="29" t="s">
        <v>1146</v>
      </c>
    </row>
    <row r="47">
      <c r="A47" s="17">
        <v>45.0</v>
      </c>
      <c r="B47" s="17" t="s">
        <v>1150</v>
      </c>
      <c r="C47" s="17" t="s">
        <v>1151</v>
      </c>
      <c r="D47" s="17" t="s">
        <v>51</v>
      </c>
      <c r="E47" s="17" t="s">
        <v>1154</v>
      </c>
      <c r="F47" s="17" t="s">
        <v>254</v>
      </c>
      <c r="G47" s="17" t="s">
        <v>224</v>
      </c>
      <c r="H47" s="17" t="s">
        <v>259</v>
      </c>
      <c r="I47" s="17">
        <v>8.82656559E9</v>
      </c>
      <c r="J47" s="17" t="s">
        <v>188</v>
      </c>
      <c r="K47" s="17" t="s">
        <v>1157</v>
      </c>
      <c r="L47" s="17" t="s">
        <v>1158</v>
      </c>
      <c r="M47" s="17" t="s">
        <v>190</v>
      </c>
      <c r="N47" s="17" t="s">
        <v>224</v>
      </c>
      <c r="O47" s="29" t="s">
        <v>1160</v>
      </c>
    </row>
    <row r="48">
      <c r="A48" s="17">
        <v>46.0</v>
      </c>
      <c r="B48" s="17" t="s">
        <v>1161</v>
      </c>
      <c r="C48" s="17" t="s">
        <v>1162</v>
      </c>
      <c r="D48" s="17" t="s">
        <v>51</v>
      </c>
      <c r="E48" s="17" t="s">
        <v>1167</v>
      </c>
      <c r="F48" s="17" t="s">
        <v>254</v>
      </c>
      <c r="G48" s="31" t="s">
        <v>1168</v>
      </c>
      <c r="H48" s="17" t="s">
        <v>308</v>
      </c>
      <c r="I48" s="17">
        <v>9.811580597E9</v>
      </c>
      <c r="J48" s="17" t="s">
        <v>179</v>
      </c>
      <c r="K48" s="17" t="s">
        <v>1179</v>
      </c>
      <c r="L48" s="17" t="s">
        <v>1180</v>
      </c>
      <c r="M48" s="17" t="s">
        <v>77</v>
      </c>
      <c r="N48" s="17" t="s">
        <v>224</v>
      </c>
      <c r="O48" s="29" t="s">
        <v>1181</v>
      </c>
    </row>
    <row r="49">
      <c r="A49" s="17">
        <v>47.0</v>
      </c>
      <c r="B49" s="17" t="s">
        <v>1183</v>
      </c>
      <c r="C49" s="17" t="s">
        <v>1185</v>
      </c>
      <c r="D49" s="17" t="s">
        <v>249</v>
      </c>
      <c r="E49" s="17" t="s">
        <v>1186</v>
      </c>
      <c r="F49" s="17" t="s">
        <v>254</v>
      </c>
      <c r="G49" s="17" t="s">
        <v>224</v>
      </c>
      <c r="H49" s="17" t="s">
        <v>259</v>
      </c>
      <c r="I49" s="17">
        <v>9.99249941E8</v>
      </c>
      <c r="J49" s="25" t="s">
        <v>1191</v>
      </c>
      <c r="K49" s="17" t="s">
        <v>1199</v>
      </c>
      <c r="L49" s="17" t="s">
        <v>1200</v>
      </c>
      <c r="M49" s="17" t="s">
        <v>246</v>
      </c>
      <c r="N49" s="17" t="s">
        <v>224</v>
      </c>
      <c r="O49" s="29" t="s">
        <v>1201</v>
      </c>
    </row>
    <row r="50">
      <c r="A50" s="17">
        <v>48.0</v>
      </c>
      <c r="B50" s="17" t="s">
        <v>242</v>
      </c>
      <c r="C50" s="17" t="s">
        <v>939</v>
      </c>
      <c r="D50" s="17" t="s">
        <v>51</v>
      </c>
      <c r="E50" s="17" t="s">
        <v>1204</v>
      </c>
      <c r="F50" s="17" t="s">
        <v>118</v>
      </c>
      <c r="G50" s="25" t="s">
        <v>1205</v>
      </c>
      <c r="H50" s="17" t="s">
        <v>259</v>
      </c>
      <c r="I50" s="17">
        <v>8.802414439E9</v>
      </c>
      <c r="J50" s="17" t="s">
        <v>1211</v>
      </c>
      <c r="K50" s="77">
        <v>44200.0</v>
      </c>
      <c r="L50" s="77">
        <v>44320.0</v>
      </c>
      <c r="M50" s="17" t="s">
        <v>246</v>
      </c>
      <c r="N50" s="17" t="s">
        <v>224</v>
      </c>
      <c r="O50" s="29" t="s">
        <v>1215</v>
      </c>
    </row>
    <row r="51">
      <c r="A51" s="17">
        <v>49.0</v>
      </c>
      <c r="B51" s="17" t="s">
        <v>1216</v>
      </c>
      <c r="C51" s="17" t="s">
        <v>1217</v>
      </c>
      <c r="D51" s="17" t="s">
        <v>249</v>
      </c>
      <c r="E51" s="17" t="s">
        <v>1218</v>
      </c>
      <c r="F51" s="17" t="s">
        <v>118</v>
      </c>
      <c r="G51" s="31" t="s">
        <v>1220</v>
      </c>
      <c r="H51" s="17" t="s">
        <v>259</v>
      </c>
      <c r="I51" s="17">
        <v>8.307983323E9</v>
      </c>
      <c r="J51" s="17" t="s">
        <v>1225</v>
      </c>
      <c r="K51" s="27">
        <v>44267.0</v>
      </c>
      <c r="L51" s="79">
        <v>44481.0</v>
      </c>
      <c r="M51" s="17" t="s">
        <v>246</v>
      </c>
      <c r="N51" s="17" t="s">
        <v>224</v>
      </c>
      <c r="O51" s="29" t="s">
        <v>1232</v>
      </c>
    </row>
    <row r="52">
      <c r="A52" s="17">
        <v>50.0</v>
      </c>
      <c r="B52" s="80" t="s">
        <v>1233</v>
      </c>
      <c r="C52" s="17" t="s">
        <v>1234</v>
      </c>
      <c r="D52" s="17" t="s">
        <v>249</v>
      </c>
      <c r="E52" s="17" t="s">
        <v>1235</v>
      </c>
      <c r="F52" s="17" t="s">
        <v>254</v>
      </c>
      <c r="G52" s="31" t="s">
        <v>1236</v>
      </c>
      <c r="H52" s="17" t="s">
        <v>308</v>
      </c>
      <c r="I52" s="17">
        <v>7.018232177E9</v>
      </c>
      <c r="J52" s="17" t="s">
        <v>76</v>
      </c>
      <c r="K52" s="17" t="s">
        <v>389</v>
      </c>
      <c r="L52" s="17" t="s">
        <v>1242</v>
      </c>
      <c r="M52" s="17" t="s">
        <v>77</v>
      </c>
      <c r="N52" s="17" t="s">
        <v>224</v>
      </c>
      <c r="O52" s="29" t="s">
        <v>1244</v>
      </c>
    </row>
    <row r="53">
      <c r="A53" s="17">
        <v>51.0</v>
      </c>
      <c r="B53" s="17" t="s">
        <v>1248</v>
      </c>
      <c r="C53" s="17" t="s">
        <v>983</v>
      </c>
      <c r="D53" s="17" t="s">
        <v>249</v>
      </c>
      <c r="E53" s="17" t="s">
        <v>1249</v>
      </c>
      <c r="F53" s="17" t="s">
        <v>1250</v>
      </c>
      <c r="G53" s="17" t="s">
        <v>224</v>
      </c>
      <c r="H53" s="17" t="s">
        <v>259</v>
      </c>
      <c r="I53" s="17">
        <v>8.130712795E9</v>
      </c>
      <c r="J53" s="17" t="s">
        <v>1253</v>
      </c>
      <c r="K53" s="27">
        <v>46236.0</v>
      </c>
      <c r="L53" s="17" t="s">
        <v>1254</v>
      </c>
      <c r="M53" s="17" t="s">
        <v>77</v>
      </c>
      <c r="N53" s="17" t="s">
        <v>224</v>
      </c>
      <c r="O53" s="29" t="s">
        <v>1255</v>
      </c>
    </row>
    <row r="54">
      <c r="A54" s="17">
        <v>52.0</v>
      </c>
      <c r="B54" s="17" t="s">
        <v>1257</v>
      </c>
      <c r="C54" s="17" t="s">
        <v>1258</v>
      </c>
      <c r="D54" s="17" t="s">
        <v>249</v>
      </c>
      <c r="E54" s="17" t="s">
        <v>1259</v>
      </c>
      <c r="F54" s="17" t="s">
        <v>1260</v>
      </c>
      <c r="G54" s="17" t="s">
        <v>224</v>
      </c>
      <c r="H54" s="17" t="s">
        <v>259</v>
      </c>
      <c r="I54" s="17">
        <v>9.102366803E9</v>
      </c>
      <c r="J54" s="17" t="s">
        <v>1261</v>
      </c>
      <c r="K54" s="17" t="s">
        <v>1263</v>
      </c>
      <c r="L54" s="17" t="s">
        <v>1264</v>
      </c>
      <c r="M54" s="17" t="s">
        <v>77</v>
      </c>
      <c r="N54" s="17" t="s">
        <v>224</v>
      </c>
      <c r="O54" s="29" t="s">
        <v>1265</v>
      </c>
    </row>
    <row r="55">
      <c r="A55" s="17">
        <v>53.0</v>
      </c>
      <c r="B55" s="17" t="s">
        <v>1266</v>
      </c>
      <c r="C55" s="17" t="s">
        <v>1267</v>
      </c>
      <c r="D55" s="17" t="s">
        <v>249</v>
      </c>
      <c r="E55" s="17" t="s">
        <v>1268</v>
      </c>
      <c r="F55" s="17" t="s">
        <v>1269</v>
      </c>
      <c r="G55" s="17" t="s">
        <v>224</v>
      </c>
      <c r="H55" s="17" t="s">
        <v>259</v>
      </c>
      <c r="I55" s="17">
        <v>9.999344961E9</v>
      </c>
      <c r="J55" s="17" t="s">
        <v>1270</v>
      </c>
      <c r="K55" s="79">
        <v>45973.0</v>
      </c>
      <c r="L55" s="17" t="s">
        <v>1272</v>
      </c>
      <c r="M55" s="17" t="s">
        <v>77</v>
      </c>
      <c r="N55" s="17" t="s">
        <v>224</v>
      </c>
      <c r="O55" s="29" t="s">
        <v>1274</v>
      </c>
    </row>
    <row r="56">
      <c r="A56" s="17">
        <v>54.0</v>
      </c>
      <c r="B56" s="17" t="s">
        <v>1276</v>
      </c>
      <c r="C56" s="17" t="s">
        <v>1278</v>
      </c>
      <c r="D56" s="17" t="s">
        <v>249</v>
      </c>
      <c r="E56" s="17" t="s">
        <v>1280</v>
      </c>
      <c r="F56" s="17" t="s">
        <v>1281</v>
      </c>
      <c r="G56" s="17" t="s">
        <v>224</v>
      </c>
      <c r="H56" s="17" t="s">
        <v>259</v>
      </c>
      <c r="I56" s="17">
        <v>7.607316881E9</v>
      </c>
      <c r="J56" s="17" t="s">
        <v>1283</v>
      </c>
      <c r="K56" s="79">
        <v>45973.0</v>
      </c>
      <c r="L56" s="17" t="s">
        <v>1272</v>
      </c>
      <c r="M56" s="17" t="s">
        <v>77</v>
      </c>
      <c r="N56" s="17" t="s">
        <v>224</v>
      </c>
      <c r="O56" s="29" t="s">
        <v>1284</v>
      </c>
    </row>
    <row r="57">
      <c r="A57" s="17">
        <v>55.0</v>
      </c>
      <c r="B57" s="17" t="s">
        <v>1285</v>
      </c>
      <c r="C57" s="17" t="s">
        <v>1287</v>
      </c>
      <c r="D57" s="17" t="s">
        <v>51</v>
      </c>
      <c r="E57" s="17" t="s">
        <v>1288</v>
      </c>
      <c r="F57" s="17" t="s">
        <v>54</v>
      </c>
      <c r="G57" s="25" t="s">
        <v>1292</v>
      </c>
      <c r="H57" s="17" t="s">
        <v>259</v>
      </c>
      <c r="I57" s="17">
        <v>9.506736531E9</v>
      </c>
      <c r="J57" s="17" t="s">
        <v>1296</v>
      </c>
      <c r="K57" s="17" t="s">
        <v>1298</v>
      </c>
      <c r="L57" s="17" t="s">
        <v>1300</v>
      </c>
      <c r="M57" s="17" t="s">
        <v>77</v>
      </c>
      <c r="N57" s="17" t="s">
        <v>224</v>
      </c>
      <c r="O57" s="65" t="s">
        <v>1301</v>
      </c>
    </row>
    <row r="58">
      <c r="A58" s="17">
        <v>56.0</v>
      </c>
      <c r="B58" s="37" t="s">
        <v>1302</v>
      </c>
      <c r="C58" s="17" t="s">
        <v>1304</v>
      </c>
      <c r="D58" s="17" t="s">
        <v>51</v>
      </c>
      <c r="E58" s="17" t="s">
        <v>224</v>
      </c>
      <c r="F58" s="17" t="s">
        <v>1306</v>
      </c>
      <c r="G58" s="17" t="s">
        <v>224</v>
      </c>
      <c r="H58" s="17" t="s">
        <v>259</v>
      </c>
      <c r="I58" s="17">
        <v>9.695542009E9</v>
      </c>
      <c r="J58" s="25" t="s">
        <v>1311</v>
      </c>
      <c r="K58" s="17" t="s">
        <v>224</v>
      </c>
      <c r="L58" s="17" t="s">
        <v>224</v>
      </c>
      <c r="M58" s="17" t="s">
        <v>224</v>
      </c>
      <c r="N58" s="17" t="s">
        <v>224</v>
      </c>
      <c r="O58" s="29"/>
    </row>
    <row r="59">
      <c r="A59" s="17">
        <v>57.0</v>
      </c>
      <c r="B59" s="17" t="s">
        <v>1314</v>
      </c>
      <c r="C59" s="17" t="s">
        <v>1315</v>
      </c>
      <c r="D59" s="17" t="s">
        <v>51</v>
      </c>
      <c r="E59" s="17" t="s">
        <v>1317</v>
      </c>
      <c r="F59" s="17" t="s">
        <v>1319</v>
      </c>
      <c r="G59" s="17" t="s">
        <v>224</v>
      </c>
      <c r="H59" s="17" t="s">
        <v>259</v>
      </c>
      <c r="I59" s="17" t="s">
        <v>1323</v>
      </c>
      <c r="J59" s="17" t="s">
        <v>1324</v>
      </c>
      <c r="K59" s="17" t="s">
        <v>1325</v>
      </c>
      <c r="L59" s="17" t="s">
        <v>1326</v>
      </c>
      <c r="M59" s="17" t="s">
        <v>77</v>
      </c>
      <c r="N59" s="17" t="s">
        <v>224</v>
      </c>
      <c r="O59" s="29" t="s">
        <v>1327</v>
      </c>
    </row>
    <row r="60">
      <c r="A60" s="17">
        <v>58.0</v>
      </c>
      <c r="B60" s="17" t="s">
        <v>1328</v>
      </c>
      <c r="C60" s="17" t="s">
        <v>1329</v>
      </c>
      <c r="D60" s="17" t="s">
        <v>51</v>
      </c>
      <c r="E60" s="17" t="s">
        <v>1330</v>
      </c>
      <c r="F60" s="17" t="s">
        <v>1331</v>
      </c>
      <c r="G60" s="25" t="s">
        <v>1332</v>
      </c>
      <c r="H60" s="17" t="s">
        <v>259</v>
      </c>
      <c r="I60" s="17">
        <v>9.266893997E9</v>
      </c>
      <c r="J60" s="17" t="s">
        <v>1340</v>
      </c>
      <c r="K60" s="17" t="s">
        <v>1341</v>
      </c>
      <c r="L60" s="17" t="s">
        <v>1342</v>
      </c>
      <c r="M60" s="17" t="s">
        <v>77</v>
      </c>
      <c r="N60" s="17" t="s">
        <v>224</v>
      </c>
      <c r="O60" s="29" t="s">
        <v>1343</v>
      </c>
    </row>
    <row r="61">
      <c r="A61" s="17">
        <v>59.0</v>
      </c>
      <c r="B61" s="17" t="s">
        <v>1345</v>
      </c>
      <c r="C61" s="17" t="s">
        <v>1346</v>
      </c>
      <c r="D61" s="17" t="s">
        <v>51</v>
      </c>
      <c r="E61" s="17" t="s">
        <v>1347</v>
      </c>
      <c r="F61" s="17" t="s">
        <v>1348</v>
      </c>
      <c r="G61" s="25" t="s">
        <v>1349</v>
      </c>
      <c r="H61" s="17" t="s">
        <v>259</v>
      </c>
      <c r="I61" s="17">
        <v>7.600100448E9</v>
      </c>
      <c r="J61" s="17" t="s">
        <v>1357</v>
      </c>
      <c r="K61" s="27">
        <v>46056.0</v>
      </c>
      <c r="L61" s="27">
        <v>46145.0</v>
      </c>
      <c r="M61" s="17" t="s">
        <v>77</v>
      </c>
      <c r="N61" s="17" t="s">
        <v>224</v>
      </c>
      <c r="O61" s="29" t="s">
        <v>1358</v>
      </c>
    </row>
    <row r="62">
      <c r="A62" s="17">
        <v>60.0</v>
      </c>
      <c r="B62" s="17" t="s">
        <v>1359</v>
      </c>
      <c r="C62" s="17" t="s">
        <v>1360</v>
      </c>
      <c r="D62" s="17" t="s">
        <v>249</v>
      </c>
      <c r="E62" s="70" t="s">
        <v>1361</v>
      </c>
      <c r="F62" s="17" t="s">
        <v>1362</v>
      </c>
      <c r="G62" s="25" t="s">
        <v>1365</v>
      </c>
      <c r="H62" s="17" t="s">
        <v>259</v>
      </c>
      <c r="I62" s="17">
        <v>8.825292008E9</v>
      </c>
      <c r="J62" s="17" t="s">
        <v>1371</v>
      </c>
      <c r="K62" s="17" t="s">
        <v>1372</v>
      </c>
      <c r="L62" s="17" t="s">
        <v>1263</v>
      </c>
      <c r="M62" s="81" t="s">
        <v>1373</v>
      </c>
      <c r="N62" s="70" t="s">
        <v>1375</v>
      </c>
      <c r="O62" s="29" t="s">
        <v>1376</v>
      </c>
    </row>
    <row r="63">
      <c r="A63" s="17">
        <v>61.0</v>
      </c>
      <c r="B63" s="37" t="s">
        <v>1377</v>
      </c>
      <c r="C63" s="17" t="s">
        <v>1378</v>
      </c>
      <c r="D63" s="17" t="s">
        <v>249</v>
      </c>
      <c r="E63" s="17" t="s">
        <v>224</v>
      </c>
      <c r="F63" s="17" t="s">
        <v>1379</v>
      </c>
      <c r="G63" s="17" t="s">
        <v>224</v>
      </c>
      <c r="H63" s="17" t="s">
        <v>259</v>
      </c>
      <c r="I63" s="17">
        <v>9.199524336E9</v>
      </c>
      <c r="J63" s="17" t="s">
        <v>1382</v>
      </c>
      <c r="K63" s="17" t="s">
        <v>224</v>
      </c>
      <c r="L63" s="17" t="s">
        <v>224</v>
      </c>
      <c r="M63" s="17" t="s">
        <v>224</v>
      </c>
      <c r="N63" s="17" t="s">
        <v>224</v>
      </c>
      <c r="O63" s="29"/>
    </row>
    <row r="64">
      <c r="A64" s="17">
        <v>62.0</v>
      </c>
      <c r="B64" s="80" t="s">
        <v>1383</v>
      </c>
      <c r="C64" s="17" t="s">
        <v>1076</v>
      </c>
      <c r="D64" s="17" t="s">
        <v>249</v>
      </c>
      <c r="E64" s="17" t="s">
        <v>1385</v>
      </c>
      <c r="F64" s="17" t="s">
        <v>1386</v>
      </c>
      <c r="G64" s="17" t="s">
        <v>224</v>
      </c>
      <c r="H64" s="17" t="s">
        <v>259</v>
      </c>
      <c r="I64" s="17">
        <v>8.384059883E9</v>
      </c>
      <c r="J64" s="17" t="s">
        <v>1389</v>
      </c>
      <c r="K64" s="17" t="s">
        <v>1391</v>
      </c>
      <c r="L64" s="27">
        <v>45659.0</v>
      </c>
      <c r="M64" s="17" t="s">
        <v>77</v>
      </c>
      <c r="N64" s="17" t="s">
        <v>224</v>
      </c>
      <c r="O64" s="29" t="s">
        <v>1393</v>
      </c>
    </row>
    <row r="65">
      <c r="A65" s="17">
        <v>63.0</v>
      </c>
      <c r="B65" s="58" t="s">
        <v>1394</v>
      </c>
      <c r="C65" s="17" t="s">
        <v>1395</v>
      </c>
      <c r="D65" s="17" t="s">
        <v>249</v>
      </c>
      <c r="E65" s="17" t="s">
        <v>1396</v>
      </c>
      <c r="F65" s="17" t="s">
        <v>350</v>
      </c>
      <c r="G65" s="17" t="s">
        <v>224</v>
      </c>
      <c r="H65" s="17" t="s">
        <v>137</v>
      </c>
      <c r="I65" s="17">
        <v>8.878868783E9</v>
      </c>
      <c r="J65" s="17" t="s">
        <v>1399</v>
      </c>
      <c r="K65" s="17" t="s">
        <v>1400</v>
      </c>
      <c r="L65" s="17" t="s">
        <v>1401</v>
      </c>
      <c r="M65" s="17" t="s">
        <v>77</v>
      </c>
      <c r="N65" s="17" t="s">
        <v>224</v>
      </c>
      <c r="O65" s="29" t="s">
        <v>1402</v>
      </c>
    </row>
    <row r="66">
      <c r="A66" s="17">
        <v>64.0</v>
      </c>
      <c r="B66" s="58" t="s">
        <v>1403</v>
      </c>
      <c r="C66" s="17" t="s">
        <v>1405</v>
      </c>
      <c r="D66" s="17" t="s">
        <v>249</v>
      </c>
      <c r="E66" s="17" t="s">
        <v>1406</v>
      </c>
      <c r="F66" s="17" t="s">
        <v>350</v>
      </c>
      <c r="G66" s="31" t="s">
        <v>1410</v>
      </c>
      <c r="H66" s="17" t="s">
        <v>137</v>
      </c>
      <c r="I66" s="29"/>
      <c r="J66" s="31" t="s">
        <v>1419</v>
      </c>
      <c r="K66" s="17" t="s">
        <v>1423</v>
      </c>
      <c r="L66" s="17" t="s">
        <v>1401</v>
      </c>
      <c r="M66" s="17" t="s">
        <v>77</v>
      </c>
      <c r="N66" s="17" t="s">
        <v>224</v>
      </c>
      <c r="O66" s="29" t="s">
        <v>1426</v>
      </c>
    </row>
    <row r="67">
      <c r="A67" s="70">
        <v>65.0</v>
      </c>
      <c r="B67" s="86" t="s">
        <v>1427</v>
      </c>
      <c r="C67" s="87" t="s">
        <v>1429</v>
      </c>
      <c r="D67" s="70" t="s">
        <v>51</v>
      </c>
      <c r="E67" s="81" t="s">
        <v>1434</v>
      </c>
      <c r="F67" s="70" t="s">
        <v>1435</v>
      </c>
      <c r="G67" s="88" t="s">
        <v>1437</v>
      </c>
      <c r="H67" s="81" t="s">
        <v>259</v>
      </c>
      <c r="I67" s="29"/>
      <c r="J67" s="90"/>
      <c r="K67" s="70" t="s">
        <v>1449</v>
      </c>
      <c r="L67" s="17"/>
      <c r="M67" s="17" t="s">
        <v>77</v>
      </c>
      <c r="N67" s="17" t="s">
        <v>224</v>
      </c>
      <c r="O67" s="65" t="s">
        <v>1450</v>
      </c>
    </row>
  </sheetData>
  <mergeCells count="1">
    <mergeCell ref="A1:O1"/>
  </mergeCells>
  <hyperlinks>
    <hyperlink r:id="rId1" ref="G3"/>
    <hyperlink r:id="rId2" ref="J3"/>
    <hyperlink r:id="rId3" ref="G4"/>
    <hyperlink r:id="rId4" ref="G5"/>
    <hyperlink r:id="rId5" ref="G6"/>
    <hyperlink r:id="rId6" ref="G9"/>
    <hyperlink r:id="rId7" ref="G10"/>
    <hyperlink r:id="rId8" ref="G11"/>
    <hyperlink r:id="rId9" ref="G12"/>
    <hyperlink r:id="rId10" ref="G13"/>
    <hyperlink r:id="rId11" ref="G14"/>
    <hyperlink r:id="rId12" ref="G15"/>
    <hyperlink r:id="rId13" ref="G16"/>
    <hyperlink r:id="rId14" ref="G17"/>
    <hyperlink r:id="rId15" ref="G18"/>
    <hyperlink r:id="rId16" ref="G19"/>
    <hyperlink r:id="rId17" ref="G20"/>
    <hyperlink r:id="rId18" ref="G21"/>
    <hyperlink r:id="rId19" ref="G22"/>
    <hyperlink r:id="rId20" ref="G23"/>
    <hyperlink r:id="rId21" ref="G24"/>
    <hyperlink r:id="rId22" ref="G26"/>
    <hyperlink r:id="rId23" ref="G27"/>
    <hyperlink r:id="rId24" ref="G28"/>
    <hyperlink r:id="rId25" ref="G29"/>
    <hyperlink r:id="rId26" ref="G30"/>
    <hyperlink r:id="rId27" ref="G31"/>
    <hyperlink r:id="rId28" ref="G32"/>
    <hyperlink r:id="rId29" ref="G33"/>
    <hyperlink r:id="rId30" ref="G34"/>
    <hyperlink r:id="rId31" ref="G35"/>
    <hyperlink r:id="rId32" ref="G36"/>
    <hyperlink r:id="rId33" ref="G37"/>
    <hyperlink r:id="rId34" ref="G38"/>
    <hyperlink r:id="rId35" ref="G39"/>
    <hyperlink r:id="rId36" ref="G40"/>
    <hyperlink r:id="rId37" ref="G41"/>
    <hyperlink r:id="rId38" ref="G42"/>
    <hyperlink r:id="rId39" ref="G44"/>
    <hyperlink r:id="rId40" ref="G45"/>
    <hyperlink r:id="rId41" ref="G48"/>
    <hyperlink r:id="rId42" ref="J49"/>
    <hyperlink r:id="rId43" ref="G50"/>
    <hyperlink r:id="rId44" ref="G51"/>
    <hyperlink r:id="rId45" ref="G52"/>
    <hyperlink r:id="rId46" ref="G57"/>
    <hyperlink r:id="rId47" ref="J58"/>
    <hyperlink r:id="rId48" ref="G60"/>
    <hyperlink r:id="rId49" ref="G61"/>
    <hyperlink r:id="rId50" ref="G62"/>
    <hyperlink r:id="rId51" ref="G66"/>
    <hyperlink r:id="rId52" ref="J66"/>
    <hyperlink r:id="rId53" ref="G67"/>
  </hyperlinks>
  <printOptions gridLines="1" horizontalCentered="1"/>
  <pageMargins bottom="0.75" footer="0.0" header="0.0" left="0.25" right="0.25" top="0.75"/>
  <pageSetup fitToHeight="0" cellComments="atEnd" orientation="landscape" pageOrder="overThenDown"/>
  <drawing r:id="rId5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13"/>
    <col customWidth="1" min="3" max="3" width="32.38"/>
    <col customWidth="1" min="4" max="4" width="24.88"/>
    <col customWidth="1" min="5" max="5" width="26.13"/>
    <col customWidth="1" min="6" max="6" width="22.5"/>
    <col customWidth="1" min="7" max="7" width="24.88"/>
    <col customWidth="1" min="8" max="8" width="33.75"/>
    <col customWidth="1" min="9" max="9" width="28.88"/>
    <col customWidth="1" min="10" max="10" width="19.25"/>
    <col customWidth="1" min="11" max="11" width="22.13"/>
    <col customWidth="1" min="12" max="12" width="24.25"/>
    <col customWidth="1" min="13" max="13" width="22.63"/>
    <col customWidth="1" min="14" max="14" width="67.88"/>
  </cols>
  <sheetData>
    <row r="1">
      <c r="A1" s="1" t="s">
        <v>0</v>
      </c>
      <c r="B1" s="1" t="s">
        <v>4</v>
      </c>
      <c r="C1" s="1" t="s">
        <v>5</v>
      </c>
      <c r="D1" s="1" t="s">
        <v>6</v>
      </c>
      <c r="E1" s="1" t="s">
        <v>7</v>
      </c>
      <c r="F1" s="1" t="s">
        <v>8</v>
      </c>
      <c r="G1" s="1" t="s">
        <v>9</v>
      </c>
      <c r="H1" s="1" t="s">
        <v>10</v>
      </c>
      <c r="I1" s="1" t="s">
        <v>11</v>
      </c>
      <c r="J1" s="1" t="s">
        <v>13</v>
      </c>
      <c r="K1" s="1" t="s">
        <v>14</v>
      </c>
      <c r="L1" s="1" t="s">
        <v>15</v>
      </c>
      <c r="M1" s="1" t="s">
        <v>16</v>
      </c>
      <c r="N1" s="8" t="s">
        <v>17</v>
      </c>
      <c r="O1" s="9"/>
      <c r="P1" s="9"/>
      <c r="Q1" s="9"/>
      <c r="R1" s="9"/>
      <c r="S1" s="9"/>
      <c r="T1" s="9"/>
      <c r="U1" s="9"/>
      <c r="V1" s="9"/>
      <c r="W1" s="9"/>
      <c r="X1" s="9"/>
      <c r="Y1" s="9"/>
      <c r="Z1" s="9"/>
    </row>
    <row r="2">
      <c r="A2" s="10">
        <v>1.0</v>
      </c>
      <c r="B2" s="10" t="s">
        <v>18</v>
      </c>
      <c r="C2" s="12" t="s">
        <v>19</v>
      </c>
      <c r="D2" s="10" t="s">
        <v>21</v>
      </c>
      <c r="E2" s="10" t="s">
        <v>22</v>
      </c>
      <c r="F2" s="13">
        <v>44870.0</v>
      </c>
      <c r="G2" s="10">
        <v>100.0</v>
      </c>
      <c r="H2" s="10" t="s">
        <v>25</v>
      </c>
      <c r="I2" s="10" t="s">
        <v>35</v>
      </c>
      <c r="J2" s="10" t="s">
        <v>37</v>
      </c>
      <c r="K2" s="10" t="s">
        <v>39</v>
      </c>
      <c r="L2" s="10">
        <v>9.5405277E9</v>
      </c>
      <c r="M2" s="10" t="s">
        <v>41</v>
      </c>
      <c r="N2" s="20" t="s">
        <v>43</v>
      </c>
      <c r="O2" s="9"/>
      <c r="P2" s="9"/>
      <c r="Q2" s="9"/>
      <c r="R2" s="9"/>
      <c r="S2" s="9"/>
      <c r="T2" s="9"/>
      <c r="U2" s="9"/>
      <c r="V2" s="9"/>
      <c r="W2" s="9"/>
      <c r="X2" s="9"/>
      <c r="Y2" s="9"/>
      <c r="Z2" s="9"/>
    </row>
    <row r="3">
      <c r="A3" s="10">
        <v>2.0</v>
      </c>
      <c r="B3" s="10" t="s">
        <v>58</v>
      </c>
      <c r="C3" s="12" t="s">
        <v>60</v>
      </c>
      <c r="D3" s="10" t="s">
        <v>21</v>
      </c>
      <c r="E3" s="10" t="s">
        <v>22</v>
      </c>
      <c r="F3" s="10" t="s">
        <v>64</v>
      </c>
      <c r="G3" s="10">
        <v>129.0</v>
      </c>
      <c r="H3" s="10" t="s">
        <v>25</v>
      </c>
      <c r="I3" s="10" t="s">
        <v>67</v>
      </c>
      <c r="J3" s="10" t="s">
        <v>37</v>
      </c>
      <c r="K3" s="10" t="s">
        <v>39</v>
      </c>
      <c r="L3" s="10">
        <v>9.5405277E9</v>
      </c>
      <c r="M3" s="10" t="s">
        <v>41</v>
      </c>
      <c r="N3" s="20" t="s">
        <v>72</v>
      </c>
      <c r="O3" s="9"/>
      <c r="P3" s="9"/>
      <c r="Q3" s="9"/>
      <c r="R3" s="9"/>
      <c r="S3" s="9"/>
      <c r="T3" s="9"/>
      <c r="U3" s="9"/>
      <c r="V3" s="9"/>
      <c r="W3" s="9"/>
      <c r="X3" s="9"/>
      <c r="Y3" s="9"/>
      <c r="Z3" s="9"/>
    </row>
    <row r="4">
      <c r="A4" s="10">
        <v>3.0</v>
      </c>
      <c r="B4" s="10" t="s">
        <v>86</v>
      </c>
      <c r="C4" s="12" t="s">
        <v>88</v>
      </c>
      <c r="D4" s="10" t="s">
        <v>21</v>
      </c>
      <c r="E4" s="10" t="s">
        <v>22</v>
      </c>
      <c r="F4" s="10" t="s">
        <v>64</v>
      </c>
      <c r="G4" s="10">
        <v>170.0</v>
      </c>
      <c r="H4" s="10" t="s">
        <v>25</v>
      </c>
      <c r="I4" s="10" t="s">
        <v>35</v>
      </c>
      <c r="J4" s="10" t="s">
        <v>37</v>
      </c>
      <c r="K4" s="10" t="s">
        <v>39</v>
      </c>
      <c r="L4" s="10">
        <v>9.5405277E9</v>
      </c>
      <c r="M4" s="10" t="s">
        <v>41</v>
      </c>
      <c r="N4" s="10" t="s">
        <v>96</v>
      </c>
      <c r="O4" s="9"/>
      <c r="P4" s="9"/>
      <c r="Q4" s="9"/>
      <c r="R4" s="9"/>
      <c r="S4" s="9"/>
      <c r="T4" s="9"/>
      <c r="U4" s="9"/>
      <c r="V4" s="9"/>
      <c r="W4" s="9"/>
      <c r="X4" s="9"/>
      <c r="Y4" s="9"/>
      <c r="Z4" s="9"/>
    </row>
    <row r="5">
      <c r="A5" s="10">
        <v>4.0</v>
      </c>
      <c r="B5" s="10" t="s">
        <v>105</v>
      </c>
      <c r="C5" s="12" t="s">
        <v>106</v>
      </c>
      <c r="D5" s="10" t="s">
        <v>21</v>
      </c>
      <c r="E5" s="10" t="s">
        <v>22</v>
      </c>
      <c r="F5" s="10" t="s">
        <v>110</v>
      </c>
      <c r="G5" s="10">
        <v>75.0</v>
      </c>
      <c r="H5" s="10" t="s">
        <v>25</v>
      </c>
      <c r="I5" s="10" t="s">
        <v>67</v>
      </c>
      <c r="J5" s="10" t="s">
        <v>37</v>
      </c>
      <c r="K5" s="10" t="s">
        <v>39</v>
      </c>
      <c r="L5" s="10">
        <v>9.5405277E9</v>
      </c>
      <c r="M5" s="10" t="s">
        <v>41</v>
      </c>
      <c r="N5" s="10" t="s">
        <v>123</v>
      </c>
      <c r="O5" s="9"/>
      <c r="P5" s="9"/>
      <c r="Q5" s="9"/>
      <c r="R5" s="9"/>
      <c r="S5" s="9"/>
      <c r="T5" s="9"/>
      <c r="U5" s="9"/>
      <c r="V5" s="9"/>
      <c r="W5" s="9"/>
      <c r="X5" s="9"/>
      <c r="Y5" s="9"/>
      <c r="Z5" s="9"/>
    </row>
    <row r="6">
      <c r="A6" s="10">
        <v>5.0</v>
      </c>
      <c r="B6" s="10" t="s">
        <v>128</v>
      </c>
      <c r="C6" s="10" t="s">
        <v>129</v>
      </c>
      <c r="D6" s="10" t="s">
        <v>21</v>
      </c>
      <c r="E6" s="10" t="s">
        <v>22</v>
      </c>
      <c r="F6" s="10" t="s">
        <v>132</v>
      </c>
      <c r="G6" s="10">
        <v>85.0</v>
      </c>
      <c r="H6" s="10" t="s">
        <v>25</v>
      </c>
      <c r="I6" s="10" t="s">
        <v>67</v>
      </c>
      <c r="J6" s="10" t="s">
        <v>37</v>
      </c>
      <c r="K6" s="10" t="s">
        <v>39</v>
      </c>
      <c r="L6" s="10">
        <v>9.5405277E9</v>
      </c>
      <c r="M6" s="10" t="s">
        <v>41</v>
      </c>
      <c r="N6" s="10" t="s">
        <v>140</v>
      </c>
      <c r="O6" s="9"/>
      <c r="P6" s="9"/>
      <c r="Q6" s="9"/>
      <c r="R6" s="9"/>
      <c r="S6" s="9"/>
      <c r="T6" s="9"/>
      <c r="U6" s="9"/>
      <c r="V6" s="9"/>
      <c r="W6" s="9"/>
      <c r="X6" s="9"/>
      <c r="Y6" s="9"/>
      <c r="Z6" s="9"/>
    </row>
    <row r="7">
      <c r="A7" s="10">
        <v>6.0</v>
      </c>
      <c r="B7" s="10" t="s">
        <v>147</v>
      </c>
      <c r="C7" s="10" t="s">
        <v>147</v>
      </c>
      <c r="D7" s="10" t="s">
        <v>21</v>
      </c>
      <c r="E7" s="10" t="s">
        <v>22</v>
      </c>
      <c r="F7" s="10" t="s">
        <v>153</v>
      </c>
      <c r="G7" s="10">
        <v>40.0</v>
      </c>
      <c r="H7" s="10" t="s">
        <v>25</v>
      </c>
      <c r="I7" s="10" t="s">
        <v>35</v>
      </c>
      <c r="J7" s="10" t="s">
        <v>37</v>
      </c>
      <c r="K7" s="10" t="s">
        <v>39</v>
      </c>
      <c r="L7" s="10">
        <v>9.5405277E9</v>
      </c>
      <c r="M7" s="10" t="s">
        <v>41</v>
      </c>
      <c r="N7" s="10" t="s">
        <v>163</v>
      </c>
      <c r="O7" s="9"/>
      <c r="P7" s="9"/>
      <c r="Q7" s="9"/>
      <c r="R7" s="9"/>
      <c r="S7" s="9"/>
      <c r="T7" s="9"/>
      <c r="U7" s="9"/>
      <c r="V7" s="9"/>
      <c r="W7" s="9"/>
      <c r="X7" s="9"/>
      <c r="Y7" s="9"/>
      <c r="Z7" s="9"/>
    </row>
    <row r="8">
      <c r="A8" s="10">
        <v>7.0</v>
      </c>
      <c r="B8" s="10" t="s">
        <v>168</v>
      </c>
      <c r="C8" s="12" t="s">
        <v>169</v>
      </c>
      <c r="D8" s="10" t="s">
        <v>21</v>
      </c>
      <c r="E8" s="10" t="s">
        <v>22</v>
      </c>
      <c r="F8" s="10" t="s">
        <v>172</v>
      </c>
      <c r="G8" s="10">
        <v>42.0</v>
      </c>
      <c r="H8" s="10" t="s">
        <v>25</v>
      </c>
      <c r="I8" s="10" t="s">
        <v>173</v>
      </c>
      <c r="J8" s="10" t="s">
        <v>37</v>
      </c>
      <c r="K8" s="10" t="s">
        <v>39</v>
      </c>
      <c r="L8" s="10">
        <v>9.5405277E9</v>
      </c>
      <c r="M8" s="10" t="s">
        <v>41</v>
      </c>
      <c r="N8" s="10" t="s">
        <v>178</v>
      </c>
      <c r="O8" s="9"/>
      <c r="P8" s="9"/>
      <c r="Q8" s="9"/>
      <c r="R8" s="9"/>
      <c r="S8" s="9"/>
      <c r="T8" s="9"/>
      <c r="U8" s="9"/>
      <c r="V8" s="9"/>
      <c r="W8" s="9"/>
      <c r="X8" s="9"/>
      <c r="Y8" s="9"/>
      <c r="Z8" s="9"/>
    </row>
    <row r="9">
      <c r="A9" s="10">
        <v>8.0</v>
      </c>
      <c r="B9" s="10" t="s">
        <v>184</v>
      </c>
      <c r="C9" s="12" t="s">
        <v>187</v>
      </c>
      <c r="D9" s="10" t="s">
        <v>21</v>
      </c>
      <c r="E9" s="10" t="s">
        <v>22</v>
      </c>
      <c r="F9" s="10" t="s">
        <v>192</v>
      </c>
      <c r="G9" s="10">
        <v>32.0</v>
      </c>
      <c r="H9" s="10" t="s">
        <v>25</v>
      </c>
      <c r="I9" s="10" t="s">
        <v>35</v>
      </c>
      <c r="J9" s="10" t="s">
        <v>37</v>
      </c>
      <c r="K9" s="10" t="s">
        <v>39</v>
      </c>
      <c r="L9" s="10">
        <v>9.5405277E9</v>
      </c>
      <c r="M9" s="10" t="s">
        <v>41</v>
      </c>
      <c r="N9" s="10" t="s">
        <v>201</v>
      </c>
      <c r="O9" s="9"/>
      <c r="P9" s="9"/>
      <c r="Q9" s="9"/>
      <c r="R9" s="9"/>
      <c r="S9" s="9"/>
      <c r="T9" s="9"/>
      <c r="U9" s="9"/>
      <c r="V9" s="9"/>
      <c r="W9" s="9"/>
      <c r="X9" s="9"/>
      <c r="Y9" s="9"/>
      <c r="Z9" s="9"/>
    </row>
    <row r="10">
      <c r="A10" s="10">
        <v>9.0</v>
      </c>
      <c r="B10" s="10" t="s">
        <v>204</v>
      </c>
      <c r="C10" s="10" t="s">
        <v>205</v>
      </c>
      <c r="D10" s="10" t="s">
        <v>21</v>
      </c>
      <c r="E10" s="10" t="s">
        <v>22</v>
      </c>
      <c r="F10" s="10" t="s">
        <v>206</v>
      </c>
      <c r="G10" s="10">
        <v>43.0</v>
      </c>
      <c r="H10" s="10" t="s">
        <v>25</v>
      </c>
      <c r="I10" s="10" t="s">
        <v>35</v>
      </c>
      <c r="J10" s="10" t="s">
        <v>37</v>
      </c>
      <c r="K10" s="10" t="s">
        <v>39</v>
      </c>
      <c r="L10" s="10">
        <v>9.5405277E9</v>
      </c>
      <c r="M10" s="10" t="s">
        <v>41</v>
      </c>
      <c r="N10" s="10" t="s">
        <v>217</v>
      </c>
      <c r="O10" s="9"/>
      <c r="P10" s="9"/>
      <c r="Q10" s="9"/>
      <c r="R10" s="9"/>
      <c r="S10" s="9"/>
      <c r="T10" s="9"/>
      <c r="U10" s="9"/>
      <c r="V10" s="9"/>
      <c r="W10" s="9"/>
      <c r="X10" s="9"/>
      <c r="Y10" s="9"/>
      <c r="Z10" s="9"/>
    </row>
    <row r="11">
      <c r="A11" s="10">
        <v>10.0</v>
      </c>
      <c r="B11" s="10" t="s">
        <v>225</v>
      </c>
      <c r="C11" s="10" t="s">
        <v>227</v>
      </c>
      <c r="D11" s="10" t="s">
        <v>21</v>
      </c>
      <c r="E11" s="10" t="s">
        <v>22</v>
      </c>
      <c r="F11" s="35">
        <v>44875.0</v>
      </c>
      <c r="G11" s="10">
        <v>68.0</v>
      </c>
      <c r="H11" s="10" t="s">
        <v>25</v>
      </c>
      <c r="I11" s="10" t="s">
        <v>173</v>
      </c>
      <c r="J11" s="10" t="s">
        <v>37</v>
      </c>
      <c r="K11" s="10" t="s">
        <v>39</v>
      </c>
      <c r="L11" s="10">
        <v>9.5405277E9</v>
      </c>
      <c r="M11" s="10" t="s">
        <v>41</v>
      </c>
      <c r="N11" s="10" t="s">
        <v>250</v>
      </c>
      <c r="O11" s="9"/>
      <c r="P11" s="9"/>
      <c r="Q11" s="9"/>
      <c r="R11" s="9"/>
      <c r="S11" s="9"/>
      <c r="T11" s="9"/>
      <c r="U11" s="9"/>
      <c r="V11" s="9"/>
      <c r="W11" s="9"/>
      <c r="X11" s="9"/>
      <c r="Y11" s="9"/>
      <c r="Z11" s="9"/>
    </row>
    <row r="12">
      <c r="A12" s="10">
        <v>11.0</v>
      </c>
      <c r="B12" s="10" t="s">
        <v>266</v>
      </c>
      <c r="C12" s="38" t="s">
        <v>268</v>
      </c>
      <c r="D12" s="10" t="s">
        <v>21</v>
      </c>
      <c r="E12" s="10" t="s">
        <v>22</v>
      </c>
      <c r="F12" s="10" t="s">
        <v>275</v>
      </c>
      <c r="G12" s="10">
        <v>64.0</v>
      </c>
      <c r="H12" s="10" t="s">
        <v>25</v>
      </c>
      <c r="I12" s="10" t="s">
        <v>173</v>
      </c>
      <c r="J12" s="10" t="s">
        <v>37</v>
      </c>
      <c r="K12" s="10" t="s">
        <v>39</v>
      </c>
      <c r="L12" s="10">
        <v>9.5405277E9</v>
      </c>
      <c r="M12" s="10" t="s">
        <v>41</v>
      </c>
      <c r="N12" s="10" t="s">
        <v>288</v>
      </c>
      <c r="O12" s="9"/>
      <c r="P12" s="9"/>
      <c r="Q12" s="9"/>
      <c r="R12" s="9"/>
      <c r="S12" s="9"/>
      <c r="T12" s="9"/>
      <c r="U12" s="9"/>
      <c r="V12" s="9"/>
      <c r="W12" s="9"/>
      <c r="X12" s="9"/>
      <c r="Y12" s="9"/>
      <c r="Z12" s="9"/>
    </row>
    <row r="13">
      <c r="A13" s="10">
        <v>12.0</v>
      </c>
      <c r="B13" s="10" t="s">
        <v>299</v>
      </c>
      <c r="C13" s="38" t="s">
        <v>300</v>
      </c>
      <c r="D13" s="10" t="s">
        <v>21</v>
      </c>
      <c r="E13" s="10" t="s">
        <v>22</v>
      </c>
      <c r="F13" s="13">
        <v>37357.0</v>
      </c>
      <c r="G13" s="10">
        <v>77.0</v>
      </c>
      <c r="H13" s="10" t="s">
        <v>25</v>
      </c>
      <c r="I13" s="10" t="s">
        <v>67</v>
      </c>
      <c r="J13" s="10" t="s">
        <v>37</v>
      </c>
      <c r="K13" s="10" t="s">
        <v>39</v>
      </c>
      <c r="L13" s="10">
        <v>9.5405277E9</v>
      </c>
      <c r="M13" s="10" t="s">
        <v>41</v>
      </c>
      <c r="N13" s="10" t="s">
        <v>313</v>
      </c>
      <c r="O13" s="9"/>
      <c r="P13" s="9"/>
      <c r="Q13" s="9"/>
      <c r="R13" s="9"/>
      <c r="S13" s="9"/>
      <c r="T13" s="9"/>
      <c r="U13" s="9"/>
      <c r="V13" s="9"/>
      <c r="W13" s="9"/>
      <c r="X13" s="9"/>
      <c r="Y13" s="9"/>
      <c r="Z13" s="9"/>
    </row>
    <row r="14">
      <c r="A14" s="10">
        <v>13.0</v>
      </c>
      <c r="B14" s="10" t="s">
        <v>317</v>
      </c>
      <c r="C14" s="10" t="s">
        <v>319</v>
      </c>
      <c r="D14" s="10" t="s">
        <v>21</v>
      </c>
      <c r="E14" s="10" t="s">
        <v>22</v>
      </c>
      <c r="F14" s="13">
        <v>44723.0</v>
      </c>
      <c r="G14" s="10">
        <v>77.0</v>
      </c>
      <c r="H14" s="10" t="s">
        <v>25</v>
      </c>
      <c r="I14" s="10" t="s">
        <v>35</v>
      </c>
      <c r="J14" s="10" t="s">
        <v>37</v>
      </c>
      <c r="K14" s="10" t="s">
        <v>39</v>
      </c>
      <c r="L14" s="10">
        <v>9.5405277E9</v>
      </c>
      <c r="M14" s="10" t="s">
        <v>41</v>
      </c>
      <c r="N14" s="10" t="s">
        <v>325</v>
      </c>
      <c r="O14" s="9"/>
      <c r="P14" s="9"/>
      <c r="Q14" s="9"/>
      <c r="R14" s="9"/>
      <c r="S14" s="9"/>
      <c r="T14" s="9"/>
      <c r="U14" s="9"/>
      <c r="V14" s="9"/>
      <c r="W14" s="9"/>
      <c r="X14" s="9"/>
      <c r="Y14" s="9"/>
      <c r="Z14" s="9"/>
    </row>
    <row r="15">
      <c r="A15" s="10">
        <v>14.0</v>
      </c>
      <c r="B15" s="10" t="s">
        <v>329</v>
      </c>
      <c r="C15" s="10" t="s">
        <v>330</v>
      </c>
      <c r="D15" s="10" t="s">
        <v>21</v>
      </c>
      <c r="E15" s="10" t="s">
        <v>22</v>
      </c>
      <c r="F15" s="13">
        <v>44815.0</v>
      </c>
      <c r="G15" s="10">
        <v>108.0</v>
      </c>
      <c r="H15" s="10" t="s">
        <v>25</v>
      </c>
      <c r="I15" s="10" t="s">
        <v>67</v>
      </c>
      <c r="J15" s="10" t="s">
        <v>37</v>
      </c>
      <c r="K15" s="10" t="s">
        <v>39</v>
      </c>
      <c r="L15" s="10">
        <v>9.5405277E9</v>
      </c>
      <c r="M15" s="10" t="s">
        <v>41</v>
      </c>
      <c r="N15" s="10" t="s">
        <v>336</v>
      </c>
      <c r="O15" s="9"/>
      <c r="P15" s="9"/>
      <c r="Q15" s="9"/>
      <c r="R15" s="9"/>
      <c r="S15" s="9"/>
      <c r="T15" s="9"/>
      <c r="U15" s="9"/>
      <c r="V15" s="9"/>
      <c r="W15" s="9"/>
      <c r="X15" s="9"/>
      <c r="Y15" s="9"/>
      <c r="Z15" s="9"/>
    </row>
    <row r="16">
      <c r="A16" s="10">
        <v>15.0</v>
      </c>
      <c r="B16" s="10" t="s">
        <v>341</v>
      </c>
      <c r="C16" s="10" t="s">
        <v>344</v>
      </c>
      <c r="D16" s="10" t="s">
        <v>21</v>
      </c>
      <c r="E16" s="10" t="s">
        <v>22</v>
      </c>
      <c r="F16" s="10" t="s">
        <v>347</v>
      </c>
      <c r="G16" s="10">
        <v>45.0</v>
      </c>
      <c r="H16" s="10" t="s">
        <v>25</v>
      </c>
      <c r="I16" s="10" t="s">
        <v>67</v>
      </c>
      <c r="J16" s="10" t="s">
        <v>37</v>
      </c>
      <c r="K16" s="10" t="s">
        <v>39</v>
      </c>
      <c r="L16" s="10">
        <v>9.5405277E9</v>
      </c>
      <c r="M16" s="10" t="s">
        <v>41</v>
      </c>
      <c r="N16" s="10" t="s">
        <v>354</v>
      </c>
      <c r="O16" s="9"/>
      <c r="P16" s="9"/>
      <c r="Q16" s="9"/>
      <c r="R16" s="9"/>
      <c r="S16" s="9"/>
      <c r="T16" s="9"/>
      <c r="U16" s="9"/>
      <c r="V16" s="9"/>
      <c r="W16" s="9"/>
      <c r="X16" s="9"/>
      <c r="Y16" s="9"/>
      <c r="Z16" s="9"/>
    </row>
    <row r="17">
      <c r="A17" s="10">
        <v>16.0</v>
      </c>
      <c r="B17" s="10" t="s">
        <v>355</v>
      </c>
      <c r="C17" s="38" t="s">
        <v>356</v>
      </c>
      <c r="D17" s="10" t="s">
        <v>21</v>
      </c>
      <c r="E17" s="10" t="s">
        <v>22</v>
      </c>
      <c r="F17" s="10" t="s">
        <v>359</v>
      </c>
      <c r="G17" s="10">
        <v>93.0</v>
      </c>
      <c r="H17" s="10" t="s">
        <v>25</v>
      </c>
      <c r="I17" s="10" t="s">
        <v>67</v>
      </c>
      <c r="J17" s="10" t="s">
        <v>37</v>
      </c>
      <c r="K17" s="10" t="s">
        <v>39</v>
      </c>
      <c r="L17" s="10">
        <v>9.5405277E9</v>
      </c>
      <c r="M17" s="10" t="s">
        <v>41</v>
      </c>
      <c r="N17" s="10" t="s">
        <v>363</v>
      </c>
      <c r="O17" s="9"/>
      <c r="P17" s="9"/>
      <c r="Q17" s="9"/>
      <c r="R17" s="9"/>
      <c r="S17" s="9"/>
      <c r="T17" s="9"/>
      <c r="U17" s="9"/>
      <c r="V17" s="9"/>
      <c r="W17" s="9"/>
      <c r="X17" s="9"/>
      <c r="Y17" s="9"/>
      <c r="Z17" s="9"/>
    </row>
    <row r="18">
      <c r="A18" s="10">
        <v>17.0</v>
      </c>
      <c r="B18" s="10" t="s">
        <v>365</v>
      </c>
      <c r="C18" s="38" t="s">
        <v>367</v>
      </c>
      <c r="D18" s="10" t="s">
        <v>21</v>
      </c>
      <c r="E18" s="10" t="s">
        <v>22</v>
      </c>
      <c r="F18" s="10" t="s">
        <v>368</v>
      </c>
      <c r="G18" s="10">
        <v>146.0</v>
      </c>
      <c r="H18" s="10" t="s">
        <v>25</v>
      </c>
      <c r="I18" s="10" t="s">
        <v>173</v>
      </c>
      <c r="J18" s="10" t="s">
        <v>37</v>
      </c>
      <c r="K18" s="10" t="s">
        <v>39</v>
      </c>
      <c r="L18" s="10">
        <v>9.5405277E9</v>
      </c>
      <c r="M18" s="10" t="s">
        <v>41</v>
      </c>
      <c r="N18" s="10" t="s">
        <v>378</v>
      </c>
      <c r="O18" s="9"/>
      <c r="P18" s="9"/>
      <c r="Q18" s="9"/>
      <c r="R18" s="9"/>
      <c r="S18" s="9"/>
      <c r="T18" s="9"/>
      <c r="U18" s="9"/>
      <c r="V18" s="9"/>
      <c r="W18" s="9"/>
      <c r="X18" s="9"/>
      <c r="Y18" s="9"/>
      <c r="Z18" s="9"/>
    </row>
    <row r="19">
      <c r="A19" s="10">
        <v>18.0</v>
      </c>
      <c r="B19" s="10" t="s">
        <v>383</v>
      </c>
      <c r="C19" s="38" t="s">
        <v>384</v>
      </c>
      <c r="D19" s="10" t="s">
        <v>21</v>
      </c>
      <c r="E19" s="10" t="s">
        <v>22</v>
      </c>
      <c r="F19" s="10" t="s">
        <v>389</v>
      </c>
      <c r="G19" s="10">
        <v>138.0</v>
      </c>
      <c r="H19" s="10" t="s">
        <v>25</v>
      </c>
      <c r="I19" s="10" t="s">
        <v>35</v>
      </c>
      <c r="J19" s="10" t="s">
        <v>37</v>
      </c>
      <c r="K19" s="10" t="s">
        <v>39</v>
      </c>
      <c r="L19" s="10">
        <v>9.5405277E9</v>
      </c>
      <c r="M19" s="10" t="s">
        <v>41</v>
      </c>
      <c r="N19" s="10" t="s">
        <v>393</v>
      </c>
      <c r="O19" s="9"/>
      <c r="P19" s="9"/>
      <c r="Q19" s="9"/>
      <c r="R19" s="9"/>
      <c r="S19" s="9"/>
      <c r="T19" s="9"/>
      <c r="U19" s="9"/>
      <c r="V19" s="9"/>
      <c r="W19" s="9"/>
      <c r="X19" s="9"/>
      <c r="Y19" s="9"/>
      <c r="Z19" s="9"/>
    </row>
    <row r="20">
      <c r="A20" s="10">
        <v>19.0</v>
      </c>
      <c r="B20" s="10" t="s">
        <v>395</v>
      </c>
      <c r="C20" s="38" t="s">
        <v>397</v>
      </c>
      <c r="D20" s="10" t="s">
        <v>21</v>
      </c>
      <c r="E20" s="10" t="s">
        <v>22</v>
      </c>
      <c r="F20" s="10" t="s">
        <v>389</v>
      </c>
      <c r="G20" s="10">
        <v>190.0</v>
      </c>
      <c r="H20" s="10" t="s">
        <v>25</v>
      </c>
      <c r="I20" s="10" t="s">
        <v>35</v>
      </c>
      <c r="J20" s="10" t="s">
        <v>37</v>
      </c>
      <c r="K20" s="10" t="s">
        <v>39</v>
      </c>
      <c r="L20" s="10">
        <v>9.5405277E9</v>
      </c>
      <c r="M20" s="10" t="s">
        <v>41</v>
      </c>
      <c r="N20" s="10" t="s">
        <v>406</v>
      </c>
      <c r="O20" s="9"/>
      <c r="P20" s="9"/>
      <c r="Q20" s="9"/>
      <c r="R20" s="9"/>
      <c r="S20" s="9"/>
      <c r="T20" s="9"/>
      <c r="U20" s="9"/>
      <c r="V20" s="9"/>
      <c r="W20" s="9"/>
      <c r="X20" s="9"/>
      <c r="Y20" s="9"/>
      <c r="Z20" s="9"/>
    </row>
    <row r="21">
      <c r="A21" s="10">
        <v>20.0</v>
      </c>
      <c r="B21" s="10" t="s">
        <v>383</v>
      </c>
      <c r="C21" s="38" t="s">
        <v>384</v>
      </c>
      <c r="D21" s="10" t="s">
        <v>21</v>
      </c>
      <c r="E21" s="10" t="s">
        <v>22</v>
      </c>
      <c r="F21" s="10" t="s">
        <v>411</v>
      </c>
      <c r="G21" s="10">
        <v>190.0</v>
      </c>
      <c r="H21" s="10" t="s">
        <v>25</v>
      </c>
      <c r="I21" s="10" t="s">
        <v>35</v>
      </c>
      <c r="J21" s="10" t="s">
        <v>37</v>
      </c>
      <c r="K21" s="10" t="s">
        <v>39</v>
      </c>
      <c r="L21" s="10">
        <v>9.5405277E9</v>
      </c>
      <c r="M21" s="10" t="s">
        <v>41</v>
      </c>
      <c r="N21" s="10" t="s">
        <v>393</v>
      </c>
      <c r="O21" s="9"/>
      <c r="P21" s="9"/>
      <c r="Q21" s="9"/>
      <c r="R21" s="9"/>
      <c r="S21" s="9"/>
      <c r="T21" s="9"/>
      <c r="U21" s="9"/>
      <c r="V21" s="9"/>
      <c r="W21" s="9"/>
      <c r="X21" s="9"/>
      <c r="Y21" s="9"/>
      <c r="Z21" s="9"/>
    </row>
    <row r="22">
      <c r="A22" s="10">
        <v>21.0</v>
      </c>
      <c r="B22" s="43" t="s">
        <v>412</v>
      </c>
      <c r="C22" s="38" t="s">
        <v>417</v>
      </c>
      <c r="D22" s="10" t="s">
        <v>21</v>
      </c>
      <c r="E22" s="10" t="s">
        <v>22</v>
      </c>
      <c r="F22" s="43" t="s">
        <v>422</v>
      </c>
      <c r="G22" s="10">
        <v>195.0</v>
      </c>
      <c r="H22" s="10" t="s">
        <v>25</v>
      </c>
      <c r="I22" s="10" t="s">
        <v>67</v>
      </c>
      <c r="J22" s="10" t="s">
        <v>37</v>
      </c>
      <c r="K22" s="10" t="s">
        <v>39</v>
      </c>
      <c r="L22" s="10">
        <v>9.5405277E9</v>
      </c>
      <c r="M22" s="10" t="s">
        <v>41</v>
      </c>
      <c r="N22" s="10" t="s">
        <v>427</v>
      </c>
      <c r="O22" s="9"/>
      <c r="P22" s="9"/>
      <c r="Q22" s="9"/>
      <c r="R22" s="9"/>
      <c r="S22" s="9"/>
      <c r="T22" s="9"/>
      <c r="U22" s="9"/>
      <c r="V22" s="9"/>
      <c r="W22" s="9"/>
      <c r="X22" s="9"/>
      <c r="Y22" s="9"/>
      <c r="Z22" s="9"/>
    </row>
    <row r="23">
      <c r="A23" s="10">
        <v>22.0</v>
      </c>
      <c r="B23" s="43" t="s">
        <v>431</v>
      </c>
      <c r="C23" s="38" t="s">
        <v>433</v>
      </c>
      <c r="D23" s="10" t="s">
        <v>21</v>
      </c>
      <c r="E23" s="10" t="s">
        <v>22</v>
      </c>
      <c r="F23" s="13">
        <v>45017.0</v>
      </c>
      <c r="G23" s="10">
        <v>80.0</v>
      </c>
      <c r="H23" s="10" t="s">
        <v>25</v>
      </c>
      <c r="I23" s="10" t="s">
        <v>35</v>
      </c>
      <c r="J23" s="10" t="s">
        <v>37</v>
      </c>
      <c r="K23" s="10" t="s">
        <v>39</v>
      </c>
      <c r="L23" s="10">
        <v>9.5405277E9</v>
      </c>
      <c r="M23" s="10" t="s">
        <v>41</v>
      </c>
      <c r="N23" s="10" t="s">
        <v>438</v>
      </c>
      <c r="O23" s="9"/>
      <c r="P23" s="9"/>
      <c r="Q23" s="9"/>
      <c r="R23" s="9"/>
      <c r="S23" s="9"/>
      <c r="T23" s="9"/>
      <c r="U23" s="9"/>
      <c r="V23" s="9"/>
      <c r="W23" s="9"/>
      <c r="X23" s="9"/>
      <c r="Y23" s="9"/>
      <c r="Z23" s="9"/>
    </row>
    <row r="24">
      <c r="A24" s="10">
        <v>23.0</v>
      </c>
      <c r="B24" s="10" t="s">
        <v>440</v>
      </c>
      <c r="C24" s="38" t="s">
        <v>442</v>
      </c>
      <c r="D24" s="10" t="s">
        <v>21</v>
      </c>
      <c r="E24" s="10" t="s">
        <v>22</v>
      </c>
      <c r="F24" s="43" t="s">
        <v>446</v>
      </c>
      <c r="G24" s="10">
        <v>82.0</v>
      </c>
      <c r="H24" s="10" t="s">
        <v>25</v>
      </c>
      <c r="I24" s="10" t="s">
        <v>35</v>
      </c>
      <c r="J24" s="10" t="s">
        <v>37</v>
      </c>
      <c r="K24" s="10" t="s">
        <v>39</v>
      </c>
      <c r="L24" s="10">
        <v>9.5405277E9</v>
      </c>
      <c r="M24" s="10" t="s">
        <v>41</v>
      </c>
      <c r="N24" s="10" t="s">
        <v>451</v>
      </c>
      <c r="O24" s="9"/>
      <c r="P24" s="9"/>
      <c r="Q24" s="9"/>
      <c r="R24" s="9"/>
      <c r="S24" s="9"/>
      <c r="T24" s="9"/>
      <c r="U24" s="9"/>
      <c r="V24" s="9"/>
      <c r="W24" s="9"/>
      <c r="X24" s="9"/>
      <c r="Y24" s="9"/>
      <c r="Z24" s="9"/>
    </row>
    <row r="25">
      <c r="A25" s="10">
        <v>24.0</v>
      </c>
      <c r="B25" s="10" t="s">
        <v>457</v>
      </c>
      <c r="C25" s="10" t="s">
        <v>457</v>
      </c>
      <c r="D25" s="10" t="s">
        <v>21</v>
      </c>
      <c r="E25" s="10" t="s">
        <v>22</v>
      </c>
      <c r="F25" s="43" t="s">
        <v>460</v>
      </c>
      <c r="G25" s="10">
        <v>63.0</v>
      </c>
      <c r="H25" s="10" t="s">
        <v>25</v>
      </c>
      <c r="I25" s="10" t="s">
        <v>173</v>
      </c>
      <c r="J25" s="10" t="s">
        <v>37</v>
      </c>
      <c r="K25" s="10" t="s">
        <v>39</v>
      </c>
      <c r="L25" s="10">
        <v>9.5405277E9</v>
      </c>
      <c r="M25" s="10" t="s">
        <v>41</v>
      </c>
      <c r="N25" s="10" t="s">
        <v>463</v>
      </c>
      <c r="O25" s="9"/>
      <c r="P25" s="9"/>
      <c r="Q25" s="9"/>
      <c r="R25" s="9"/>
      <c r="S25" s="9"/>
      <c r="T25" s="9"/>
      <c r="U25" s="9"/>
      <c r="V25" s="9"/>
      <c r="W25" s="9"/>
      <c r="X25" s="9"/>
      <c r="Y25" s="9"/>
      <c r="Z25" s="9"/>
    </row>
    <row r="26">
      <c r="A26" s="10">
        <v>25.0</v>
      </c>
      <c r="B26" s="45" t="s">
        <v>466</v>
      </c>
      <c r="C26" s="38" t="s">
        <v>469</v>
      </c>
      <c r="D26" s="10" t="s">
        <v>21</v>
      </c>
      <c r="E26" s="10" t="s">
        <v>22</v>
      </c>
      <c r="F26" s="43" t="s">
        <v>460</v>
      </c>
      <c r="G26" s="10">
        <v>82.0</v>
      </c>
      <c r="H26" s="10" t="s">
        <v>25</v>
      </c>
      <c r="I26" s="10" t="s">
        <v>475</v>
      </c>
      <c r="J26" s="10" t="s">
        <v>37</v>
      </c>
      <c r="K26" s="10" t="s">
        <v>39</v>
      </c>
      <c r="L26" s="10">
        <v>9.5405277E9</v>
      </c>
      <c r="M26" s="10" t="s">
        <v>41</v>
      </c>
      <c r="N26" s="10" t="s">
        <v>478</v>
      </c>
      <c r="O26" s="9"/>
      <c r="P26" s="9"/>
      <c r="Q26" s="9"/>
      <c r="R26" s="9"/>
      <c r="S26" s="9"/>
      <c r="T26" s="9"/>
      <c r="U26" s="9"/>
      <c r="V26" s="9"/>
      <c r="W26" s="9"/>
      <c r="X26" s="9"/>
      <c r="Y26" s="9"/>
      <c r="Z26" s="9"/>
    </row>
    <row r="27">
      <c r="A27" s="10">
        <v>26.0</v>
      </c>
      <c r="B27" s="43" t="s">
        <v>483</v>
      </c>
      <c r="C27" s="10" t="s">
        <v>227</v>
      </c>
      <c r="D27" s="10" t="s">
        <v>21</v>
      </c>
      <c r="E27" s="10" t="s">
        <v>22</v>
      </c>
      <c r="F27" s="46">
        <v>44959.0</v>
      </c>
      <c r="G27" s="10">
        <v>122.0</v>
      </c>
      <c r="H27" s="10" t="s">
        <v>25</v>
      </c>
      <c r="I27" s="10" t="s">
        <v>475</v>
      </c>
      <c r="J27" s="10" t="s">
        <v>37</v>
      </c>
      <c r="K27" s="10" t="s">
        <v>39</v>
      </c>
      <c r="L27" s="10">
        <v>9.5405277E9</v>
      </c>
      <c r="M27" s="10" t="s">
        <v>41</v>
      </c>
      <c r="N27" s="10" t="s">
        <v>488</v>
      </c>
      <c r="O27" s="9"/>
      <c r="P27" s="9"/>
      <c r="Q27" s="9"/>
      <c r="R27" s="9"/>
      <c r="S27" s="9"/>
      <c r="T27" s="9"/>
      <c r="U27" s="9"/>
      <c r="V27" s="9"/>
      <c r="W27" s="9"/>
      <c r="X27" s="9"/>
      <c r="Y27" s="9"/>
      <c r="Z27" s="9"/>
    </row>
    <row r="28">
      <c r="A28" s="10">
        <v>27.0</v>
      </c>
      <c r="B28" s="45" t="s">
        <v>494</v>
      </c>
      <c r="C28" s="38" t="s">
        <v>496</v>
      </c>
      <c r="D28" s="10" t="s">
        <v>21</v>
      </c>
      <c r="E28" s="10" t="s">
        <v>22</v>
      </c>
      <c r="F28" s="46">
        <v>45109.0</v>
      </c>
      <c r="G28" s="10">
        <v>70.0</v>
      </c>
      <c r="H28" s="10" t="s">
        <v>25</v>
      </c>
      <c r="I28" s="10" t="s">
        <v>35</v>
      </c>
      <c r="J28" s="10" t="s">
        <v>37</v>
      </c>
      <c r="K28" s="10" t="s">
        <v>39</v>
      </c>
      <c r="L28" s="10">
        <v>9.5405277E9</v>
      </c>
      <c r="M28" s="10" t="s">
        <v>41</v>
      </c>
      <c r="N28" s="10" t="s">
        <v>503</v>
      </c>
      <c r="O28" s="9"/>
      <c r="P28" s="9"/>
      <c r="Q28" s="9"/>
      <c r="R28" s="9"/>
      <c r="S28" s="9"/>
      <c r="T28" s="9"/>
      <c r="U28" s="9"/>
      <c r="V28" s="9"/>
      <c r="W28" s="9"/>
      <c r="X28" s="9"/>
      <c r="Y28" s="9"/>
      <c r="Z28" s="9"/>
    </row>
    <row r="29">
      <c r="A29" s="10">
        <v>28.0</v>
      </c>
      <c r="B29" s="43" t="s">
        <v>507</v>
      </c>
      <c r="C29" s="38" t="s">
        <v>509</v>
      </c>
      <c r="D29" s="10" t="s">
        <v>21</v>
      </c>
      <c r="E29" s="10" t="s">
        <v>22</v>
      </c>
      <c r="F29" s="43" t="s">
        <v>513</v>
      </c>
      <c r="G29" s="10">
        <v>20.0</v>
      </c>
      <c r="H29" s="10" t="s">
        <v>25</v>
      </c>
      <c r="I29" s="10" t="s">
        <v>67</v>
      </c>
      <c r="J29" s="10" t="s">
        <v>37</v>
      </c>
      <c r="K29" s="10" t="s">
        <v>39</v>
      </c>
      <c r="L29" s="10">
        <v>9.5405277E9</v>
      </c>
      <c r="M29" s="10" t="s">
        <v>41</v>
      </c>
      <c r="N29" s="10" t="s">
        <v>522</v>
      </c>
      <c r="O29" s="9"/>
      <c r="P29" s="9"/>
      <c r="Q29" s="9"/>
      <c r="R29" s="9"/>
      <c r="S29" s="9"/>
      <c r="T29" s="9"/>
      <c r="U29" s="9"/>
      <c r="V29" s="9"/>
      <c r="W29" s="9"/>
      <c r="X29" s="9"/>
      <c r="Y29" s="9"/>
      <c r="Z29" s="9"/>
    </row>
    <row r="30">
      <c r="A30" s="10">
        <v>29.0</v>
      </c>
      <c r="B30" s="45" t="s">
        <v>529</v>
      </c>
      <c r="C30" s="38" t="s">
        <v>531</v>
      </c>
      <c r="D30" s="10" t="s">
        <v>21</v>
      </c>
      <c r="E30" s="10" t="s">
        <v>22</v>
      </c>
      <c r="F30" s="46">
        <v>45201.0</v>
      </c>
      <c r="G30" s="10">
        <v>60.0</v>
      </c>
      <c r="H30" s="10" t="s">
        <v>25</v>
      </c>
      <c r="I30" s="10" t="s">
        <v>173</v>
      </c>
      <c r="J30" s="10" t="s">
        <v>37</v>
      </c>
      <c r="K30" s="10" t="s">
        <v>39</v>
      </c>
      <c r="L30" s="10">
        <v>9.5405277E9</v>
      </c>
      <c r="M30" s="10" t="s">
        <v>41</v>
      </c>
      <c r="N30" s="10" t="s">
        <v>540</v>
      </c>
      <c r="O30" s="9"/>
      <c r="P30" s="9"/>
      <c r="Q30" s="9"/>
      <c r="R30" s="9"/>
      <c r="S30" s="9"/>
      <c r="T30" s="9"/>
      <c r="U30" s="9"/>
      <c r="V30" s="9"/>
      <c r="W30" s="9"/>
      <c r="X30" s="9"/>
      <c r="Y30" s="9"/>
      <c r="Z30" s="9"/>
    </row>
    <row r="31">
      <c r="A31" s="10">
        <v>30.0</v>
      </c>
      <c r="B31" s="10" t="s">
        <v>547</v>
      </c>
      <c r="C31" s="38" t="s">
        <v>548</v>
      </c>
      <c r="D31" s="10" t="s">
        <v>21</v>
      </c>
      <c r="E31" s="10" t="s">
        <v>22</v>
      </c>
      <c r="F31" s="13">
        <v>45234.0</v>
      </c>
      <c r="G31" s="10">
        <v>114.0</v>
      </c>
      <c r="H31" s="10" t="s">
        <v>25</v>
      </c>
      <c r="I31" s="10" t="s">
        <v>35</v>
      </c>
      <c r="J31" s="10" t="s">
        <v>37</v>
      </c>
      <c r="K31" s="10" t="s">
        <v>39</v>
      </c>
      <c r="L31" s="10">
        <v>9.5405277E9</v>
      </c>
      <c r="M31" s="10" t="s">
        <v>41</v>
      </c>
      <c r="N31" s="10" t="s">
        <v>553</v>
      </c>
      <c r="O31" s="9"/>
      <c r="P31" s="9"/>
      <c r="Q31" s="9"/>
      <c r="R31" s="9"/>
      <c r="S31" s="9"/>
      <c r="T31" s="9"/>
      <c r="U31" s="9"/>
      <c r="V31" s="9"/>
      <c r="W31" s="9"/>
      <c r="X31" s="9"/>
      <c r="Y31" s="9"/>
      <c r="Z31" s="9"/>
    </row>
    <row r="32">
      <c r="A32" s="10">
        <v>31.0</v>
      </c>
      <c r="B32" s="10" t="s">
        <v>559</v>
      </c>
      <c r="C32" s="38" t="s">
        <v>560</v>
      </c>
      <c r="D32" s="10" t="s">
        <v>21</v>
      </c>
      <c r="E32" s="10" t="s">
        <v>22</v>
      </c>
      <c r="F32" s="10" t="s">
        <v>563</v>
      </c>
      <c r="G32" s="10">
        <v>55.0</v>
      </c>
      <c r="H32" s="10" t="s">
        <v>25</v>
      </c>
      <c r="I32" s="10" t="s">
        <v>67</v>
      </c>
      <c r="J32" s="10" t="s">
        <v>37</v>
      </c>
      <c r="K32" s="10" t="s">
        <v>39</v>
      </c>
      <c r="L32" s="10">
        <v>9.5405277E9</v>
      </c>
      <c r="M32" s="10" t="s">
        <v>41</v>
      </c>
      <c r="N32" s="10" t="s">
        <v>568</v>
      </c>
      <c r="O32" s="9"/>
      <c r="P32" s="9"/>
      <c r="Q32" s="9"/>
      <c r="R32" s="9"/>
      <c r="S32" s="9"/>
      <c r="T32" s="9"/>
      <c r="U32" s="9"/>
      <c r="V32" s="9"/>
      <c r="W32" s="9"/>
      <c r="X32" s="9"/>
      <c r="Y32" s="9"/>
      <c r="Z32" s="9"/>
    </row>
    <row r="33">
      <c r="A33" s="10">
        <v>32.0</v>
      </c>
      <c r="B33" s="10" t="s">
        <v>575</v>
      </c>
      <c r="C33" s="38" t="s">
        <v>577</v>
      </c>
      <c r="D33" s="10" t="s">
        <v>21</v>
      </c>
      <c r="E33" s="10" t="s">
        <v>22</v>
      </c>
      <c r="F33" s="10" t="s">
        <v>579</v>
      </c>
      <c r="G33" s="10">
        <v>458.0</v>
      </c>
      <c r="H33" s="10" t="s">
        <v>25</v>
      </c>
      <c r="I33" s="10" t="s">
        <v>35</v>
      </c>
      <c r="J33" s="10" t="s">
        <v>37</v>
      </c>
      <c r="K33" s="10" t="s">
        <v>39</v>
      </c>
      <c r="L33" s="10">
        <v>9.5405277E9</v>
      </c>
      <c r="M33" s="10" t="s">
        <v>41</v>
      </c>
      <c r="N33" s="10" t="s">
        <v>585</v>
      </c>
      <c r="O33" s="9"/>
      <c r="P33" s="9"/>
      <c r="Q33" s="9"/>
      <c r="R33" s="9"/>
      <c r="S33" s="9"/>
      <c r="T33" s="9"/>
      <c r="U33" s="9"/>
      <c r="V33" s="9"/>
      <c r="W33" s="9"/>
      <c r="X33" s="9"/>
      <c r="Y33" s="9"/>
      <c r="Z33" s="9"/>
    </row>
    <row r="34">
      <c r="A34" s="10">
        <v>33.0</v>
      </c>
      <c r="B34" s="10" t="s">
        <v>587</v>
      </c>
      <c r="C34" s="38" t="s">
        <v>589</v>
      </c>
      <c r="D34" s="10" t="s">
        <v>21</v>
      </c>
      <c r="E34" s="10" t="s">
        <v>22</v>
      </c>
      <c r="F34" s="13">
        <v>44931.0</v>
      </c>
      <c r="G34" s="10">
        <v>40.0</v>
      </c>
      <c r="H34" s="10" t="s">
        <v>25</v>
      </c>
      <c r="I34" s="10" t="s">
        <v>475</v>
      </c>
      <c r="J34" s="10" t="s">
        <v>37</v>
      </c>
      <c r="K34" s="10" t="s">
        <v>39</v>
      </c>
      <c r="L34" s="10">
        <v>9.5405277E9</v>
      </c>
      <c r="M34" s="10" t="s">
        <v>41</v>
      </c>
      <c r="N34" s="10" t="s">
        <v>599</v>
      </c>
      <c r="O34" s="9"/>
      <c r="P34" s="9"/>
      <c r="Q34" s="9"/>
      <c r="R34" s="9"/>
      <c r="S34" s="9"/>
      <c r="T34" s="9"/>
      <c r="U34" s="9"/>
      <c r="V34" s="9"/>
      <c r="W34" s="9"/>
      <c r="X34" s="9"/>
      <c r="Y34" s="9"/>
      <c r="Z34" s="9"/>
    </row>
    <row r="35">
      <c r="A35" s="10">
        <v>34.0</v>
      </c>
      <c r="B35" s="43" t="s">
        <v>606</v>
      </c>
      <c r="C35" s="38" t="s">
        <v>608</v>
      </c>
      <c r="D35" s="10" t="s">
        <v>21</v>
      </c>
      <c r="E35" s="10" t="s">
        <v>22</v>
      </c>
      <c r="F35" s="13">
        <v>44931.0</v>
      </c>
      <c r="G35" s="10">
        <v>107.0</v>
      </c>
      <c r="H35" s="10" t="s">
        <v>25</v>
      </c>
      <c r="I35" s="10" t="s">
        <v>67</v>
      </c>
      <c r="J35" s="10" t="s">
        <v>37</v>
      </c>
      <c r="K35" s="10" t="s">
        <v>39</v>
      </c>
      <c r="L35" s="10">
        <v>9.5405277E9</v>
      </c>
      <c r="M35" s="10" t="s">
        <v>41</v>
      </c>
      <c r="N35" s="10" t="s">
        <v>616</v>
      </c>
      <c r="O35" s="9"/>
      <c r="P35" s="9"/>
      <c r="Q35" s="9"/>
      <c r="R35" s="9"/>
      <c r="S35" s="9"/>
      <c r="T35" s="9"/>
      <c r="U35" s="9"/>
      <c r="V35" s="9"/>
      <c r="W35" s="9"/>
      <c r="X35" s="9"/>
      <c r="Y35" s="9"/>
      <c r="Z35" s="9"/>
    </row>
    <row r="36">
      <c r="A36" s="10">
        <v>35.0</v>
      </c>
      <c r="B36" s="53" t="s">
        <v>620</v>
      </c>
      <c r="C36" s="10" t="s">
        <v>623</v>
      </c>
      <c r="D36" s="10" t="s">
        <v>21</v>
      </c>
      <c r="E36" s="10" t="s">
        <v>22</v>
      </c>
      <c r="F36" s="10" t="s">
        <v>627</v>
      </c>
      <c r="G36" s="10">
        <v>140.0</v>
      </c>
      <c r="H36" s="10" t="s">
        <v>25</v>
      </c>
      <c r="I36" s="10" t="s">
        <v>35</v>
      </c>
      <c r="J36" s="10" t="s">
        <v>37</v>
      </c>
      <c r="K36" s="10" t="s">
        <v>39</v>
      </c>
      <c r="L36" s="10">
        <v>9.5405277E9</v>
      </c>
      <c r="M36" s="10" t="s">
        <v>41</v>
      </c>
      <c r="N36" s="17"/>
      <c r="O36" s="9"/>
      <c r="P36" s="9"/>
      <c r="Q36" s="9"/>
      <c r="R36" s="9"/>
      <c r="S36" s="9"/>
      <c r="T36" s="9"/>
      <c r="U36" s="9"/>
      <c r="V36" s="9"/>
      <c r="W36" s="9"/>
      <c r="X36" s="9"/>
      <c r="Y36" s="9"/>
      <c r="Z36" s="9"/>
    </row>
    <row r="37">
      <c r="A37" s="10">
        <v>36.0</v>
      </c>
      <c r="B37" s="43" t="s">
        <v>640</v>
      </c>
      <c r="C37" s="38" t="s">
        <v>641</v>
      </c>
      <c r="D37" s="10" t="s">
        <v>21</v>
      </c>
      <c r="E37" s="10" t="s">
        <v>22</v>
      </c>
      <c r="F37" s="13">
        <v>45052.0</v>
      </c>
      <c r="G37" s="10">
        <v>79.0</v>
      </c>
      <c r="H37" s="10" t="s">
        <v>25</v>
      </c>
      <c r="I37" s="10" t="s">
        <v>35</v>
      </c>
      <c r="J37" s="10" t="s">
        <v>37</v>
      </c>
      <c r="K37" s="10" t="s">
        <v>39</v>
      </c>
      <c r="L37" s="10">
        <v>9.5405277E9</v>
      </c>
      <c r="M37" s="10" t="s">
        <v>41</v>
      </c>
      <c r="N37" s="10" t="s">
        <v>645</v>
      </c>
      <c r="O37" s="9"/>
      <c r="P37" s="9"/>
      <c r="Q37" s="9"/>
      <c r="R37" s="9"/>
      <c r="S37" s="9"/>
      <c r="T37" s="9"/>
      <c r="U37" s="9"/>
      <c r="V37" s="9"/>
      <c r="W37" s="9"/>
      <c r="X37" s="9"/>
      <c r="Y37" s="9"/>
      <c r="Z37" s="9"/>
    </row>
    <row r="38">
      <c r="A38" s="10">
        <v>37.0</v>
      </c>
      <c r="B38" s="10" t="s">
        <v>652</v>
      </c>
      <c r="C38" s="38" t="s">
        <v>653</v>
      </c>
      <c r="D38" s="10" t="s">
        <v>21</v>
      </c>
      <c r="E38" s="10" t="s">
        <v>22</v>
      </c>
      <c r="F38" s="13">
        <v>45266.0</v>
      </c>
      <c r="G38" s="10">
        <v>150.0</v>
      </c>
      <c r="H38" s="10" t="s">
        <v>25</v>
      </c>
      <c r="I38" s="10" t="s">
        <v>67</v>
      </c>
      <c r="J38" s="10" t="s">
        <v>37</v>
      </c>
      <c r="K38" s="10" t="s">
        <v>39</v>
      </c>
      <c r="L38" s="10">
        <v>9.5405277E9</v>
      </c>
      <c r="M38" s="10" t="s">
        <v>41</v>
      </c>
      <c r="N38" s="10" t="s">
        <v>660</v>
      </c>
      <c r="O38" s="9"/>
      <c r="P38" s="9"/>
      <c r="Q38" s="9"/>
      <c r="R38" s="9"/>
      <c r="S38" s="9"/>
      <c r="T38" s="9"/>
      <c r="U38" s="9"/>
      <c r="V38" s="9"/>
      <c r="W38" s="9"/>
      <c r="X38" s="9"/>
      <c r="Y38" s="9"/>
      <c r="Z38" s="9"/>
    </row>
    <row r="39">
      <c r="A39" s="10">
        <v>38.0</v>
      </c>
      <c r="B39" s="10" t="s">
        <v>669</v>
      </c>
      <c r="C39" s="10" t="s">
        <v>671</v>
      </c>
      <c r="D39" s="10" t="s">
        <v>21</v>
      </c>
      <c r="E39" s="10" t="s">
        <v>673</v>
      </c>
      <c r="F39" s="10" t="s">
        <v>675</v>
      </c>
      <c r="G39" s="10">
        <v>33.0</v>
      </c>
      <c r="H39" s="10" t="s">
        <v>25</v>
      </c>
      <c r="I39" s="10" t="s">
        <v>67</v>
      </c>
      <c r="J39" s="10" t="s">
        <v>37</v>
      </c>
      <c r="K39" s="10" t="s">
        <v>39</v>
      </c>
      <c r="L39" s="10">
        <v>9.5405277E9</v>
      </c>
      <c r="M39" s="10" t="s">
        <v>41</v>
      </c>
      <c r="N39" s="10" t="s">
        <v>683</v>
      </c>
      <c r="O39" s="9"/>
      <c r="P39" s="9"/>
      <c r="Q39" s="9"/>
      <c r="R39" s="9"/>
      <c r="S39" s="9"/>
      <c r="T39" s="9"/>
      <c r="U39" s="9"/>
      <c r="V39" s="9"/>
      <c r="W39" s="9"/>
      <c r="X39" s="9"/>
      <c r="Y39" s="9"/>
      <c r="Z39" s="9"/>
    </row>
    <row r="40">
      <c r="A40" s="10">
        <v>39.0</v>
      </c>
      <c r="B40" s="10" t="s">
        <v>686</v>
      </c>
      <c r="C40" s="38" t="s">
        <v>688</v>
      </c>
      <c r="D40" s="10" t="s">
        <v>21</v>
      </c>
      <c r="E40" s="10" t="s">
        <v>22</v>
      </c>
      <c r="F40" s="54">
        <v>45145.0</v>
      </c>
      <c r="G40" s="10">
        <v>36.0</v>
      </c>
      <c r="H40" s="10" t="s">
        <v>25</v>
      </c>
      <c r="I40" s="10" t="s">
        <v>475</v>
      </c>
      <c r="J40" s="10" t="s">
        <v>37</v>
      </c>
      <c r="K40" s="10" t="s">
        <v>39</v>
      </c>
      <c r="L40" s="10">
        <v>9.5405277E9</v>
      </c>
      <c r="M40" s="10" t="s">
        <v>41</v>
      </c>
      <c r="N40" s="10" t="s">
        <v>699</v>
      </c>
      <c r="O40" s="9"/>
      <c r="P40" s="9"/>
      <c r="Q40" s="9"/>
      <c r="R40" s="9"/>
      <c r="S40" s="9"/>
      <c r="T40" s="9"/>
      <c r="U40" s="9"/>
      <c r="V40" s="9"/>
      <c r="W40" s="9"/>
      <c r="X40" s="9"/>
      <c r="Y40" s="9"/>
      <c r="Z40" s="9"/>
    </row>
    <row r="41">
      <c r="A41" s="10">
        <v>40.0</v>
      </c>
      <c r="B41" s="55" t="s">
        <v>708</v>
      </c>
      <c r="C41" s="38" t="s">
        <v>712</v>
      </c>
      <c r="D41" s="10" t="s">
        <v>21</v>
      </c>
      <c r="E41" s="10" t="s">
        <v>22</v>
      </c>
      <c r="F41" s="10" t="s">
        <v>715</v>
      </c>
      <c r="G41" s="10">
        <v>130.0</v>
      </c>
      <c r="H41" s="10" t="s">
        <v>25</v>
      </c>
      <c r="I41" s="10" t="s">
        <v>475</v>
      </c>
      <c r="J41" s="10" t="s">
        <v>37</v>
      </c>
      <c r="K41" s="10" t="s">
        <v>39</v>
      </c>
      <c r="L41" s="10">
        <v>9.5405277E9</v>
      </c>
      <c r="M41" s="10" t="s">
        <v>41</v>
      </c>
      <c r="N41" s="10" t="s">
        <v>719</v>
      </c>
      <c r="O41" s="9"/>
      <c r="P41" s="9"/>
      <c r="Q41" s="9"/>
      <c r="R41" s="9"/>
      <c r="S41" s="9"/>
      <c r="T41" s="9"/>
      <c r="U41" s="9"/>
      <c r="V41" s="9"/>
      <c r="W41" s="9"/>
      <c r="X41" s="9"/>
      <c r="Y41" s="9"/>
      <c r="Z41" s="9"/>
    </row>
    <row r="42">
      <c r="A42" s="10">
        <v>41.0</v>
      </c>
      <c r="B42" s="43" t="s">
        <v>724</v>
      </c>
      <c r="C42" s="38" t="s">
        <v>727</v>
      </c>
      <c r="D42" s="10" t="s">
        <v>21</v>
      </c>
      <c r="E42" s="10" t="s">
        <v>22</v>
      </c>
      <c r="F42" s="10" t="s">
        <v>730</v>
      </c>
      <c r="G42" s="10">
        <v>21.0</v>
      </c>
      <c r="H42" s="10" t="s">
        <v>25</v>
      </c>
      <c r="I42" s="10" t="s">
        <v>475</v>
      </c>
      <c r="J42" s="10" t="s">
        <v>37</v>
      </c>
      <c r="K42" s="10" t="s">
        <v>39</v>
      </c>
      <c r="L42" s="10">
        <v>9.5405277E9</v>
      </c>
      <c r="M42" s="10" t="s">
        <v>41</v>
      </c>
      <c r="N42" s="10" t="s">
        <v>737</v>
      </c>
      <c r="O42" s="9"/>
      <c r="P42" s="9"/>
      <c r="Q42" s="9"/>
      <c r="R42" s="9"/>
      <c r="S42" s="9"/>
      <c r="T42" s="9"/>
      <c r="U42" s="9"/>
      <c r="V42" s="9"/>
      <c r="W42" s="9"/>
      <c r="X42" s="9"/>
      <c r="Y42" s="9"/>
      <c r="Z42" s="9"/>
    </row>
    <row r="43">
      <c r="A43" s="10">
        <v>42.0</v>
      </c>
      <c r="B43" s="10" t="s">
        <v>746</v>
      </c>
      <c r="C43" s="38" t="s">
        <v>749</v>
      </c>
      <c r="D43" s="10" t="s">
        <v>21</v>
      </c>
      <c r="E43" s="10" t="s">
        <v>22</v>
      </c>
      <c r="F43" s="10" t="s">
        <v>753</v>
      </c>
      <c r="G43" s="10">
        <v>51.0</v>
      </c>
      <c r="H43" s="10" t="s">
        <v>25</v>
      </c>
      <c r="I43" s="10" t="s">
        <v>756</v>
      </c>
      <c r="J43" s="10" t="s">
        <v>37</v>
      </c>
      <c r="K43" s="10" t="s">
        <v>39</v>
      </c>
      <c r="L43" s="10">
        <v>9.5405277E9</v>
      </c>
      <c r="M43" s="10" t="s">
        <v>41</v>
      </c>
      <c r="N43" s="10" t="s">
        <v>760</v>
      </c>
      <c r="O43" s="9"/>
      <c r="P43" s="9"/>
      <c r="Q43" s="9"/>
      <c r="R43" s="9"/>
      <c r="S43" s="9"/>
      <c r="T43" s="9"/>
      <c r="U43" s="9"/>
      <c r="V43" s="9"/>
      <c r="W43" s="9"/>
      <c r="X43" s="9"/>
      <c r="Y43" s="9"/>
      <c r="Z43" s="9"/>
    </row>
    <row r="44">
      <c r="A44" s="10">
        <v>43.0</v>
      </c>
      <c r="B44" s="10" t="s">
        <v>761</v>
      </c>
      <c r="C44" s="38" t="s">
        <v>762</v>
      </c>
      <c r="D44" s="10" t="s">
        <v>21</v>
      </c>
      <c r="E44" s="10" t="s">
        <v>22</v>
      </c>
      <c r="F44" s="13">
        <v>45269.0</v>
      </c>
      <c r="G44" s="10">
        <v>40.0</v>
      </c>
      <c r="H44" s="10" t="s">
        <v>25</v>
      </c>
      <c r="I44" s="10" t="s">
        <v>67</v>
      </c>
      <c r="J44" s="10" t="s">
        <v>37</v>
      </c>
      <c r="K44" s="10" t="s">
        <v>39</v>
      </c>
      <c r="L44" s="10">
        <v>9.5405277E9</v>
      </c>
      <c r="M44" s="10" t="s">
        <v>41</v>
      </c>
      <c r="N44" s="10" t="s">
        <v>775</v>
      </c>
      <c r="O44" s="9"/>
      <c r="P44" s="9"/>
      <c r="Q44" s="9"/>
      <c r="R44" s="9"/>
      <c r="S44" s="9"/>
      <c r="T44" s="9"/>
      <c r="U44" s="9"/>
      <c r="V44" s="9"/>
      <c r="W44" s="9"/>
      <c r="X44" s="9"/>
      <c r="Y44" s="9"/>
      <c r="Z44" s="9"/>
    </row>
    <row r="45">
      <c r="A45" s="10">
        <v>44.0</v>
      </c>
      <c r="B45" s="10" t="s">
        <v>779</v>
      </c>
      <c r="C45" s="17"/>
      <c r="D45" s="10" t="s">
        <v>21</v>
      </c>
      <c r="E45" s="10" t="s">
        <v>22</v>
      </c>
      <c r="F45" s="13">
        <v>44938.0</v>
      </c>
      <c r="G45" s="10">
        <v>245.0</v>
      </c>
      <c r="H45" s="10" t="s">
        <v>25</v>
      </c>
      <c r="I45" s="10" t="s">
        <v>782</v>
      </c>
      <c r="J45" s="10" t="s">
        <v>37</v>
      </c>
      <c r="K45" s="10" t="s">
        <v>39</v>
      </c>
      <c r="L45" s="10">
        <v>9.5405277E9</v>
      </c>
      <c r="M45" s="10" t="s">
        <v>41</v>
      </c>
      <c r="N45" s="10" t="s">
        <v>786</v>
      </c>
      <c r="O45" s="9"/>
      <c r="P45" s="9"/>
      <c r="Q45" s="9"/>
      <c r="R45" s="9"/>
      <c r="S45" s="9"/>
      <c r="T45" s="9"/>
      <c r="U45" s="9"/>
      <c r="V45" s="9"/>
      <c r="W45" s="9"/>
      <c r="X45" s="9"/>
      <c r="Y45" s="9"/>
      <c r="Z45" s="9"/>
    </row>
    <row r="46">
      <c r="A46" s="10">
        <v>45.0</v>
      </c>
      <c r="B46" s="10" t="s">
        <v>789</v>
      </c>
      <c r="C46" s="10" t="s">
        <v>789</v>
      </c>
      <c r="D46" s="10" t="s">
        <v>21</v>
      </c>
      <c r="E46" s="10" t="s">
        <v>22</v>
      </c>
      <c r="F46" s="13">
        <v>44938.0</v>
      </c>
      <c r="G46" s="10">
        <v>51.0</v>
      </c>
      <c r="H46" s="10" t="s">
        <v>25</v>
      </c>
      <c r="I46" s="10" t="s">
        <v>67</v>
      </c>
      <c r="J46" s="10" t="s">
        <v>37</v>
      </c>
      <c r="K46" s="10" t="s">
        <v>39</v>
      </c>
      <c r="L46" s="10">
        <v>9.5405277E9</v>
      </c>
      <c r="M46" s="10" t="s">
        <v>41</v>
      </c>
      <c r="N46" s="10" t="s">
        <v>793</v>
      </c>
      <c r="O46" s="9"/>
      <c r="P46" s="9"/>
      <c r="Q46" s="9"/>
      <c r="R46" s="9"/>
      <c r="S46" s="9"/>
      <c r="T46" s="9"/>
      <c r="U46" s="9"/>
      <c r="V46" s="9"/>
      <c r="W46" s="9"/>
      <c r="X46" s="9"/>
      <c r="Y46" s="9"/>
      <c r="Z46" s="9"/>
    </row>
    <row r="47">
      <c r="A47" s="10">
        <v>46.0</v>
      </c>
      <c r="B47" s="10" t="s">
        <v>798</v>
      </c>
      <c r="C47" s="38" t="s">
        <v>799</v>
      </c>
      <c r="D47" s="10" t="s">
        <v>21</v>
      </c>
      <c r="E47" s="10" t="s">
        <v>22</v>
      </c>
      <c r="F47" s="10" t="s">
        <v>802</v>
      </c>
      <c r="G47" s="10">
        <v>58.0</v>
      </c>
      <c r="H47" s="10" t="s">
        <v>25</v>
      </c>
      <c r="I47" s="10" t="s">
        <v>35</v>
      </c>
      <c r="J47" s="10" t="s">
        <v>37</v>
      </c>
      <c r="K47" s="10" t="s">
        <v>39</v>
      </c>
      <c r="L47" s="10">
        <v>9.5405277E9</v>
      </c>
      <c r="M47" s="10" t="s">
        <v>41</v>
      </c>
      <c r="N47" s="10" t="s">
        <v>806</v>
      </c>
      <c r="O47" s="9"/>
      <c r="P47" s="9"/>
      <c r="Q47" s="9"/>
      <c r="R47" s="9"/>
      <c r="S47" s="9"/>
      <c r="T47" s="9"/>
      <c r="U47" s="9"/>
      <c r="V47" s="9"/>
      <c r="W47" s="9"/>
      <c r="X47" s="9"/>
      <c r="Y47" s="9"/>
      <c r="Z47" s="9"/>
    </row>
    <row r="48">
      <c r="A48" s="10">
        <v>47.0</v>
      </c>
      <c r="B48" s="10" t="s">
        <v>809</v>
      </c>
      <c r="C48" s="38" t="s">
        <v>810</v>
      </c>
      <c r="D48" s="10" t="s">
        <v>21</v>
      </c>
      <c r="E48" s="10" t="s">
        <v>22</v>
      </c>
      <c r="F48" s="10" t="s">
        <v>811</v>
      </c>
      <c r="G48" s="10">
        <v>50.0</v>
      </c>
      <c r="H48" s="10" t="s">
        <v>25</v>
      </c>
      <c r="I48" s="10" t="s">
        <v>756</v>
      </c>
      <c r="J48" s="10" t="s">
        <v>37</v>
      </c>
      <c r="K48" s="10" t="s">
        <v>39</v>
      </c>
      <c r="L48" s="10">
        <v>9.5405277E9</v>
      </c>
      <c r="M48" s="10" t="s">
        <v>41</v>
      </c>
      <c r="N48" s="10" t="s">
        <v>817</v>
      </c>
      <c r="O48" s="9"/>
      <c r="P48" s="9"/>
      <c r="Q48" s="9"/>
      <c r="R48" s="9"/>
      <c r="S48" s="9"/>
      <c r="T48" s="9"/>
      <c r="U48" s="9"/>
      <c r="V48" s="9"/>
      <c r="W48" s="9"/>
      <c r="X48" s="9"/>
      <c r="Y48" s="9"/>
      <c r="Z48" s="9"/>
    </row>
    <row r="49">
      <c r="A49" s="10">
        <v>48.0</v>
      </c>
      <c r="B49" s="10" t="s">
        <v>821</v>
      </c>
      <c r="C49" s="38" t="s">
        <v>822</v>
      </c>
      <c r="D49" s="10" t="s">
        <v>21</v>
      </c>
      <c r="E49" s="10" t="s">
        <v>22</v>
      </c>
      <c r="F49" s="10" t="s">
        <v>811</v>
      </c>
      <c r="G49" s="10">
        <v>72.0</v>
      </c>
      <c r="H49" s="10" t="s">
        <v>25</v>
      </c>
      <c r="I49" s="10" t="s">
        <v>173</v>
      </c>
      <c r="J49" s="10" t="s">
        <v>37</v>
      </c>
      <c r="K49" s="10" t="s">
        <v>39</v>
      </c>
      <c r="L49" s="10">
        <v>9.5405277E9</v>
      </c>
      <c r="M49" s="10" t="s">
        <v>41</v>
      </c>
      <c r="N49" s="10" t="s">
        <v>825</v>
      </c>
      <c r="O49" s="9"/>
      <c r="P49" s="9"/>
      <c r="Q49" s="9"/>
      <c r="R49" s="9"/>
      <c r="S49" s="9"/>
      <c r="T49" s="9"/>
      <c r="U49" s="9"/>
      <c r="V49" s="9"/>
      <c r="W49" s="9"/>
      <c r="X49" s="9"/>
      <c r="Y49" s="9"/>
      <c r="Z49" s="9"/>
    </row>
    <row r="50">
      <c r="A50" s="10">
        <v>49.0</v>
      </c>
      <c r="B50" s="10" t="s">
        <v>821</v>
      </c>
      <c r="C50" s="38" t="s">
        <v>822</v>
      </c>
      <c r="D50" s="10" t="s">
        <v>21</v>
      </c>
      <c r="E50" s="10" t="s">
        <v>22</v>
      </c>
      <c r="F50" s="10" t="s">
        <v>831</v>
      </c>
      <c r="G50" s="10">
        <v>64.0</v>
      </c>
      <c r="H50" s="10" t="s">
        <v>25</v>
      </c>
      <c r="I50" s="10" t="s">
        <v>173</v>
      </c>
      <c r="J50" s="10" t="s">
        <v>37</v>
      </c>
      <c r="K50" s="10" t="s">
        <v>39</v>
      </c>
      <c r="L50" s="10">
        <v>9.5405277E9</v>
      </c>
      <c r="M50" s="10" t="s">
        <v>41</v>
      </c>
      <c r="N50" s="10" t="s">
        <v>834</v>
      </c>
      <c r="O50" s="9"/>
      <c r="P50" s="9"/>
      <c r="Q50" s="9"/>
      <c r="R50" s="9"/>
      <c r="S50" s="9"/>
      <c r="T50" s="9"/>
      <c r="U50" s="9"/>
      <c r="V50" s="9"/>
      <c r="W50" s="9"/>
      <c r="X50" s="9"/>
      <c r="Y50" s="9"/>
      <c r="Z50" s="9"/>
    </row>
    <row r="51">
      <c r="A51" s="10">
        <v>50.0</v>
      </c>
      <c r="B51" s="10" t="s">
        <v>836</v>
      </c>
      <c r="C51" s="38" t="s">
        <v>837</v>
      </c>
      <c r="D51" s="10" t="s">
        <v>21</v>
      </c>
      <c r="E51" s="10" t="s">
        <v>22</v>
      </c>
      <c r="F51" s="10" t="s">
        <v>839</v>
      </c>
      <c r="G51" s="10">
        <v>32.0</v>
      </c>
      <c r="H51" s="10" t="s">
        <v>25</v>
      </c>
      <c r="I51" s="10" t="s">
        <v>173</v>
      </c>
      <c r="J51" s="10" t="s">
        <v>37</v>
      </c>
      <c r="K51" s="10" t="s">
        <v>39</v>
      </c>
      <c r="L51" s="10">
        <v>9.5405277E9</v>
      </c>
      <c r="M51" s="10" t="s">
        <v>41</v>
      </c>
      <c r="N51" s="10" t="s">
        <v>842</v>
      </c>
      <c r="O51" s="9"/>
      <c r="P51" s="9"/>
      <c r="Q51" s="9"/>
      <c r="R51" s="9"/>
      <c r="S51" s="9"/>
      <c r="T51" s="9"/>
      <c r="U51" s="9"/>
      <c r="V51" s="9"/>
      <c r="W51" s="9"/>
      <c r="X51" s="9"/>
      <c r="Y51" s="9"/>
      <c r="Z51" s="9"/>
    </row>
    <row r="52">
      <c r="A52" s="10">
        <v>51.0</v>
      </c>
      <c r="B52" s="55" t="s">
        <v>847</v>
      </c>
      <c r="C52" s="38" t="s">
        <v>849</v>
      </c>
      <c r="D52" s="10" t="s">
        <v>21</v>
      </c>
      <c r="E52" s="10" t="s">
        <v>22</v>
      </c>
      <c r="F52" s="13">
        <v>45566.0</v>
      </c>
      <c r="G52" s="10">
        <v>72.0</v>
      </c>
      <c r="H52" s="10" t="s">
        <v>25</v>
      </c>
      <c r="I52" s="10" t="s">
        <v>35</v>
      </c>
      <c r="J52" s="10" t="s">
        <v>37</v>
      </c>
      <c r="K52" s="10" t="s">
        <v>39</v>
      </c>
      <c r="L52" s="10">
        <v>9.5405277E9</v>
      </c>
      <c r="M52" s="10" t="s">
        <v>41</v>
      </c>
      <c r="N52" s="10" t="s">
        <v>855</v>
      </c>
      <c r="O52" s="9"/>
      <c r="P52" s="9"/>
      <c r="Q52" s="9"/>
      <c r="R52" s="9"/>
      <c r="S52" s="9"/>
      <c r="T52" s="9"/>
      <c r="U52" s="9"/>
      <c r="V52" s="9"/>
      <c r="W52" s="9"/>
      <c r="X52" s="9"/>
      <c r="Y52" s="9"/>
      <c r="Z52" s="9"/>
    </row>
    <row r="53">
      <c r="A53" s="10">
        <v>52.0</v>
      </c>
      <c r="B53" s="55" t="s">
        <v>857</v>
      </c>
      <c r="C53" s="38" t="s">
        <v>858</v>
      </c>
      <c r="D53" s="10" t="s">
        <v>21</v>
      </c>
      <c r="E53" s="10" t="s">
        <v>860</v>
      </c>
      <c r="F53" s="13">
        <v>45597.0</v>
      </c>
      <c r="G53" s="10">
        <v>54.0</v>
      </c>
      <c r="H53" s="10" t="s">
        <v>25</v>
      </c>
      <c r="I53" s="10" t="s">
        <v>67</v>
      </c>
      <c r="J53" s="10" t="s">
        <v>37</v>
      </c>
      <c r="K53" s="10" t="s">
        <v>39</v>
      </c>
      <c r="L53" s="10">
        <v>9.5405277E9</v>
      </c>
      <c r="M53" s="10" t="s">
        <v>41</v>
      </c>
      <c r="N53" s="10" t="s">
        <v>864</v>
      </c>
      <c r="O53" s="9"/>
      <c r="P53" s="9"/>
      <c r="Q53" s="9"/>
      <c r="R53" s="9"/>
      <c r="S53" s="9"/>
      <c r="T53" s="9"/>
      <c r="U53" s="9"/>
      <c r="V53" s="9"/>
      <c r="W53" s="9"/>
      <c r="X53" s="9"/>
      <c r="Y53" s="9"/>
      <c r="Z53" s="9"/>
    </row>
    <row r="54">
      <c r="A54" s="10">
        <v>53.0</v>
      </c>
      <c r="B54" s="55" t="s">
        <v>866</v>
      </c>
      <c r="C54" s="38" t="s">
        <v>867</v>
      </c>
      <c r="D54" s="10" t="s">
        <v>21</v>
      </c>
      <c r="E54" s="10" t="s">
        <v>22</v>
      </c>
      <c r="F54" s="13">
        <v>45627.0</v>
      </c>
      <c r="G54" s="10">
        <v>79.0</v>
      </c>
      <c r="H54" s="10" t="s">
        <v>25</v>
      </c>
      <c r="I54" s="10" t="s">
        <v>173</v>
      </c>
      <c r="J54" s="10" t="s">
        <v>37</v>
      </c>
      <c r="K54" s="10" t="s">
        <v>39</v>
      </c>
      <c r="L54" s="10">
        <v>9.5405277E9</v>
      </c>
      <c r="M54" s="10" t="s">
        <v>41</v>
      </c>
      <c r="N54" s="10" t="s">
        <v>869</v>
      </c>
      <c r="O54" s="9"/>
      <c r="P54" s="9"/>
      <c r="Q54" s="9"/>
      <c r="R54" s="9"/>
      <c r="S54" s="9"/>
      <c r="T54" s="9"/>
      <c r="U54" s="9"/>
      <c r="V54" s="9"/>
      <c r="W54" s="9"/>
      <c r="X54" s="9"/>
      <c r="Y54" s="9"/>
      <c r="Z54" s="9"/>
    </row>
    <row r="55">
      <c r="A55" s="10">
        <v>54.0</v>
      </c>
      <c r="B55" s="55" t="s">
        <v>872</v>
      </c>
      <c r="C55" s="10" t="s">
        <v>874</v>
      </c>
      <c r="D55" s="10" t="s">
        <v>21</v>
      </c>
      <c r="E55" s="10" t="s">
        <v>860</v>
      </c>
      <c r="F55" s="10" t="s">
        <v>879</v>
      </c>
      <c r="G55" s="10">
        <v>31.0</v>
      </c>
      <c r="H55" s="10" t="s">
        <v>25</v>
      </c>
      <c r="I55" s="10" t="s">
        <v>67</v>
      </c>
      <c r="J55" s="10" t="s">
        <v>37</v>
      </c>
      <c r="K55" s="10" t="s">
        <v>39</v>
      </c>
      <c r="L55" s="10">
        <v>9.5405277E9</v>
      </c>
      <c r="M55" s="10" t="s">
        <v>41</v>
      </c>
      <c r="N55" s="10" t="s">
        <v>882</v>
      </c>
      <c r="O55" s="9"/>
      <c r="P55" s="9"/>
      <c r="Q55" s="9"/>
      <c r="R55" s="9"/>
      <c r="S55" s="9"/>
      <c r="T55" s="9"/>
      <c r="U55" s="9"/>
      <c r="V55" s="9"/>
      <c r="W55" s="9"/>
      <c r="X55" s="9"/>
      <c r="Y55" s="9"/>
      <c r="Z55" s="9"/>
    </row>
    <row r="56">
      <c r="A56" s="10">
        <v>55.0</v>
      </c>
      <c r="B56" s="55" t="s">
        <v>884</v>
      </c>
      <c r="C56" s="38" t="s">
        <v>885</v>
      </c>
      <c r="D56" s="10" t="s">
        <v>21</v>
      </c>
      <c r="E56" s="10" t="s">
        <v>22</v>
      </c>
      <c r="F56" s="10" t="s">
        <v>886</v>
      </c>
      <c r="G56" s="10">
        <v>67.0</v>
      </c>
      <c r="H56" s="10" t="s">
        <v>25</v>
      </c>
      <c r="I56" s="10" t="s">
        <v>35</v>
      </c>
      <c r="J56" s="10" t="s">
        <v>37</v>
      </c>
      <c r="K56" s="10" t="s">
        <v>39</v>
      </c>
      <c r="L56" s="10">
        <v>9.5405277E9</v>
      </c>
      <c r="M56" s="10" t="s">
        <v>41</v>
      </c>
      <c r="N56" s="10" t="s">
        <v>890</v>
      </c>
      <c r="O56" s="9"/>
      <c r="P56" s="9"/>
      <c r="Q56" s="9"/>
      <c r="R56" s="9"/>
      <c r="S56" s="9"/>
      <c r="T56" s="9"/>
      <c r="U56" s="9"/>
      <c r="V56" s="9"/>
      <c r="W56" s="9"/>
      <c r="X56" s="9"/>
      <c r="Y56" s="9"/>
      <c r="Z56" s="9"/>
    </row>
    <row r="57">
      <c r="A57" s="10">
        <v>56.0</v>
      </c>
      <c r="B57" s="55" t="s">
        <v>894</v>
      </c>
      <c r="C57" s="38" t="s">
        <v>496</v>
      </c>
      <c r="D57" s="10" t="s">
        <v>21</v>
      </c>
      <c r="E57" s="10" t="s">
        <v>22</v>
      </c>
      <c r="F57" s="10" t="s">
        <v>896</v>
      </c>
      <c r="G57" s="10">
        <v>83.0</v>
      </c>
      <c r="H57" s="10" t="s">
        <v>25</v>
      </c>
      <c r="I57" s="10" t="s">
        <v>35</v>
      </c>
      <c r="J57" s="10" t="s">
        <v>37</v>
      </c>
      <c r="K57" s="10" t="s">
        <v>39</v>
      </c>
      <c r="L57" s="10">
        <v>9.5405277E9</v>
      </c>
      <c r="M57" s="10" t="s">
        <v>41</v>
      </c>
      <c r="N57" s="10" t="s">
        <v>899</v>
      </c>
      <c r="O57" s="9"/>
      <c r="P57" s="9"/>
      <c r="Q57" s="9"/>
      <c r="R57" s="9"/>
      <c r="S57" s="9"/>
      <c r="T57" s="9"/>
      <c r="U57" s="9"/>
      <c r="V57" s="9"/>
      <c r="W57" s="9"/>
      <c r="X57" s="9"/>
      <c r="Y57" s="9"/>
      <c r="Z57" s="9"/>
    </row>
    <row r="58">
      <c r="A58" s="10">
        <v>57.0</v>
      </c>
      <c r="B58" s="61" t="s">
        <v>901</v>
      </c>
      <c r="C58" s="17"/>
      <c r="D58" s="10" t="s">
        <v>21</v>
      </c>
      <c r="E58" s="10" t="s">
        <v>22</v>
      </c>
      <c r="F58" s="13">
        <v>45293.0</v>
      </c>
      <c r="G58" s="10">
        <v>148.0</v>
      </c>
      <c r="H58" s="10" t="s">
        <v>25</v>
      </c>
      <c r="I58" s="10" t="s">
        <v>782</v>
      </c>
      <c r="J58" s="10" t="s">
        <v>37</v>
      </c>
      <c r="K58" s="10" t="s">
        <v>39</v>
      </c>
      <c r="L58" s="10">
        <v>9.5405277E9</v>
      </c>
      <c r="M58" s="10" t="s">
        <v>41</v>
      </c>
      <c r="N58" s="10" t="s">
        <v>910</v>
      </c>
      <c r="O58" s="9"/>
      <c r="P58" s="9"/>
      <c r="Q58" s="9"/>
      <c r="R58" s="9"/>
      <c r="S58" s="9"/>
      <c r="T58" s="9"/>
      <c r="U58" s="9"/>
      <c r="V58" s="9"/>
      <c r="W58" s="9"/>
      <c r="X58" s="9"/>
      <c r="Y58" s="9"/>
      <c r="Z58" s="9"/>
    </row>
    <row r="59">
      <c r="A59" s="10">
        <v>58.0</v>
      </c>
      <c r="B59" s="10" t="s">
        <v>914</v>
      </c>
      <c r="C59" s="38" t="s">
        <v>915</v>
      </c>
      <c r="D59" s="10" t="s">
        <v>21</v>
      </c>
      <c r="E59" s="10" t="s">
        <v>22</v>
      </c>
      <c r="F59" s="13">
        <v>45445.0</v>
      </c>
      <c r="G59" s="10">
        <v>80.0</v>
      </c>
      <c r="H59" s="10" t="s">
        <v>25</v>
      </c>
      <c r="I59" s="10" t="s">
        <v>35</v>
      </c>
      <c r="J59" s="10" t="s">
        <v>37</v>
      </c>
      <c r="K59" s="10" t="s">
        <v>39</v>
      </c>
      <c r="L59" s="10">
        <v>9.5405277E9</v>
      </c>
      <c r="M59" s="10" t="s">
        <v>41</v>
      </c>
      <c r="N59" s="10" t="s">
        <v>924</v>
      </c>
      <c r="O59" s="9"/>
      <c r="P59" s="9"/>
      <c r="Q59" s="9"/>
      <c r="R59" s="9"/>
      <c r="S59" s="9"/>
      <c r="T59" s="9"/>
      <c r="U59" s="9"/>
      <c r="V59" s="9"/>
      <c r="W59" s="9"/>
      <c r="X59" s="9"/>
      <c r="Y59" s="9"/>
      <c r="Z59" s="9"/>
    </row>
    <row r="60">
      <c r="A60" s="10">
        <v>59.0</v>
      </c>
      <c r="B60" s="61" t="s">
        <v>929</v>
      </c>
      <c r="C60" s="38" t="s">
        <v>548</v>
      </c>
      <c r="D60" s="10" t="s">
        <v>21</v>
      </c>
      <c r="E60" s="10" t="s">
        <v>22</v>
      </c>
      <c r="F60" s="62">
        <v>45371.0</v>
      </c>
      <c r="G60" s="10">
        <v>45.0</v>
      </c>
      <c r="H60" s="10" t="s">
        <v>25</v>
      </c>
      <c r="I60" s="10" t="s">
        <v>35</v>
      </c>
      <c r="J60" s="10" t="s">
        <v>37</v>
      </c>
      <c r="K60" s="10" t="s">
        <v>39</v>
      </c>
      <c r="L60" s="10">
        <v>9.5405277E9</v>
      </c>
      <c r="M60" s="10" t="s">
        <v>41</v>
      </c>
      <c r="N60" s="10" t="s">
        <v>932</v>
      </c>
      <c r="O60" s="9"/>
      <c r="P60" s="9"/>
      <c r="Q60" s="9"/>
      <c r="R60" s="9"/>
      <c r="S60" s="9"/>
      <c r="T60" s="9"/>
      <c r="U60" s="9"/>
      <c r="V60" s="9"/>
      <c r="W60" s="9"/>
      <c r="X60" s="9"/>
      <c r="Y60" s="9"/>
      <c r="Z60" s="9"/>
    </row>
    <row r="61">
      <c r="A61" s="10">
        <v>60.0</v>
      </c>
      <c r="B61" s="10" t="s">
        <v>937</v>
      </c>
      <c r="C61" s="10" t="s">
        <v>938</v>
      </c>
      <c r="D61" s="10" t="s">
        <v>21</v>
      </c>
      <c r="E61" s="10" t="s">
        <v>22</v>
      </c>
      <c r="F61" s="10" t="s">
        <v>940</v>
      </c>
      <c r="G61" s="10">
        <v>6.0</v>
      </c>
      <c r="H61" s="10" t="s">
        <v>25</v>
      </c>
      <c r="I61" s="10" t="s">
        <v>756</v>
      </c>
      <c r="J61" s="10" t="s">
        <v>37</v>
      </c>
      <c r="K61" s="10" t="s">
        <v>39</v>
      </c>
      <c r="L61" s="10">
        <v>9.5405277E9</v>
      </c>
      <c r="M61" s="10" t="s">
        <v>41</v>
      </c>
      <c r="N61" s="10" t="s">
        <v>946</v>
      </c>
      <c r="O61" s="9"/>
      <c r="P61" s="9"/>
      <c r="Q61" s="9"/>
      <c r="R61" s="9"/>
      <c r="S61" s="9"/>
      <c r="T61" s="9"/>
      <c r="U61" s="9"/>
      <c r="V61" s="9"/>
      <c r="W61" s="9"/>
      <c r="X61" s="9"/>
      <c r="Y61" s="9"/>
      <c r="Z61" s="9"/>
    </row>
    <row r="62">
      <c r="A62" s="10">
        <v>61.0</v>
      </c>
      <c r="B62" s="10" t="s">
        <v>948</v>
      </c>
      <c r="C62" s="38" t="s">
        <v>949</v>
      </c>
      <c r="D62" s="10" t="s">
        <v>21</v>
      </c>
      <c r="E62" s="10" t="s">
        <v>22</v>
      </c>
      <c r="F62" s="10" t="s">
        <v>950</v>
      </c>
      <c r="G62" s="10">
        <v>96.0</v>
      </c>
      <c r="H62" s="10" t="s">
        <v>25</v>
      </c>
      <c r="I62" s="10" t="s">
        <v>173</v>
      </c>
      <c r="J62" s="10" t="s">
        <v>37</v>
      </c>
      <c r="K62" s="10" t="s">
        <v>39</v>
      </c>
      <c r="L62" s="10">
        <v>9.5405277E9</v>
      </c>
      <c r="M62" s="10" t="s">
        <v>41</v>
      </c>
      <c r="N62" s="10" t="s">
        <v>951</v>
      </c>
      <c r="O62" s="9"/>
      <c r="P62" s="9"/>
      <c r="Q62" s="9"/>
      <c r="R62" s="9"/>
      <c r="S62" s="9"/>
      <c r="T62" s="9"/>
      <c r="U62" s="9"/>
      <c r="V62" s="9"/>
      <c r="W62" s="9"/>
      <c r="X62" s="9"/>
      <c r="Y62" s="9"/>
      <c r="Z62" s="9"/>
    </row>
    <row r="63">
      <c r="A63" s="10">
        <v>62.0</v>
      </c>
      <c r="B63" s="61" t="s">
        <v>872</v>
      </c>
      <c r="C63" s="10" t="s">
        <v>953</v>
      </c>
      <c r="D63" s="10" t="s">
        <v>21</v>
      </c>
      <c r="E63" s="10" t="s">
        <v>860</v>
      </c>
      <c r="F63" s="10" t="s">
        <v>955</v>
      </c>
      <c r="G63" s="10">
        <v>49.0</v>
      </c>
      <c r="H63" s="10" t="s">
        <v>25</v>
      </c>
      <c r="I63" s="10" t="s">
        <v>67</v>
      </c>
      <c r="J63" s="10" t="s">
        <v>37</v>
      </c>
      <c r="K63" s="10" t="s">
        <v>39</v>
      </c>
      <c r="L63" s="10">
        <v>9.5405277E9</v>
      </c>
      <c r="M63" s="10" t="s">
        <v>41</v>
      </c>
      <c r="N63" s="10" t="s">
        <v>961</v>
      </c>
      <c r="O63" s="9"/>
      <c r="P63" s="9"/>
      <c r="Q63" s="9"/>
      <c r="R63" s="9"/>
      <c r="S63" s="9"/>
      <c r="T63" s="9"/>
      <c r="U63" s="9"/>
      <c r="V63" s="9"/>
      <c r="W63" s="9"/>
      <c r="X63" s="9"/>
      <c r="Y63" s="9"/>
      <c r="Z63" s="9"/>
    </row>
    <row r="64">
      <c r="A64" s="10">
        <v>63.0</v>
      </c>
      <c r="B64" s="10" t="s">
        <v>964</v>
      </c>
      <c r="C64" s="38" t="s">
        <v>966</v>
      </c>
      <c r="D64" s="10" t="s">
        <v>21</v>
      </c>
      <c r="E64" s="10" t="s">
        <v>22</v>
      </c>
      <c r="F64" s="10" t="s">
        <v>967</v>
      </c>
      <c r="G64" s="10">
        <v>73.0</v>
      </c>
      <c r="H64" s="10" t="s">
        <v>25</v>
      </c>
      <c r="I64" s="10" t="s">
        <v>173</v>
      </c>
      <c r="J64" s="10" t="s">
        <v>37</v>
      </c>
      <c r="K64" s="10" t="s">
        <v>39</v>
      </c>
      <c r="L64" s="10">
        <v>9.5405277E9</v>
      </c>
      <c r="M64" s="10" t="s">
        <v>41</v>
      </c>
      <c r="N64" s="10" t="s">
        <v>968</v>
      </c>
      <c r="O64" s="9"/>
      <c r="P64" s="9"/>
      <c r="Q64" s="9"/>
      <c r="R64" s="9"/>
      <c r="S64" s="9"/>
      <c r="T64" s="9"/>
      <c r="U64" s="9"/>
      <c r="V64" s="9"/>
      <c r="W64" s="9"/>
      <c r="X64" s="9"/>
      <c r="Y64" s="9"/>
      <c r="Z64" s="9"/>
    </row>
    <row r="65">
      <c r="A65" s="10">
        <v>64.0</v>
      </c>
      <c r="B65" s="63" t="s">
        <v>872</v>
      </c>
      <c r="C65" s="64" t="s">
        <v>975</v>
      </c>
      <c r="D65" s="10" t="s">
        <v>21</v>
      </c>
      <c r="E65" s="10" t="s">
        <v>860</v>
      </c>
      <c r="F65" s="13">
        <v>45356.0</v>
      </c>
      <c r="G65" s="10">
        <v>46.0</v>
      </c>
      <c r="H65" s="10" t="s">
        <v>25</v>
      </c>
      <c r="I65" s="10" t="s">
        <v>67</v>
      </c>
      <c r="J65" s="10" t="s">
        <v>37</v>
      </c>
      <c r="K65" s="10" t="s">
        <v>39</v>
      </c>
      <c r="L65" s="10">
        <v>9.5405277E9</v>
      </c>
      <c r="M65" s="10" t="s">
        <v>41</v>
      </c>
      <c r="N65" s="10" t="s">
        <v>982</v>
      </c>
      <c r="O65" s="9"/>
      <c r="P65" s="9"/>
      <c r="Q65" s="9"/>
      <c r="R65" s="9"/>
      <c r="S65" s="9"/>
      <c r="T65" s="9"/>
      <c r="U65" s="9"/>
      <c r="V65" s="9"/>
      <c r="W65" s="9"/>
      <c r="X65" s="9"/>
      <c r="Y65" s="9"/>
      <c r="Z65" s="9"/>
    </row>
    <row r="66">
      <c r="A66" s="10">
        <v>65.0</v>
      </c>
      <c r="B66" s="43" t="s">
        <v>987</v>
      </c>
      <c r="C66" s="17"/>
      <c r="D66" s="10" t="s">
        <v>21</v>
      </c>
      <c r="E66" s="10" t="s">
        <v>22</v>
      </c>
      <c r="F66" s="10" t="s">
        <v>991</v>
      </c>
      <c r="G66" s="10">
        <v>490.0</v>
      </c>
      <c r="H66" s="10" t="s">
        <v>25</v>
      </c>
      <c r="I66" s="10" t="s">
        <v>782</v>
      </c>
      <c r="J66" s="10" t="s">
        <v>37</v>
      </c>
      <c r="K66" s="10" t="s">
        <v>39</v>
      </c>
      <c r="L66" s="10">
        <v>9.5405277E9</v>
      </c>
      <c r="M66" s="10" t="s">
        <v>41</v>
      </c>
      <c r="N66" s="10" t="s">
        <v>995</v>
      </c>
      <c r="O66" s="9"/>
      <c r="P66" s="9"/>
      <c r="Q66" s="9"/>
      <c r="R66" s="9"/>
      <c r="S66" s="9"/>
      <c r="T66" s="9"/>
      <c r="U66" s="9"/>
      <c r="V66" s="9"/>
      <c r="W66" s="9"/>
      <c r="X66" s="9"/>
      <c r="Y66" s="9"/>
      <c r="Z66" s="9"/>
    </row>
    <row r="67">
      <c r="A67" s="10">
        <v>66.0</v>
      </c>
      <c r="B67" s="43" t="s">
        <v>998</v>
      </c>
      <c r="C67" s="43" t="s">
        <v>998</v>
      </c>
      <c r="D67" s="10" t="s">
        <v>21</v>
      </c>
      <c r="E67" s="10" t="s">
        <v>22</v>
      </c>
      <c r="F67" s="10" t="s">
        <v>1001</v>
      </c>
      <c r="G67" s="10">
        <v>92.0</v>
      </c>
      <c r="H67" s="10" t="s">
        <v>25</v>
      </c>
      <c r="I67" s="10" t="s">
        <v>35</v>
      </c>
      <c r="J67" s="10" t="s">
        <v>37</v>
      </c>
      <c r="K67" s="10" t="s">
        <v>39</v>
      </c>
      <c r="L67" s="10">
        <v>9.5405277E9</v>
      </c>
      <c r="M67" s="10" t="s">
        <v>41</v>
      </c>
      <c r="N67" s="10" t="s">
        <v>1003</v>
      </c>
      <c r="O67" s="9"/>
      <c r="P67" s="9"/>
      <c r="Q67" s="9"/>
      <c r="R67" s="9"/>
      <c r="S67" s="9"/>
      <c r="T67" s="9"/>
      <c r="U67" s="9"/>
      <c r="V67" s="9"/>
      <c r="W67" s="9"/>
      <c r="X67" s="9"/>
      <c r="Y67" s="9"/>
      <c r="Z67" s="9"/>
    </row>
    <row r="68">
      <c r="A68" s="10">
        <v>67.0</v>
      </c>
      <c r="B68" s="10" t="s">
        <v>1005</v>
      </c>
      <c r="C68" s="38" t="s">
        <v>1006</v>
      </c>
      <c r="D68" s="10" t="s">
        <v>21</v>
      </c>
      <c r="E68" s="10" t="s">
        <v>22</v>
      </c>
      <c r="F68" s="10" t="s">
        <v>1008</v>
      </c>
      <c r="G68" s="10">
        <v>95.0</v>
      </c>
      <c r="H68" s="10" t="s">
        <v>25</v>
      </c>
      <c r="I68" s="10" t="s">
        <v>35</v>
      </c>
      <c r="J68" s="10" t="s">
        <v>37</v>
      </c>
      <c r="K68" s="10" t="s">
        <v>39</v>
      </c>
      <c r="L68" s="10">
        <v>9.5405277E9</v>
      </c>
      <c r="M68" s="10" t="s">
        <v>41</v>
      </c>
      <c r="N68" s="10" t="s">
        <v>1017</v>
      </c>
      <c r="O68" s="9"/>
      <c r="P68" s="9"/>
      <c r="Q68" s="9"/>
      <c r="R68" s="9"/>
      <c r="S68" s="9"/>
      <c r="T68" s="9"/>
      <c r="U68" s="9"/>
      <c r="V68" s="9"/>
      <c r="W68" s="9"/>
      <c r="X68" s="9"/>
      <c r="Y68" s="9"/>
      <c r="Z68" s="9"/>
    </row>
    <row r="69">
      <c r="A69" s="10">
        <v>68.0</v>
      </c>
      <c r="B69" s="10" t="s">
        <v>1025</v>
      </c>
      <c r="C69" s="38" t="s">
        <v>1026</v>
      </c>
      <c r="D69" s="10" t="s">
        <v>21</v>
      </c>
      <c r="E69" s="10" t="s">
        <v>22</v>
      </c>
      <c r="F69" s="10" t="s">
        <v>1027</v>
      </c>
      <c r="G69" s="10">
        <v>63.0</v>
      </c>
      <c r="H69" s="10" t="s">
        <v>25</v>
      </c>
      <c r="I69" s="10" t="s">
        <v>35</v>
      </c>
      <c r="J69" s="10" t="s">
        <v>37</v>
      </c>
      <c r="K69" s="10" t="s">
        <v>39</v>
      </c>
      <c r="L69" s="10">
        <v>9.5405277E9</v>
      </c>
      <c r="M69" s="10" t="s">
        <v>41</v>
      </c>
      <c r="N69" s="10" t="s">
        <v>1035</v>
      </c>
      <c r="O69" s="9"/>
      <c r="P69" s="9"/>
      <c r="Q69" s="9"/>
      <c r="R69" s="9"/>
      <c r="S69" s="9"/>
      <c r="T69" s="9"/>
      <c r="U69" s="9"/>
      <c r="V69" s="9"/>
      <c r="W69" s="9"/>
      <c r="X69" s="9"/>
      <c r="Y69" s="9"/>
      <c r="Z69" s="9"/>
    </row>
    <row r="70">
      <c r="A70" s="10">
        <v>69.0</v>
      </c>
      <c r="B70" s="10" t="s">
        <v>1042</v>
      </c>
      <c r="C70" s="10" t="s">
        <v>1044</v>
      </c>
      <c r="D70" s="10" t="s">
        <v>21</v>
      </c>
      <c r="E70" s="10" t="s">
        <v>22</v>
      </c>
      <c r="F70" s="10" t="s">
        <v>1047</v>
      </c>
      <c r="G70" s="10">
        <v>1400.0</v>
      </c>
      <c r="H70" s="10" t="s">
        <v>25</v>
      </c>
      <c r="I70" s="10" t="s">
        <v>35</v>
      </c>
      <c r="J70" s="10" t="s">
        <v>37</v>
      </c>
      <c r="K70" s="10" t="s">
        <v>39</v>
      </c>
      <c r="L70" s="10">
        <v>9.5405277E9</v>
      </c>
      <c r="M70" s="10" t="s">
        <v>41</v>
      </c>
      <c r="N70" s="10" t="s">
        <v>1054</v>
      </c>
      <c r="O70" s="9"/>
      <c r="P70" s="9"/>
      <c r="Q70" s="9"/>
      <c r="R70" s="9"/>
      <c r="S70" s="9"/>
      <c r="T70" s="9"/>
      <c r="U70" s="9"/>
      <c r="V70" s="9"/>
      <c r="W70" s="9"/>
      <c r="X70" s="9"/>
      <c r="Y70" s="9"/>
      <c r="Z70" s="9"/>
    </row>
    <row r="71">
      <c r="A71" s="10">
        <v>70.0</v>
      </c>
      <c r="B71" s="55" t="s">
        <v>1059</v>
      </c>
      <c r="C71" s="38" t="s">
        <v>1060</v>
      </c>
      <c r="D71" s="10" t="s">
        <v>21</v>
      </c>
      <c r="E71" s="10" t="s">
        <v>22</v>
      </c>
      <c r="F71" s="13">
        <v>45357.0</v>
      </c>
      <c r="G71" s="10">
        <v>63.0</v>
      </c>
      <c r="H71" s="10" t="s">
        <v>25</v>
      </c>
      <c r="I71" s="10" t="s">
        <v>35</v>
      </c>
      <c r="J71" s="10" t="s">
        <v>37</v>
      </c>
      <c r="K71" s="10" t="s">
        <v>39</v>
      </c>
      <c r="L71" s="10">
        <v>9.5405277E9</v>
      </c>
      <c r="M71" s="10" t="s">
        <v>41</v>
      </c>
      <c r="N71" s="10" t="s">
        <v>1063</v>
      </c>
      <c r="O71" s="9"/>
      <c r="P71" s="9"/>
      <c r="Q71" s="9"/>
      <c r="R71" s="9"/>
      <c r="S71" s="9"/>
      <c r="T71" s="9"/>
      <c r="U71" s="9"/>
      <c r="V71" s="9"/>
      <c r="W71" s="9"/>
      <c r="X71" s="9"/>
      <c r="Y71" s="9"/>
      <c r="Z71" s="9"/>
    </row>
    <row r="72">
      <c r="A72" s="10">
        <v>71.0</v>
      </c>
      <c r="B72" s="61" t="s">
        <v>1069</v>
      </c>
      <c r="C72" s="38" t="s">
        <v>1071</v>
      </c>
      <c r="D72" s="10" t="s">
        <v>21</v>
      </c>
      <c r="E72" s="10" t="s">
        <v>22</v>
      </c>
      <c r="F72" s="10" t="s">
        <v>1073</v>
      </c>
      <c r="G72" s="10">
        <v>69.0</v>
      </c>
      <c r="H72" s="10" t="s">
        <v>25</v>
      </c>
      <c r="I72" s="10" t="s">
        <v>475</v>
      </c>
      <c r="J72" s="10" t="s">
        <v>37</v>
      </c>
      <c r="K72" s="10" t="s">
        <v>39</v>
      </c>
      <c r="L72" s="10">
        <v>9.5405277E9</v>
      </c>
      <c r="M72" s="10" t="s">
        <v>41</v>
      </c>
      <c r="N72" s="10" t="s">
        <v>1077</v>
      </c>
      <c r="O72" s="9"/>
      <c r="P72" s="9"/>
      <c r="Q72" s="9"/>
      <c r="R72" s="9"/>
      <c r="S72" s="9"/>
      <c r="T72" s="9"/>
      <c r="U72" s="9"/>
      <c r="V72" s="9"/>
      <c r="W72" s="9"/>
      <c r="X72" s="9"/>
      <c r="Y72" s="9"/>
      <c r="Z72" s="9"/>
    </row>
    <row r="73">
      <c r="A73" s="10">
        <v>72.0</v>
      </c>
      <c r="B73" s="55" t="s">
        <v>1080</v>
      </c>
      <c r="C73" s="17"/>
      <c r="D73" s="10" t="s">
        <v>21</v>
      </c>
      <c r="E73" s="10" t="s">
        <v>22</v>
      </c>
      <c r="F73" s="10" t="s">
        <v>1081</v>
      </c>
      <c r="G73" s="10">
        <v>63.0</v>
      </c>
      <c r="H73" s="10" t="s">
        <v>25</v>
      </c>
      <c r="I73" s="10" t="s">
        <v>782</v>
      </c>
      <c r="J73" s="10" t="s">
        <v>37</v>
      </c>
      <c r="K73" s="10" t="s">
        <v>39</v>
      </c>
      <c r="L73" s="10">
        <v>9.5405277E9</v>
      </c>
      <c r="M73" s="10" t="s">
        <v>41</v>
      </c>
      <c r="N73" s="10" t="s">
        <v>1086</v>
      </c>
      <c r="O73" s="9"/>
      <c r="P73" s="9"/>
      <c r="Q73" s="9"/>
      <c r="R73" s="9"/>
      <c r="S73" s="9"/>
      <c r="T73" s="9"/>
      <c r="U73" s="9"/>
      <c r="V73" s="9"/>
      <c r="W73" s="9"/>
      <c r="X73" s="9"/>
      <c r="Y73" s="9"/>
      <c r="Z73" s="9"/>
    </row>
    <row r="74">
      <c r="A74" s="10">
        <v>73.0</v>
      </c>
      <c r="B74" s="38" t="s">
        <v>1091</v>
      </c>
      <c r="C74" s="38" t="s">
        <v>1093</v>
      </c>
      <c r="D74" s="10" t="s">
        <v>21</v>
      </c>
      <c r="E74" s="10" t="s">
        <v>22</v>
      </c>
      <c r="F74" s="10" t="s">
        <v>1094</v>
      </c>
      <c r="G74" s="10">
        <v>133.0</v>
      </c>
      <c r="H74" s="10" t="s">
        <v>25</v>
      </c>
      <c r="I74" s="10" t="s">
        <v>35</v>
      </c>
      <c r="J74" s="10" t="s">
        <v>37</v>
      </c>
      <c r="K74" s="10" t="s">
        <v>39</v>
      </c>
      <c r="L74" s="10">
        <v>9.5405277E9</v>
      </c>
      <c r="M74" s="10" t="s">
        <v>41</v>
      </c>
      <c r="N74" s="10" t="s">
        <v>1100</v>
      </c>
      <c r="O74" s="9"/>
      <c r="P74" s="9"/>
      <c r="Q74" s="9"/>
      <c r="R74" s="9"/>
      <c r="S74" s="9"/>
      <c r="T74" s="9"/>
      <c r="U74" s="9"/>
      <c r="V74" s="9"/>
      <c r="W74" s="9"/>
      <c r="X74" s="9"/>
      <c r="Y74" s="9"/>
      <c r="Z74" s="9"/>
    </row>
    <row r="75">
      <c r="A75" s="10">
        <v>74.0</v>
      </c>
      <c r="B75" s="55" t="s">
        <v>1102</v>
      </c>
      <c r="C75" s="55" t="s">
        <v>1102</v>
      </c>
      <c r="D75" s="10" t="s">
        <v>21</v>
      </c>
      <c r="E75" s="10" t="s">
        <v>22</v>
      </c>
      <c r="F75" s="13">
        <v>45389.0</v>
      </c>
      <c r="G75" s="10">
        <v>34.0</v>
      </c>
      <c r="H75" s="10" t="s">
        <v>25</v>
      </c>
      <c r="I75" s="10" t="s">
        <v>35</v>
      </c>
      <c r="J75" s="10" t="s">
        <v>37</v>
      </c>
      <c r="K75" s="10" t="s">
        <v>39</v>
      </c>
      <c r="L75" s="10">
        <v>9.5405277E9</v>
      </c>
      <c r="M75" s="10" t="s">
        <v>41</v>
      </c>
      <c r="N75" s="10" t="s">
        <v>1103</v>
      </c>
      <c r="O75" s="9"/>
      <c r="P75" s="9"/>
      <c r="Q75" s="9"/>
      <c r="R75" s="9"/>
      <c r="S75" s="9"/>
      <c r="T75" s="9"/>
      <c r="U75" s="9"/>
      <c r="V75" s="9"/>
      <c r="W75" s="9"/>
      <c r="X75" s="9"/>
      <c r="Y75" s="9"/>
      <c r="Z75" s="9"/>
    </row>
    <row r="76">
      <c r="A76" s="10">
        <v>75.0</v>
      </c>
      <c r="B76" s="55" t="s">
        <v>1105</v>
      </c>
      <c r="C76" s="38" t="s">
        <v>1107</v>
      </c>
      <c r="D76" s="10" t="s">
        <v>21</v>
      </c>
      <c r="E76" s="10" t="s">
        <v>22</v>
      </c>
      <c r="F76" s="13">
        <v>45572.0</v>
      </c>
      <c r="G76" s="10">
        <v>126.0</v>
      </c>
      <c r="H76" s="10" t="s">
        <v>25</v>
      </c>
      <c r="I76" s="10" t="s">
        <v>35</v>
      </c>
      <c r="J76" s="10" t="s">
        <v>37</v>
      </c>
      <c r="K76" s="10" t="s">
        <v>39</v>
      </c>
      <c r="L76" s="10">
        <v>9.5405277E9</v>
      </c>
      <c r="M76" s="10" t="s">
        <v>41</v>
      </c>
      <c r="N76" s="10" t="s">
        <v>1116</v>
      </c>
      <c r="O76" s="9"/>
      <c r="P76" s="9"/>
      <c r="Q76" s="9"/>
      <c r="R76" s="9"/>
      <c r="S76" s="9"/>
      <c r="T76" s="9"/>
      <c r="U76" s="9"/>
      <c r="V76" s="9"/>
      <c r="W76" s="9"/>
      <c r="X76" s="9"/>
      <c r="Y76" s="9"/>
      <c r="Z76" s="9"/>
    </row>
    <row r="77">
      <c r="A77" s="10">
        <v>76.0</v>
      </c>
      <c r="B77" s="38" t="s">
        <v>1120</v>
      </c>
      <c r="C77" s="38" t="s">
        <v>1121</v>
      </c>
      <c r="D77" s="10" t="s">
        <v>21</v>
      </c>
      <c r="E77" s="10" t="s">
        <v>22</v>
      </c>
      <c r="F77" s="10" t="s">
        <v>1123</v>
      </c>
      <c r="G77" s="10">
        <v>20.0</v>
      </c>
      <c r="H77" s="10" t="s">
        <v>25</v>
      </c>
      <c r="I77" s="10" t="s">
        <v>35</v>
      </c>
      <c r="J77" s="10" t="s">
        <v>37</v>
      </c>
      <c r="K77" s="10" t="s">
        <v>39</v>
      </c>
      <c r="L77" s="10">
        <v>9.5405277E9</v>
      </c>
      <c r="M77" s="10" t="s">
        <v>41</v>
      </c>
      <c r="N77" s="10" t="s">
        <v>1127</v>
      </c>
      <c r="O77" s="9"/>
      <c r="P77" s="9"/>
      <c r="Q77" s="9"/>
      <c r="R77" s="9"/>
      <c r="S77" s="9"/>
      <c r="T77" s="9"/>
      <c r="U77" s="9"/>
      <c r="V77" s="9"/>
      <c r="W77" s="9"/>
      <c r="X77" s="9"/>
      <c r="Y77" s="9"/>
      <c r="Z77" s="9"/>
    </row>
    <row r="78">
      <c r="A78" s="10">
        <v>77.0</v>
      </c>
      <c r="B78" s="69" t="s">
        <v>1132</v>
      </c>
      <c r="C78" s="17"/>
      <c r="D78" s="10" t="s">
        <v>21</v>
      </c>
      <c r="E78" s="10" t="s">
        <v>22</v>
      </c>
      <c r="F78" s="10" t="s">
        <v>1140</v>
      </c>
      <c r="G78" s="10">
        <v>818.0</v>
      </c>
      <c r="H78" s="10" t="s">
        <v>25</v>
      </c>
      <c r="I78" s="10" t="s">
        <v>756</v>
      </c>
      <c r="J78" s="10" t="s">
        <v>37</v>
      </c>
      <c r="K78" s="10" t="s">
        <v>39</v>
      </c>
      <c r="L78" s="10">
        <v>9.5405277E9</v>
      </c>
      <c r="M78" s="10" t="s">
        <v>41</v>
      </c>
      <c r="N78" s="10" t="s">
        <v>1143</v>
      </c>
      <c r="O78" s="9"/>
      <c r="P78" s="9"/>
      <c r="Q78" s="9"/>
      <c r="R78" s="9"/>
      <c r="S78" s="9"/>
      <c r="T78" s="9"/>
      <c r="U78" s="9"/>
      <c r="V78" s="9"/>
      <c r="W78" s="9"/>
      <c r="X78" s="9"/>
      <c r="Y78" s="9"/>
      <c r="Z78" s="9"/>
    </row>
    <row r="79">
      <c r="A79" s="10">
        <v>78.0</v>
      </c>
      <c r="B79" s="55" t="s">
        <v>1147</v>
      </c>
      <c r="C79" s="55" t="s">
        <v>1147</v>
      </c>
      <c r="D79" s="10" t="s">
        <v>21</v>
      </c>
      <c r="E79" s="10" t="s">
        <v>22</v>
      </c>
      <c r="F79" s="10" t="s">
        <v>1153</v>
      </c>
      <c r="G79" s="10">
        <v>54.0</v>
      </c>
      <c r="H79" s="10" t="s">
        <v>25</v>
      </c>
      <c r="I79" s="10" t="s">
        <v>1156</v>
      </c>
      <c r="J79" s="10" t="s">
        <v>37</v>
      </c>
      <c r="K79" s="10" t="s">
        <v>39</v>
      </c>
      <c r="L79" s="10">
        <v>9.5405277E9</v>
      </c>
      <c r="M79" s="10" t="s">
        <v>41</v>
      </c>
      <c r="N79" s="10" t="s">
        <v>1159</v>
      </c>
      <c r="O79" s="9"/>
      <c r="P79" s="9"/>
      <c r="Q79" s="9"/>
      <c r="R79" s="9"/>
      <c r="S79" s="9"/>
      <c r="T79" s="9"/>
      <c r="U79" s="9"/>
      <c r="V79" s="9"/>
      <c r="W79" s="9"/>
      <c r="X79" s="9"/>
      <c r="Y79" s="9"/>
      <c r="Z79" s="9"/>
    </row>
    <row r="80">
      <c r="A80" s="10">
        <v>79.0</v>
      </c>
      <c r="B80" s="38" t="s">
        <v>1163</v>
      </c>
      <c r="C80" s="38" t="s">
        <v>1165</v>
      </c>
      <c r="D80" s="10" t="s">
        <v>21</v>
      </c>
      <c r="E80" s="10" t="s">
        <v>22</v>
      </c>
      <c r="F80" s="10" t="s">
        <v>1166</v>
      </c>
      <c r="G80" s="10">
        <v>50.0</v>
      </c>
      <c r="H80" s="10" t="s">
        <v>25</v>
      </c>
      <c r="I80" s="10" t="s">
        <v>173</v>
      </c>
      <c r="J80" s="10" t="s">
        <v>37</v>
      </c>
      <c r="K80" s="10" t="s">
        <v>39</v>
      </c>
      <c r="L80" s="10">
        <v>9.5405277E9</v>
      </c>
      <c r="M80" s="10" t="s">
        <v>41</v>
      </c>
      <c r="N80" s="10" t="s">
        <v>1171</v>
      </c>
      <c r="O80" s="9"/>
      <c r="P80" s="9"/>
      <c r="Q80" s="9"/>
      <c r="R80" s="9"/>
      <c r="S80" s="9"/>
      <c r="T80" s="9"/>
      <c r="U80" s="9"/>
      <c r="V80" s="9"/>
      <c r="W80" s="9"/>
      <c r="X80" s="9"/>
      <c r="Y80" s="9"/>
      <c r="Z80" s="9"/>
    </row>
    <row r="81">
      <c r="A81" s="10">
        <v>80.0</v>
      </c>
      <c r="B81" s="38" t="s">
        <v>1176</v>
      </c>
      <c r="C81" s="10" t="s">
        <v>1177</v>
      </c>
      <c r="D81" s="10" t="s">
        <v>21</v>
      </c>
      <c r="E81" s="10" t="s">
        <v>860</v>
      </c>
      <c r="F81" s="10" t="s">
        <v>1178</v>
      </c>
      <c r="G81" s="10">
        <v>50.0</v>
      </c>
      <c r="H81" s="10" t="s">
        <v>25</v>
      </c>
      <c r="I81" s="10" t="s">
        <v>1182</v>
      </c>
      <c r="J81" s="10" t="s">
        <v>37</v>
      </c>
      <c r="K81" s="10" t="s">
        <v>39</v>
      </c>
      <c r="L81" s="10">
        <v>9.5405277E9</v>
      </c>
      <c r="M81" s="10" t="s">
        <v>41</v>
      </c>
      <c r="N81" s="10" t="s">
        <v>1187</v>
      </c>
      <c r="O81" s="9"/>
      <c r="P81" s="9"/>
      <c r="Q81" s="9"/>
      <c r="R81" s="9"/>
      <c r="S81" s="9"/>
      <c r="T81" s="9"/>
      <c r="U81" s="9"/>
      <c r="V81" s="9"/>
      <c r="W81" s="9"/>
      <c r="X81" s="9"/>
      <c r="Y81" s="9"/>
      <c r="Z81" s="9"/>
    </row>
    <row r="82">
      <c r="A82" s="71">
        <v>81.0</v>
      </c>
      <c r="B82" s="72" t="s">
        <v>1190</v>
      </c>
      <c r="C82" s="72" t="s">
        <v>1194</v>
      </c>
      <c r="D82" s="71" t="s">
        <v>21</v>
      </c>
      <c r="E82" s="71" t="s">
        <v>22</v>
      </c>
      <c r="F82" s="71" t="s">
        <v>1196</v>
      </c>
      <c r="G82" s="71">
        <v>71.0</v>
      </c>
      <c r="H82" s="71" t="s">
        <v>25</v>
      </c>
      <c r="I82" s="71" t="s">
        <v>35</v>
      </c>
      <c r="J82" s="71" t="s">
        <v>37</v>
      </c>
      <c r="K82" s="71" t="s">
        <v>39</v>
      </c>
      <c r="L82" s="71">
        <v>9.5405277E9</v>
      </c>
      <c r="M82" s="71" t="s">
        <v>41</v>
      </c>
      <c r="N82" s="71" t="s">
        <v>1198</v>
      </c>
      <c r="O82" s="9"/>
      <c r="P82" s="9"/>
      <c r="Q82" s="9"/>
      <c r="R82" s="9"/>
      <c r="S82" s="9"/>
      <c r="T82" s="9"/>
      <c r="U82" s="9"/>
      <c r="V82" s="9"/>
      <c r="W82" s="9"/>
      <c r="X82" s="9"/>
      <c r="Y82" s="9"/>
      <c r="Z82" s="9"/>
    </row>
    <row r="83">
      <c r="A83" s="10">
        <v>82.0</v>
      </c>
      <c r="B83" s="55" t="s">
        <v>1202</v>
      </c>
      <c r="C83" s="10" t="s">
        <v>1203</v>
      </c>
      <c r="D83" s="10" t="s">
        <v>21</v>
      </c>
      <c r="E83" s="10" t="s">
        <v>22</v>
      </c>
      <c r="F83" s="73">
        <v>45580.0</v>
      </c>
      <c r="G83" s="55">
        <v>65.0</v>
      </c>
      <c r="H83" s="71" t="s">
        <v>25</v>
      </c>
      <c r="I83" s="17"/>
      <c r="J83" s="71" t="s">
        <v>37</v>
      </c>
      <c r="K83" s="71" t="s">
        <v>39</v>
      </c>
      <c r="L83" s="71">
        <v>9.5405277E9</v>
      </c>
      <c r="M83" s="71" t="s">
        <v>41</v>
      </c>
      <c r="N83" s="10" t="s">
        <v>1207</v>
      </c>
      <c r="O83" s="9"/>
      <c r="P83" s="9"/>
      <c r="Q83" s="9"/>
      <c r="R83" s="9"/>
      <c r="S83" s="9"/>
      <c r="T83" s="9"/>
      <c r="U83" s="9"/>
      <c r="V83" s="9"/>
      <c r="W83" s="9"/>
      <c r="X83" s="9"/>
      <c r="Y83" s="9"/>
      <c r="Z83" s="9"/>
    </row>
    <row r="84">
      <c r="A84" s="74">
        <v>84.0</v>
      </c>
      <c r="B84" s="75" t="s">
        <v>1208</v>
      </c>
      <c r="C84" s="74" t="s">
        <v>1209</v>
      </c>
      <c r="D84" s="74" t="s">
        <v>21</v>
      </c>
      <c r="E84" s="74" t="s">
        <v>22</v>
      </c>
      <c r="F84" s="76">
        <v>45608.0</v>
      </c>
      <c r="G84" s="75">
        <v>71.0</v>
      </c>
      <c r="H84" s="74" t="s">
        <v>25</v>
      </c>
      <c r="I84" s="17"/>
      <c r="J84" s="78" t="s">
        <v>37</v>
      </c>
      <c r="K84" s="78" t="s">
        <v>39</v>
      </c>
      <c r="L84" s="78">
        <v>9.5405277E9</v>
      </c>
      <c r="M84" s="78" t="s">
        <v>41</v>
      </c>
      <c r="N84" s="17"/>
      <c r="O84" s="9"/>
      <c r="P84" s="9"/>
      <c r="Q84" s="9"/>
      <c r="R84" s="9"/>
      <c r="S84" s="9"/>
      <c r="T84" s="9"/>
      <c r="U84" s="9"/>
      <c r="V84" s="9"/>
      <c r="W84" s="9"/>
      <c r="X84" s="9"/>
      <c r="Y84" s="9"/>
      <c r="Z84" s="9"/>
    </row>
    <row r="85">
      <c r="A85" s="74">
        <v>85.0</v>
      </c>
      <c r="B85" s="75" t="s">
        <v>1219</v>
      </c>
      <c r="C85" s="74" t="s">
        <v>1221</v>
      </c>
      <c r="D85" s="74" t="s">
        <v>21</v>
      </c>
      <c r="E85" s="74" t="s">
        <v>22</v>
      </c>
      <c r="F85" s="76">
        <v>45615.0</v>
      </c>
      <c r="G85" s="75">
        <v>76.0</v>
      </c>
      <c r="H85" s="74" t="s">
        <v>25</v>
      </c>
      <c r="I85" s="17"/>
      <c r="J85" s="78" t="s">
        <v>37</v>
      </c>
      <c r="K85" s="78" t="s">
        <v>39</v>
      </c>
      <c r="L85" s="78">
        <v>9.5405277E9</v>
      </c>
      <c r="M85" s="78" t="s">
        <v>41</v>
      </c>
      <c r="N85" s="17" t="s">
        <v>1223</v>
      </c>
      <c r="O85" s="9"/>
      <c r="P85" s="9"/>
      <c r="Q85" s="9"/>
      <c r="R85" s="9"/>
      <c r="S85" s="9"/>
      <c r="T85" s="9"/>
      <c r="U85" s="9"/>
      <c r="V85" s="9"/>
      <c r="W85" s="9"/>
      <c r="X85" s="9"/>
      <c r="Y85" s="9"/>
      <c r="Z85" s="9"/>
    </row>
    <row r="86">
      <c r="A86" s="74">
        <v>86.0</v>
      </c>
      <c r="B86" s="75" t="s">
        <v>1229</v>
      </c>
      <c r="C86" s="74" t="s">
        <v>1231</v>
      </c>
      <c r="D86" s="74" t="s">
        <v>21</v>
      </c>
      <c r="E86" s="74" t="s">
        <v>22</v>
      </c>
      <c r="F86" s="76">
        <v>45618.0</v>
      </c>
      <c r="G86" s="75">
        <v>66.0</v>
      </c>
      <c r="H86" s="74" t="s">
        <v>25</v>
      </c>
      <c r="I86" s="17"/>
      <c r="J86" s="78" t="s">
        <v>37</v>
      </c>
      <c r="K86" s="78" t="s">
        <v>39</v>
      </c>
      <c r="L86" s="78">
        <v>9.5405277E9</v>
      </c>
      <c r="M86" s="78" t="s">
        <v>41</v>
      </c>
      <c r="N86" s="17" t="s">
        <v>1237</v>
      </c>
      <c r="O86" s="9"/>
      <c r="P86" s="9"/>
      <c r="Q86" s="9"/>
      <c r="R86" s="9"/>
      <c r="S86" s="9"/>
      <c r="T86" s="9"/>
      <c r="U86" s="9"/>
      <c r="V86" s="9"/>
      <c r="W86" s="9"/>
      <c r="X86" s="9"/>
      <c r="Y86" s="9"/>
      <c r="Z86" s="9"/>
    </row>
    <row r="87">
      <c r="A87" s="74">
        <v>87.0</v>
      </c>
      <c r="B87" s="75" t="s">
        <v>1239</v>
      </c>
      <c r="C87" s="74" t="s">
        <v>1240</v>
      </c>
      <c r="D87" s="74" t="s">
        <v>21</v>
      </c>
      <c r="E87" s="74" t="s">
        <v>22</v>
      </c>
      <c r="F87" s="76">
        <v>45628.0</v>
      </c>
      <c r="G87" s="75">
        <v>67.0</v>
      </c>
      <c r="H87" s="74" t="s">
        <v>25</v>
      </c>
      <c r="I87" s="17"/>
      <c r="J87" s="78" t="s">
        <v>37</v>
      </c>
      <c r="K87" s="78" t="s">
        <v>39</v>
      </c>
      <c r="L87" s="78">
        <v>9.5405277E9</v>
      </c>
      <c r="M87" s="78" t="s">
        <v>41</v>
      </c>
      <c r="N87" s="17"/>
      <c r="O87" s="9"/>
      <c r="P87" s="9"/>
      <c r="Q87" s="9"/>
      <c r="R87" s="9"/>
      <c r="S87" s="9"/>
      <c r="T87" s="9"/>
      <c r="U87" s="9"/>
      <c r="V87" s="9"/>
      <c r="W87" s="9"/>
      <c r="X87" s="9"/>
      <c r="Y87" s="9"/>
      <c r="Z87" s="9"/>
    </row>
    <row r="88">
      <c r="A88" s="74">
        <v>88.0</v>
      </c>
      <c r="B88" s="75" t="s">
        <v>1251</v>
      </c>
      <c r="C88" s="74" t="s">
        <v>1252</v>
      </c>
      <c r="D88" s="74" t="s">
        <v>21</v>
      </c>
      <c r="E88" s="74" t="s">
        <v>22</v>
      </c>
      <c r="F88" s="76">
        <v>45644.0</v>
      </c>
      <c r="G88" s="75">
        <v>66.0</v>
      </c>
      <c r="H88" s="74" t="s">
        <v>25</v>
      </c>
      <c r="I88" s="17"/>
      <c r="J88" s="78" t="s">
        <v>37</v>
      </c>
      <c r="K88" s="78" t="s">
        <v>39</v>
      </c>
      <c r="L88" s="78">
        <v>9.5405277E9</v>
      </c>
      <c r="M88" s="78" t="s">
        <v>41</v>
      </c>
      <c r="N88" s="31" t="s">
        <v>1256</v>
      </c>
      <c r="O88" s="9"/>
      <c r="P88" s="9"/>
      <c r="Q88" s="9"/>
      <c r="R88" s="9"/>
      <c r="S88" s="9"/>
      <c r="T88" s="9"/>
      <c r="U88" s="9"/>
      <c r="V88" s="9"/>
      <c r="W88" s="9"/>
      <c r="X88" s="9"/>
      <c r="Y88" s="9"/>
      <c r="Z88" s="9"/>
    </row>
    <row r="89">
      <c r="A89" s="74">
        <v>89.0</v>
      </c>
      <c r="B89" s="75" t="s">
        <v>847</v>
      </c>
      <c r="C89" s="74" t="s">
        <v>849</v>
      </c>
      <c r="D89" s="74" t="s">
        <v>21</v>
      </c>
      <c r="E89" s="74" t="s">
        <v>22</v>
      </c>
      <c r="F89" s="76">
        <v>45653.0</v>
      </c>
      <c r="G89" s="75">
        <v>71.0</v>
      </c>
      <c r="H89" s="74" t="s">
        <v>25</v>
      </c>
      <c r="I89" s="17"/>
      <c r="J89" s="78" t="s">
        <v>37</v>
      </c>
      <c r="K89" s="78" t="s">
        <v>39</v>
      </c>
      <c r="L89" s="78">
        <v>9.5405277E9</v>
      </c>
      <c r="M89" s="78" t="s">
        <v>41</v>
      </c>
      <c r="N89" s="17" t="s">
        <v>1277</v>
      </c>
      <c r="O89" s="9"/>
      <c r="P89" s="9"/>
      <c r="Q89" s="9"/>
      <c r="R89" s="9"/>
      <c r="S89" s="9"/>
      <c r="T89" s="9"/>
      <c r="U89" s="9"/>
      <c r="V89" s="9"/>
      <c r="W89" s="9"/>
      <c r="X89" s="9"/>
      <c r="Y89" s="9"/>
      <c r="Z89" s="9"/>
    </row>
    <row r="90">
      <c r="A90" s="74">
        <v>90.0</v>
      </c>
      <c r="B90" s="75" t="s">
        <v>1282</v>
      </c>
      <c r="C90" s="74" t="s">
        <v>496</v>
      </c>
      <c r="D90" s="74" t="s">
        <v>21</v>
      </c>
      <c r="E90" s="74" t="s">
        <v>22</v>
      </c>
      <c r="F90" s="76">
        <v>45666.0</v>
      </c>
      <c r="G90" s="75">
        <v>74.0</v>
      </c>
      <c r="H90" s="74" t="s">
        <v>25</v>
      </c>
      <c r="I90" s="17"/>
      <c r="J90" s="78" t="s">
        <v>37</v>
      </c>
      <c r="K90" s="78" t="s">
        <v>39</v>
      </c>
      <c r="L90" s="78">
        <v>9.5405277E9</v>
      </c>
      <c r="M90" s="78" t="s">
        <v>41</v>
      </c>
      <c r="N90" s="17" t="s">
        <v>1286</v>
      </c>
      <c r="O90" s="9"/>
      <c r="P90" s="9"/>
      <c r="Q90" s="9"/>
      <c r="R90" s="9"/>
      <c r="S90" s="9"/>
      <c r="T90" s="9"/>
      <c r="U90" s="9"/>
      <c r="V90" s="9"/>
      <c r="W90" s="9"/>
      <c r="X90" s="9"/>
      <c r="Y90" s="9"/>
      <c r="Z90" s="9"/>
    </row>
    <row r="91">
      <c r="A91" s="74">
        <v>91.0</v>
      </c>
      <c r="B91" s="75" t="s">
        <v>1290</v>
      </c>
      <c r="C91" s="74" t="s">
        <v>1291</v>
      </c>
      <c r="D91" s="74" t="s">
        <v>21</v>
      </c>
      <c r="E91" s="74" t="s">
        <v>22</v>
      </c>
      <c r="F91" s="76">
        <v>45706.0</v>
      </c>
      <c r="G91" s="75">
        <v>72.0</v>
      </c>
      <c r="H91" s="74" t="s">
        <v>25</v>
      </c>
      <c r="I91" s="17"/>
      <c r="J91" s="78" t="s">
        <v>37</v>
      </c>
      <c r="K91" s="78" t="s">
        <v>39</v>
      </c>
      <c r="L91" s="78">
        <v>9.5405277E9</v>
      </c>
      <c r="M91" s="78" t="s">
        <v>41</v>
      </c>
      <c r="N91" s="17"/>
      <c r="O91" s="9"/>
      <c r="P91" s="9"/>
      <c r="Q91" s="9"/>
      <c r="R91" s="9"/>
      <c r="S91" s="9"/>
      <c r="T91" s="9"/>
      <c r="U91" s="9"/>
      <c r="V91" s="9"/>
      <c r="W91" s="9"/>
      <c r="X91" s="9"/>
      <c r="Y91" s="9"/>
      <c r="Z91" s="9"/>
    </row>
    <row r="92">
      <c r="A92" s="74">
        <v>92.0</v>
      </c>
      <c r="B92" s="75" t="s">
        <v>1297</v>
      </c>
      <c r="C92" s="74" t="s">
        <v>1299</v>
      </c>
      <c r="D92" s="74" t="s">
        <v>21</v>
      </c>
      <c r="E92" s="74" t="s">
        <v>22</v>
      </c>
      <c r="F92" s="76">
        <v>45709.0</v>
      </c>
      <c r="G92" s="75">
        <v>113.0</v>
      </c>
      <c r="H92" s="74" t="s">
        <v>25</v>
      </c>
      <c r="I92" s="17"/>
      <c r="J92" s="78" t="s">
        <v>37</v>
      </c>
      <c r="K92" s="78" t="s">
        <v>39</v>
      </c>
      <c r="L92" s="78">
        <v>9.5405277E9</v>
      </c>
      <c r="M92" s="78" t="s">
        <v>41</v>
      </c>
      <c r="N92" s="17"/>
      <c r="O92" s="9"/>
      <c r="P92" s="9"/>
      <c r="Q92" s="9"/>
      <c r="R92" s="9"/>
      <c r="S92" s="9"/>
      <c r="T92" s="9"/>
      <c r="U92" s="9"/>
      <c r="V92" s="9"/>
      <c r="W92" s="9"/>
      <c r="X92" s="9"/>
      <c r="Y92" s="9"/>
      <c r="Z92" s="9"/>
    </row>
    <row r="93">
      <c r="A93" s="74">
        <v>93.0</v>
      </c>
      <c r="B93" s="75" t="s">
        <v>1309</v>
      </c>
      <c r="C93" s="74" t="s">
        <v>1310</v>
      </c>
      <c r="D93" s="74" t="s">
        <v>21</v>
      </c>
      <c r="E93" s="74" t="s">
        <v>22</v>
      </c>
      <c r="F93" s="74" t="s">
        <v>1312</v>
      </c>
      <c r="G93" s="75">
        <v>79.0</v>
      </c>
      <c r="H93" s="74" t="s">
        <v>25</v>
      </c>
      <c r="I93" s="17"/>
      <c r="J93" s="78" t="s">
        <v>37</v>
      </c>
      <c r="K93" s="78" t="s">
        <v>39</v>
      </c>
      <c r="L93" s="78">
        <v>9.5405277E9</v>
      </c>
      <c r="M93" s="78" t="s">
        <v>41</v>
      </c>
      <c r="N93" s="17"/>
      <c r="O93" s="9"/>
      <c r="P93" s="9"/>
      <c r="Q93" s="9"/>
      <c r="R93" s="9"/>
      <c r="S93" s="9"/>
      <c r="T93" s="9"/>
      <c r="U93" s="9"/>
      <c r="V93" s="9"/>
      <c r="W93" s="9"/>
      <c r="X93" s="9"/>
      <c r="Y93" s="9"/>
      <c r="Z93" s="9"/>
    </row>
    <row r="94">
      <c r="A94" s="74">
        <v>94.0</v>
      </c>
      <c r="B94" s="75" t="s">
        <v>1313</v>
      </c>
      <c r="C94" s="74" t="s">
        <v>1006</v>
      </c>
      <c r="D94" s="74" t="s">
        <v>21</v>
      </c>
      <c r="E94" s="74" t="s">
        <v>22</v>
      </c>
      <c r="F94" s="76">
        <v>45749.0</v>
      </c>
      <c r="G94" s="75">
        <v>94.0</v>
      </c>
      <c r="H94" s="74" t="s">
        <v>25</v>
      </c>
      <c r="I94" s="17"/>
      <c r="J94" s="78" t="s">
        <v>37</v>
      </c>
      <c r="K94" s="78" t="s">
        <v>39</v>
      </c>
      <c r="L94" s="78">
        <v>9.5405277E9</v>
      </c>
      <c r="M94" s="78" t="s">
        <v>41</v>
      </c>
      <c r="N94" s="17"/>
      <c r="O94" s="9"/>
      <c r="P94" s="9"/>
      <c r="Q94" s="9"/>
      <c r="R94" s="9"/>
      <c r="S94" s="9"/>
      <c r="T94" s="9"/>
      <c r="U94" s="9"/>
      <c r="V94" s="9"/>
      <c r="W94" s="9"/>
      <c r="X94" s="9"/>
      <c r="Y94" s="9"/>
      <c r="Z94" s="9"/>
    </row>
    <row r="95">
      <c r="A95" s="74">
        <v>95.0</v>
      </c>
      <c r="B95" s="75" t="s">
        <v>1321</v>
      </c>
      <c r="C95" s="74" t="s">
        <v>1026</v>
      </c>
      <c r="D95" s="74" t="s">
        <v>21</v>
      </c>
      <c r="E95" s="74" t="s">
        <v>22</v>
      </c>
      <c r="F95" s="76">
        <v>45755.0</v>
      </c>
      <c r="G95" s="75">
        <v>65.0</v>
      </c>
      <c r="H95" s="74" t="s">
        <v>25</v>
      </c>
      <c r="I95" s="17"/>
      <c r="J95" s="78" t="s">
        <v>37</v>
      </c>
      <c r="K95" s="78" t="s">
        <v>39</v>
      </c>
      <c r="L95" s="78">
        <v>9.5405277E9</v>
      </c>
      <c r="M95" s="78" t="s">
        <v>41</v>
      </c>
      <c r="N95" s="17"/>
      <c r="O95" s="9"/>
      <c r="P95" s="9"/>
      <c r="Q95" s="9"/>
      <c r="R95" s="9"/>
      <c r="S95" s="9"/>
      <c r="T95" s="9"/>
      <c r="U95" s="9"/>
      <c r="V95" s="9"/>
      <c r="W95" s="9"/>
      <c r="X95" s="9"/>
      <c r="Y95" s="9"/>
      <c r="Z95" s="9"/>
    </row>
    <row r="96">
      <c r="A96" s="74">
        <v>96.0</v>
      </c>
      <c r="B96" s="75" t="s">
        <v>1333</v>
      </c>
      <c r="C96" s="74" t="s">
        <v>1334</v>
      </c>
      <c r="D96" s="74" t="s">
        <v>21</v>
      </c>
      <c r="E96" s="74" t="s">
        <v>22</v>
      </c>
      <c r="F96" s="76">
        <v>45764.0</v>
      </c>
      <c r="G96" s="75">
        <v>63.0</v>
      </c>
      <c r="H96" s="74" t="s">
        <v>25</v>
      </c>
      <c r="I96" s="17"/>
      <c r="J96" s="78" t="s">
        <v>37</v>
      </c>
      <c r="K96" s="78" t="s">
        <v>39</v>
      </c>
      <c r="L96" s="78">
        <v>9.5405277E9</v>
      </c>
      <c r="M96" s="78" t="s">
        <v>41</v>
      </c>
      <c r="N96" s="17"/>
      <c r="O96" s="9"/>
      <c r="P96" s="9"/>
      <c r="Q96" s="9"/>
      <c r="R96" s="9"/>
      <c r="S96" s="9"/>
      <c r="T96" s="9"/>
      <c r="U96" s="9"/>
      <c r="V96" s="9"/>
      <c r="W96" s="9"/>
      <c r="X96" s="9"/>
      <c r="Y96" s="9"/>
      <c r="Z96" s="9"/>
    </row>
    <row r="97">
      <c r="A97" s="74">
        <v>97.0</v>
      </c>
      <c r="B97" s="74" t="s">
        <v>1344</v>
      </c>
      <c r="C97" s="74" t="s">
        <v>1344</v>
      </c>
      <c r="D97" s="74" t="s">
        <v>21</v>
      </c>
      <c r="E97" s="74" t="s">
        <v>22</v>
      </c>
      <c r="F97" s="76">
        <v>45768.0</v>
      </c>
      <c r="G97" s="75">
        <v>62.0</v>
      </c>
      <c r="H97" s="74" t="s">
        <v>25</v>
      </c>
      <c r="I97" s="17"/>
      <c r="J97" s="78" t="s">
        <v>37</v>
      </c>
      <c r="K97" s="78" t="s">
        <v>39</v>
      </c>
      <c r="L97" s="78">
        <v>9.5405277E9</v>
      </c>
      <c r="M97" s="78" t="s">
        <v>41</v>
      </c>
      <c r="N97" s="17"/>
      <c r="O97" s="9"/>
      <c r="P97" s="9"/>
      <c r="Q97" s="9"/>
      <c r="R97" s="9"/>
      <c r="S97" s="9"/>
      <c r="T97" s="9"/>
      <c r="U97" s="9"/>
      <c r="V97" s="9"/>
      <c r="W97" s="9"/>
      <c r="X97" s="9"/>
      <c r="Y97" s="9"/>
      <c r="Z97" s="9"/>
    </row>
    <row r="98">
      <c r="A98" s="74">
        <v>98.0</v>
      </c>
      <c r="B98" s="75" t="s">
        <v>1353</v>
      </c>
      <c r="C98" s="74" t="s">
        <v>1354</v>
      </c>
      <c r="D98" s="74" t="s">
        <v>21</v>
      </c>
      <c r="E98" s="74" t="s">
        <v>22</v>
      </c>
      <c r="F98" s="76">
        <v>45769.0</v>
      </c>
      <c r="G98" s="75">
        <v>68.0</v>
      </c>
      <c r="H98" s="74" t="s">
        <v>25</v>
      </c>
      <c r="I98" s="17"/>
      <c r="J98" s="78" t="s">
        <v>37</v>
      </c>
      <c r="K98" s="78" t="s">
        <v>39</v>
      </c>
      <c r="L98" s="78">
        <v>9.5405277E9</v>
      </c>
      <c r="M98" s="78" t="s">
        <v>41</v>
      </c>
      <c r="N98" s="17"/>
      <c r="O98" s="9"/>
      <c r="P98" s="9"/>
      <c r="Q98" s="9"/>
      <c r="R98" s="9"/>
      <c r="S98" s="9"/>
      <c r="T98" s="9"/>
      <c r="U98" s="9"/>
      <c r="V98" s="9"/>
      <c r="W98" s="9"/>
      <c r="X98" s="9"/>
      <c r="Y98" s="9"/>
      <c r="Z98" s="9"/>
    </row>
    <row r="99">
      <c r="A99" s="74">
        <v>99.0</v>
      </c>
      <c r="B99" s="74" t="s">
        <v>1363</v>
      </c>
      <c r="C99" s="74" t="s">
        <v>1364</v>
      </c>
      <c r="D99" s="74" t="s">
        <v>21</v>
      </c>
      <c r="E99" s="74" t="s">
        <v>22</v>
      </c>
      <c r="F99" s="76">
        <v>45770.0</v>
      </c>
      <c r="G99" s="75">
        <v>56.0</v>
      </c>
      <c r="H99" s="74" t="s">
        <v>25</v>
      </c>
      <c r="I99" s="17"/>
      <c r="J99" s="78" t="s">
        <v>37</v>
      </c>
      <c r="K99" s="78" t="s">
        <v>39</v>
      </c>
      <c r="L99" s="78">
        <v>9.5405277E9</v>
      </c>
      <c r="M99" s="78" t="s">
        <v>41</v>
      </c>
      <c r="N99" s="17"/>
      <c r="O99" s="9"/>
      <c r="P99" s="9"/>
      <c r="Q99" s="9"/>
      <c r="R99" s="9"/>
      <c r="S99" s="9"/>
      <c r="T99" s="9"/>
      <c r="U99" s="9"/>
      <c r="V99" s="9"/>
      <c r="W99" s="9"/>
      <c r="X99" s="9"/>
      <c r="Y99" s="9"/>
      <c r="Z99" s="9"/>
    </row>
    <row r="100">
      <c r="A100" s="74">
        <v>100.0</v>
      </c>
      <c r="B100" s="74" t="s">
        <v>1369</v>
      </c>
      <c r="C100" s="74" t="s">
        <v>1370</v>
      </c>
      <c r="D100" s="74" t="s">
        <v>21</v>
      </c>
      <c r="E100" s="74" t="s">
        <v>22</v>
      </c>
      <c r="F100" s="76">
        <v>45771.0</v>
      </c>
      <c r="G100" s="74">
        <v>61.0</v>
      </c>
      <c r="H100" s="74" t="s">
        <v>25</v>
      </c>
      <c r="I100" s="17"/>
      <c r="J100" s="78" t="s">
        <v>37</v>
      </c>
      <c r="K100" s="78" t="s">
        <v>39</v>
      </c>
      <c r="L100" s="78">
        <v>9.5405277E9</v>
      </c>
      <c r="M100" s="78" t="s">
        <v>41</v>
      </c>
      <c r="N100" s="17"/>
      <c r="O100" s="9"/>
      <c r="P100" s="9"/>
      <c r="Q100" s="9"/>
      <c r="R100" s="9"/>
      <c r="S100" s="9"/>
      <c r="T100" s="9"/>
      <c r="U100" s="9"/>
      <c r="V100" s="9"/>
      <c r="W100" s="9"/>
      <c r="X100" s="9"/>
      <c r="Y100" s="9"/>
      <c r="Z100" s="9"/>
    </row>
    <row r="101">
      <c r="A101" s="74">
        <v>101.0</v>
      </c>
      <c r="B101" s="74" t="s">
        <v>1380</v>
      </c>
      <c r="C101" s="74" t="s">
        <v>1381</v>
      </c>
      <c r="D101" s="74" t="s">
        <v>21</v>
      </c>
      <c r="E101" s="74" t="s">
        <v>22</v>
      </c>
      <c r="F101" s="76">
        <v>45772.0</v>
      </c>
      <c r="G101" s="74">
        <v>55.0</v>
      </c>
      <c r="H101" s="74" t="s">
        <v>25</v>
      </c>
      <c r="I101" s="17"/>
      <c r="J101" s="78" t="s">
        <v>37</v>
      </c>
      <c r="K101" s="78" t="s">
        <v>39</v>
      </c>
      <c r="L101" s="78">
        <v>9.5405277E9</v>
      </c>
      <c r="M101" s="78" t="s">
        <v>41</v>
      </c>
      <c r="N101" s="17"/>
      <c r="O101" s="9"/>
      <c r="P101" s="9"/>
      <c r="Q101" s="9"/>
      <c r="R101" s="9"/>
      <c r="S101" s="9"/>
      <c r="T101" s="9"/>
      <c r="U101" s="9"/>
      <c r="V101" s="9"/>
      <c r="W101" s="9"/>
      <c r="X101" s="9"/>
      <c r="Y101" s="9"/>
      <c r="Z101" s="9"/>
    </row>
    <row r="102">
      <c r="A102" s="74">
        <v>102.0</v>
      </c>
      <c r="B102" s="74" t="s">
        <v>1387</v>
      </c>
      <c r="C102" s="74" t="s">
        <v>1387</v>
      </c>
      <c r="D102" s="74" t="s">
        <v>21</v>
      </c>
      <c r="E102" s="74" t="s">
        <v>22</v>
      </c>
      <c r="F102" s="76">
        <v>45773.0</v>
      </c>
      <c r="G102" s="74">
        <v>52.0</v>
      </c>
      <c r="H102" s="74" t="s">
        <v>25</v>
      </c>
      <c r="I102" s="17"/>
      <c r="J102" s="78" t="s">
        <v>37</v>
      </c>
      <c r="K102" s="78" t="s">
        <v>39</v>
      </c>
      <c r="L102" s="78">
        <v>9.5405277E9</v>
      </c>
      <c r="M102" s="78" t="s">
        <v>41</v>
      </c>
      <c r="N102" s="17"/>
      <c r="O102" s="9"/>
      <c r="P102" s="9"/>
      <c r="Q102" s="9"/>
      <c r="R102" s="9"/>
      <c r="S102" s="9"/>
      <c r="T102" s="9"/>
      <c r="U102" s="9"/>
      <c r="V102" s="9"/>
      <c r="W102" s="9"/>
      <c r="X102" s="9"/>
      <c r="Y102" s="9"/>
      <c r="Z102" s="9"/>
    </row>
    <row r="103">
      <c r="A103" s="74">
        <v>103.0</v>
      </c>
      <c r="B103" s="74" t="s">
        <v>1397</v>
      </c>
      <c r="C103" s="74" t="s">
        <v>1398</v>
      </c>
      <c r="D103" s="74" t="s">
        <v>21</v>
      </c>
      <c r="E103" s="74" t="s">
        <v>22</v>
      </c>
      <c r="F103" s="76">
        <v>45789.0</v>
      </c>
      <c r="G103" s="74">
        <v>61.0</v>
      </c>
      <c r="H103" s="74" t="s">
        <v>25</v>
      </c>
      <c r="I103" s="17"/>
      <c r="J103" s="78" t="s">
        <v>37</v>
      </c>
      <c r="K103" s="78" t="s">
        <v>39</v>
      </c>
      <c r="L103" s="78">
        <v>9.5405277E9</v>
      </c>
      <c r="M103" s="78" t="s">
        <v>41</v>
      </c>
      <c r="N103" s="17"/>
      <c r="O103" s="9"/>
      <c r="P103" s="9"/>
      <c r="Q103" s="9"/>
      <c r="R103" s="9"/>
      <c r="S103" s="9"/>
      <c r="T103" s="9"/>
      <c r="U103" s="9"/>
      <c r="V103" s="9"/>
      <c r="W103" s="9"/>
      <c r="X103" s="9"/>
      <c r="Y103" s="9"/>
      <c r="Z103" s="9"/>
    </row>
    <row r="104">
      <c r="A104" s="74">
        <v>104.0</v>
      </c>
      <c r="B104" s="74" t="s">
        <v>1407</v>
      </c>
      <c r="C104" s="74" t="s">
        <v>1409</v>
      </c>
      <c r="D104" s="74" t="s">
        <v>21</v>
      </c>
      <c r="E104" s="74" t="s">
        <v>22</v>
      </c>
      <c r="F104" s="76">
        <v>45804.0</v>
      </c>
      <c r="G104" s="74">
        <v>65.0</v>
      </c>
      <c r="H104" s="74" t="s">
        <v>25</v>
      </c>
      <c r="I104" s="17"/>
      <c r="J104" s="78" t="s">
        <v>37</v>
      </c>
      <c r="K104" s="78" t="s">
        <v>39</v>
      </c>
      <c r="L104" s="78">
        <v>9.5405277E9</v>
      </c>
      <c r="M104" s="78" t="s">
        <v>41</v>
      </c>
      <c r="N104" s="17"/>
      <c r="O104" s="9"/>
      <c r="P104" s="9"/>
      <c r="Q104" s="9"/>
      <c r="R104" s="9"/>
      <c r="S104" s="9"/>
      <c r="T104" s="9"/>
      <c r="U104" s="9"/>
      <c r="V104" s="9"/>
      <c r="W104" s="9"/>
      <c r="X104" s="9"/>
      <c r="Y104" s="9"/>
      <c r="Z104" s="9"/>
    </row>
    <row r="105">
      <c r="A105" s="74">
        <v>105.0</v>
      </c>
      <c r="B105" s="74" t="s">
        <v>1413</v>
      </c>
      <c r="C105" s="74" t="s">
        <v>1414</v>
      </c>
      <c r="D105" s="74" t="s">
        <v>21</v>
      </c>
      <c r="E105" s="74" t="s">
        <v>22</v>
      </c>
      <c r="F105" s="76">
        <v>45806.0</v>
      </c>
      <c r="G105" s="75">
        <v>68.0</v>
      </c>
      <c r="H105" s="74" t="s">
        <v>25</v>
      </c>
      <c r="I105" s="17"/>
      <c r="J105" s="78" t="s">
        <v>37</v>
      </c>
      <c r="K105" s="78" t="s">
        <v>39</v>
      </c>
      <c r="L105" s="78">
        <v>9.5405277E9</v>
      </c>
      <c r="M105" s="78" t="s">
        <v>41</v>
      </c>
      <c r="N105" s="17"/>
      <c r="O105" s="9"/>
      <c r="P105" s="9"/>
      <c r="Q105" s="9"/>
      <c r="R105" s="9"/>
      <c r="S105" s="9"/>
      <c r="T105" s="9"/>
      <c r="U105" s="9"/>
      <c r="V105" s="9"/>
      <c r="W105" s="9"/>
      <c r="X105" s="9"/>
      <c r="Y105" s="9"/>
      <c r="Z105" s="9"/>
    </row>
    <row r="106">
      <c r="A106" s="82">
        <v>106.0</v>
      </c>
      <c r="B106" s="82" t="s">
        <v>1421</v>
      </c>
      <c r="C106" s="82" t="s">
        <v>1422</v>
      </c>
      <c r="D106" s="74" t="s">
        <v>21</v>
      </c>
      <c r="E106" s="74" t="s">
        <v>22</v>
      </c>
      <c r="F106" s="83">
        <v>45783.0</v>
      </c>
      <c r="G106" s="84">
        <v>88.0</v>
      </c>
      <c r="H106" s="74" t="s">
        <v>25</v>
      </c>
      <c r="I106" s="17"/>
      <c r="J106" s="78" t="s">
        <v>37</v>
      </c>
      <c r="K106" s="78" t="s">
        <v>39</v>
      </c>
      <c r="L106" s="78">
        <v>9.5405277E9</v>
      </c>
      <c r="M106" s="78" t="s">
        <v>41</v>
      </c>
      <c r="N106" s="85"/>
      <c r="O106" s="9"/>
      <c r="P106" s="9"/>
      <c r="Q106" s="9"/>
      <c r="R106" s="9"/>
      <c r="S106" s="9"/>
      <c r="T106" s="9"/>
      <c r="U106" s="9"/>
      <c r="V106" s="9"/>
      <c r="W106" s="9"/>
      <c r="X106" s="9"/>
      <c r="Y106" s="9"/>
      <c r="Z106" s="9"/>
    </row>
    <row r="107">
      <c r="A107" s="82">
        <v>107.0</v>
      </c>
      <c r="B107" s="82" t="s">
        <v>1424</v>
      </c>
      <c r="C107" s="82" t="s">
        <v>1425</v>
      </c>
      <c r="D107" s="74" t="s">
        <v>21</v>
      </c>
      <c r="E107" s="74" t="s">
        <v>22</v>
      </c>
      <c r="F107" s="83">
        <v>45910.0</v>
      </c>
      <c r="G107" s="84">
        <v>74.0</v>
      </c>
      <c r="H107" s="74" t="s">
        <v>25</v>
      </c>
      <c r="I107" s="17"/>
      <c r="J107" s="78" t="s">
        <v>37</v>
      </c>
      <c r="K107" s="78" t="s">
        <v>39</v>
      </c>
      <c r="L107" s="78">
        <v>9.5405277E9</v>
      </c>
      <c r="M107" s="78" t="s">
        <v>41</v>
      </c>
      <c r="N107" s="85"/>
      <c r="O107" s="9"/>
      <c r="P107" s="9"/>
      <c r="Q107" s="9"/>
      <c r="R107" s="9"/>
      <c r="S107" s="9"/>
      <c r="T107" s="9"/>
      <c r="U107" s="9"/>
      <c r="V107" s="9"/>
      <c r="W107" s="9"/>
      <c r="X107" s="9"/>
      <c r="Y107" s="9"/>
      <c r="Z107" s="9"/>
    </row>
    <row r="108">
      <c r="A108" s="82">
        <v>108.0</v>
      </c>
      <c r="B108" s="82" t="s">
        <v>1430</v>
      </c>
      <c r="C108" s="82" t="s">
        <v>1432</v>
      </c>
      <c r="D108" s="74" t="s">
        <v>21</v>
      </c>
      <c r="E108" s="74" t="s">
        <v>22</v>
      </c>
      <c r="F108" s="83">
        <v>45820.0</v>
      </c>
      <c r="G108" s="84">
        <v>81.0</v>
      </c>
      <c r="H108" s="74" t="s">
        <v>25</v>
      </c>
      <c r="I108" s="17"/>
      <c r="J108" s="78" t="s">
        <v>37</v>
      </c>
      <c r="K108" s="78" t="s">
        <v>39</v>
      </c>
      <c r="L108" s="78">
        <v>9.5405277E9</v>
      </c>
      <c r="M108" s="78" t="s">
        <v>41</v>
      </c>
      <c r="N108" s="85"/>
      <c r="O108" s="9"/>
      <c r="P108" s="9"/>
      <c r="Q108" s="9"/>
      <c r="R108" s="9"/>
      <c r="S108" s="9"/>
      <c r="T108" s="9"/>
      <c r="U108" s="9"/>
      <c r="V108" s="9"/>
      <c r="W108" s="9"/>
      <c r="X108" s="9"/>
      <c r="Y108" s="9"/>
      <c r="Z108" s="9"/>
    </row>
    <row r="109">
      <c r="A109" s="82">
        <v>109.0</v>
      </c>
      <c r="B109" s="82" t="s">
        <v>1439</v>
      </c>
      <c r="C109" s="82" t="s">
        <v>1440</v>
      </c>
      <c r="D109" s="74" t="s">
        <v>21</v>
      </c>
      <c r="E109" s="74" t="s">
        <v>22</v>
      </c>
      <c r="F109" s="82" t="s">
        <v>1441</v>
      </c>
      <c r="G109" s="82" t="s">
        <v>1442</v>
      </c>
      <c r="H109" s="74" t="s">
        <v>25</v>
      </c>
      <c r="I109" s="17"/>
      <c r="J109" s="78" t="s">
        <v>37</v>
      </c>
      <c r="K109" s="78" t="s">
        <v>39</v>
      </c>
      <c r="L109" s="78">
        <v>9.5405277E9</v>
      </c>
      <c r="M109" s="78" t="s">
        <v>41</v>
      </c>
      <c r="N109" s="85"/>
      <c r="O109" s="9"/>
      <c r="P109" s="9"/>
      <c r="Q109" s="9"/>
      <c r="R109" s="9"/>
      <c r="S109" s="9"/>
      <c r="T109" s="9"/>
      <c r="U109" s="9"/>
      <c r="V109" s="9"/>
      <c r="W109" s="9"/>
      <c r="X109" s="9"/>
      <c r="Y109" s="9"/>
      <c r="Z109" s="9"/>
    </row>
    <row r="110">
      <c r="A110" s="82">
        <v>110.0</v>
      </c>
      <c r="B110" s="82" t="s">
        <v>1444</v>
      </c>
      <c r="C110" s="74"/>
      <c r="D110" s="74" t="s">
        <v>21</v>
      </c>
      <c r="E110" s="74" t="s">
        <v>22</v>
      </c>
      <c r="F110" s="89" t="s">
        <v>1446</v>
      </c>
      <c r="G110" s="74"/>
      <c r="H110" s="74" t="s">
        <v>25</v>
      </c>
      <c r="I110" s="85"/>
      <c r="J110" s="78" t="s">
        <v>37</v>
      </c>
      <c r="K110" s="78" t="s">
        <v>39</v>
      </c>
      <c r="L110" s="78">
        <v>9.5405277E9</v>
      </c>
      <c r="M110" s="78" t="s">
        <v>41</v>
      </c>
      <c r="N110" s="85"/>
      <c r="O110" s="9"/>
      <c r="P110" s="9"/>
      <c r="Q110" s="9"/>
      <c r="R110" s="9"/>
      <c r="S110" s="9"/>
      <c r="T110" s="9"/>
      <c r="U110" s="9"/>
      <c r="V110" s="9"/>
      <c r="W110" s="9"/>
      <c r="X110" s="9"/>
      <c r="Y110" s="9"/>
      <c r="Z110" s="9"/>
    </row>
    <row r="111">
      <c r="A111" s="82">
        <v>111.0</v>
      </c>
      <c r="B111" s="74" t="s">
        <v>1451</v>
      </c>
      <c r="C111" s="74"/>
      <c r="D111" s="82" t="s">
        <v>1452</v>
      </c>
      <c r="E111" s="74" t="s">
        <v>22</v>
      </c>
      <c r="F111" s="89" t="s">
        <v>1453</v>
      </c>
      <c r="G111" s="74"/>
      <c r="H111" s="74" t="s">
        <v>25</v>
      </c>
      <c r="I111" s="85"/>
      <c r="J111" s="78" t="s">
        <v>37</v>
      </c>
      <c r="K111" s="78" t="s">
        <v>39</v>
      </c>
      <c r="L111" s="78">
        <v>9.5405277E9</v>
      </c>
      <c r="M111" s="78" t="s">
        <v>41</v>
      </c>
      <c r="N111" s="85"/>
      <c r="O111" s="9"/>
      <c r="P111" s="9"/>
      <c r="Q111" s="9"/>
      <c r="R111" s="9"/>
      <c r="S111" s="9"/>
      <c r="T111" s="9"/>
      <c r="U111" s="9"/>
      <c r="V111" s="9"/>
      <c r="W111" s="9"/>
      <c r="X111" s="9"/>
      <c r="Y111" s="9"/>
      <c r="Z111" s="9"/>
    </row>
    <row r="112">
      <c r="A112" s="82">
        <v>112.0</v>
      </c>
      <c r="B112" s="74" t="s">
        <v>1454</v>
      </c>
      <c r="C112" s="74"/>
      <c r="D112" s="74" t="s">
        <v>21</v>
      </c>
      <c r="E112" s="74" t="s">
        <v>22</v>
      </c>
      <c r="F112" s="89" t="s">
        <v>1455</v>
      </c>
      <c r="G112" s="74"/>
      <c r="H112" s="74" t="s">
        <v>25</v>
      </c>
      <c r="I112" s="85"/>
      <c r="J112" s="78" t="s">
        <v>37</v>
      </c>
      <c r="K112" s="78" t="s">
        <v>39</v>
      </c>
      <c r="L112" s="78">
        <v>9.5405277E9</v>
      </c>
      <c r="M112" s="78" t="s">
        <v>41</v>
      </c>
      <c r="N112" s="85"/>
      <c r="O112" s="9"/>
      <c r="P112" s="9"/>
      <c r="Q112" s="9"/>
      <c r="R112" s="9"/>
      <c r="S112" s="9"/>
      <c r="T112" s="9"/>
      <c r="U112" s="9"/>
      <c r="V112" s="9"/>
      <c r="W112" s="9"/>
      <c r="X112" s="9"/>
      <c r="Y112" s="9"/>
      <c r="Z112" s="9"/>
    </row>
    <row r="113">
      <c r="A113" s="82">
        <v>113.0</v>
      </c>
      <c r="B113" s="74" t="s">
        <v>1459</v>
      </c>
      <c r="C113" s="74"/>
      <c r="D113" s="74" t="s">
        <v>21</v>
      </c>
      <c r="E113" s="74" t="s">
        <v>22</v>
      </c>
      <c r="F113" s="89" t="s">
        <v>1462</v>
      </c>
      <c r="G113" s="74"/>
      <c r="H113" s="74" t="s">
        <v>25</v>
      </c>
      <c r="I113" s="85"/>
      <c r="J113" s="78" t="s">
        <v>37</v>
      </c>
      <c r="K113" s="78" t="s">
        <v>39</v>
      </c>
      <c r="L113" s="78">
        <v>9.5405277E9</v>
      </c>
      <c r="M113" s="78" t="s">
        <v>41</v>
      </c>
      <c r="N113" s="85"/>
      <c r="O113" s="9"/>
      <c r="P113" s="9"/>
      <c r="Q113" s="9"/>
      <c r="R113" s="9"/>
      <c r="S113" s="9"/>
      <c r="T113" s="9"/>
      <c r="U113" s="9"/>
      <c r="V113" s="9"/>
      <c r="W113" s="9"/>
      <c r="X113" s="9"/>
      <c r="Y113" s="9"/>
      <c r="Z113" s="9"/>
    </row>
    <row r="114">
      <c r="A114" s="82">
        <v>114.0</v>
      </c>
      <c r="B114" s="74" t="s">
        <v>1463</v>
      </c>
      <c r="C114" s="74"/>
      <c r="D114" s="74" t="s">
        <v>21</v>
      </c>
      <c r="E114" s="74" t="s">
        <v>22</v>
      </c>
      <c r="F114" s="89">
        <v>45880.0</v>
      </c>
      <c r="G114" s="74"/>
      <c r="H114" s="74" t="s">
        <v>25</v>
      </c>
      <c r="I114" s="85"/>
      <c r="J114" s="78" t="s">
        <v>37</v>
      </c>
      <c r="K114" s="78" t="s">
        <v>39</v>
      </c>
      <c r="L114" s="78">
        <v>9.5405277E9</v>
      </c>
      <c r="M114" s="78" t="s">
        <v>41</v>
      </c>
      <c r="N114" s="85"/>
      <c r="O114" s="9"/>
      <c r="P114" s="9"/>
      <c r="Q114" s="9"/>
      <c r="R114" s="9"/>
      <c r="S114" s="9"/>
      <c r="T114" s="9"/>
      <c r="U114" s="9"/>
      <c r="V114" s="9"/>
      <c r="W114" s="9"/>
      <c r="X114" s="9"/>
      <c r="Y114" s="9"/>
      <c r="Z114" s="9"/>
    </row>
    <row r="115">
      <c r="A115" s="82">
        <v>115.0</v>
      </c>
      <c r="B115" s="74" t="s">
        <v>1464</v>
      </c>
      <c r="C115" s="74"/>
      <c r="D115" s="74" t="s">
        <v>21</v>
      </c>
      <c r="E115" s="74" t="s">
        <v>22</v>
      </c>
      <c r="F115" s="89">
        <v>45941.0</v>
      </c>
      <c r="G115" s="74"/>
      <c r="H115" s="74" t="s">
        <v>25</v>
      </c>
      <c r="I115" s="85"/>
      <c r="J115" s="78" t="s">
        <v>37</v>
      </c>
      <c r="K115" s="78" t="s">
        <v>39</v>
      </c>
      <c r="L115" s="78">
        <v>9.5405277E9</v>
      </c>
      <c r="M115" s="78" t="s">
        <v>41</v>
      </c>
      <c r="N115" s="85"/>
      <c r="O115" s="9"/>
      <c r="P115" s="9"/>
      <c r="Q115" s="9"/>
      <c r="R115" s="9"/>
      <c r="S115" s="9"/>
      <c r="T115" s="9"/>
      <c r="U115" s="9"/>
      <c r="V115" s="9"/>
      <c r="W115" s="9"/>
      <c r="X115" s="9"/>
      <c r="Y115" s="9"/>
      <c r="Z115" s="9"/>
    </row>
    <row r="116">
      <c r="A116" s="82">
        <v>116.0</v>
      </c>
      <c r="B116" s="74" t="s">
        <v>1469</v>
      </c>
      <c r="C116" s="74"/>
      <c r="D116" s="74" t="s">
        <v>21</v>
      </c>
      <c r="E116" s="74" t="s">
        <v>22</v>
      </c>
      <c r="F116" s="89">
        <v>45972.0</v>
      </c>
      <c r="G116" s="74"/>
      <c r="H116" s="74" t="s">
        <v>25</v>
      </c>
      <c r="I116" s="85"/>
      <c r="J116" s="78" t="s">
        <v>37</v>
      </c>
      <c r="K116" s="78" t="s">
        <v>39</v>
      </c>
      <c r="L116" s="78">
        <v>9.5405277E9</v>
      </c>
      <c r="M116" s="78" t="s">
        <v>41</v>
      </c>
      <c r="N116" s="85"/>
      <c r="O116" s="9"/>
      <c r="P116" s="9"/>
      <c r="Q116" s="9"/>
      <c r="R116" s="9"/>
      <c r="S116" s="9"/>
      <c r="T116" s="9"/>
      <c r="U116" s="9"/>
      <c r="V116" s="9"/>
      <c r="W116" s="9"/>
      <c r="X116" s="9"/>
      <c r="Y116" s="9"/>
      <c r="Z116" s="9"/>
    </row>
    <row r="117">
      <c r="A117" s="82">
        <v>117.0</v>
      </c>
      <c r="B117" s="74" t="s">
        <v>1470</v>
      </c>
      <c r="C117" s="74"/>
      <c r="D117" s="74" t="s">
        <v>21</v>
      </c>
      <c r="E117" s="74" t="s">
        <v>22</v>
      </c>
      <c r="F117" s="89">
        <v>46002.0</v>
      </c>
      <c r="G117" s="74"/>
      <c r="H117" s="74" t="s">
        <v>25</v>
      </c>
      <c r="I117" s="85"/>
      <c r="J117" s="78" t="s">
        <v>37</v>
      </c>
      <c r="K117" s="78" t="s">
        <v>39</v>
      </c>
      <c r="L117" s="78">
        <v>9.5405277E9</v>
      </c>
      <c r="M117" s="78" t="s">
        <v>41</v>
      </c>
      <c r="N117" s="85"/>
      <c r="O117" s="9"/>
      <c r="P117" s="9"/>
      <c r="Q117" s="9"/>
      <c r="R117" s="9"/>
      <c r="S117" s="9"/>
      <c r="T117" s="9"/>
      <c r="U117" s="9"/>
      <c r="V117" s="9"/>
      <c r="W117" s="9"/>
      <c r="X117" s="9"/>
      <c r="Y117" s="9"/>
      <c r="Z117" s="9"/>
    </row>
    <row r="118">
      <c r="A118" s="82">
        <v>118.0</v>
      </c>
      <c r="B118" s="74" t="s">
        <v>1472</v>
      </c>
      <c r="C118" s="74"/>
      <c r="D118" s="74" t="s">
        <v>21</v>
      </c>
      <c r="E118" s="74" t="s">
        <v>22</v>
      </c>
      <c r="F118" s="74" t="s">
        <v>1475</v>
      </c>
      <c r="G118" s="74"/>
      <c r="H118" s="74" t="s">
        <v>25</v>
      </c>
      <c r="I118" s="85"/>
      <c r="J118" s="78" t="s">
        <v>37</v>
      </c>
      <c r="K118" s="78" t="s">
        <v>39</v>
      </c>
      <c r="L118" s="78">
        <v>9.5405277E9</v>
      </c>
      <c r="M118" s="78" t="s">
        <v>41</v>
      </c>
      <c r="N118" s="85"/>
      <c r="O118" s="9"/>
      <c r="P118" s="9"/>
      <c r="Q118" s="9"/>
      <c r="R118" s="9"/>
      <c r="S118" s="9"/>
      <c r="T118" s="9"/>
      <c r="U118" s="9"/>
      <c r="V118" s="9"/>
      <c r="W118" s="9"/>
      <c r="X118" s="9"/>
      <c r="Y118" s="9"/>
      <c r="Z118" s="9"/>
    </row>
    <row r="119">
      <c r="A119" s="82">
        <v>119.0</v>
      </c>
      <c r="B119" s="74" t="s">
        <v>1477</v>
      </c>
      <c r="C119" s="74"/>
      <c r="D119" s="74" t="s">
        <v>21</v>
      </c>
      <c r="E119" s="74" t="s">
        <v>22</v>
      </c>
      <c r="F119" s="91">
        <v>45789.0</v>
      </c>
      <c r="G119" s="74"/>
      <c r="H119" s="74" t="s">
        <v>25</v>
      </c>
      <c r="I119" s="85"/>
      <c r="J119" s="78" t="s">
        <v>37</v>
      </c>
      <c r="K119" s="78" t="s">
        <v>39</v>
      </c>
      <c r="L119" s="78">
        <v>9.5405277E9</v>
      </c>
      <c r="M119" s="78" t="s">
        <v>41</v>
      </c>
      <c r="N119" s="85"/>
      <c r="O119" s="9"/>
      <c r="P119" s="9"/>
      <c r="Q119" s="9"/>
      <c r="R119" s="9"/>
      <c r="S119" s="9"/>
      <c r="T119" s="9"/>
      <c r="U119" s="9"/>
      <c r="V119" s="9"/>
      <c r="W119" s="9"/>
      <c r="X119" s="9"/>
      <c r="Y119" s="9"/>
      <c r="Z119" s="9"/>
    </row>
    <row r="120">
      <c r="A120" s="82">
        <v>120.0</v>
      </c>
      <c r="B120" s="74" t="s">
        <v>1482</v>
      </c>
      <c r="C120" s="74"/>
      <c r="D120" s="74" t="s">
        <v>21</v>
      </c>
      <c r="E120" s="74" t="s">
        <v>22</v>
      </c>
      <c r="F120" s="74" t="s">
        <v>1483</v>
      </c>
      <c r="G120" s="74"/>
      <c r="H120" s="74" t="s">
        <v>25</v>
      </c>
      <c r="I120" s="85"/>
      <c r="J120" s="78" t="s">
        <v>37</v>
      </c>
      <c r="K120" s="78" t="s">
        <v>39</v>
      </c>
      <c r="L120" s="78">
        <v>9.5405277E9</v>
      </c>
      <c r="M120" s="78" t="s">
        <v>41</v>
      </c>
      <c r="N120" s="85"/>
      <c r="O120" s="9"/>
      <c r="P120" s="9"/>
      <c r="Q120" s="9"/>
      <c r="R120" s="9"/>
      <c r="S120" s="9"/>
      <c r="T120" s="9"/>
      <c r="U120" s="9"/>
      <c r="V120" s="9"/>
      <c r="W120" s="9"/>
      <c r="X120" s="9"/>
      <c r="Y120" s="9"/>
      <c r="Z120" s="9"/>
    </row>
    <row r="121">
      <c r="A121" s="82">
        <v>121.0</v>
      </c>
      <c r="B121" s="74" t="s">
        <v>1485</v>
      </c>
      <c r="C121" s="74"/>
      <c r="D121" s="74" t="s">
        <v>21</v>
      </c>
      <c r="E121" s="74" t="s">
        <v>22</v>
      </c>
      <c r="F121" s="74" t="s">
        <v>1490</v>
      </c>
      <c r="G121" s="74"/>
      <c r="H121" s="74" t="s">
        <v>25</v>
      </c>
      <c r="I121" s="85"/>
      <c r="J121" s="78" t="s">
        <v>37</v>
      </c>
      <c r="K121" s="78" t="s">
        <v>39</v>
      </c>
      <c r="L121" s="78">
        <v>9.5405277E9</v>
      </c>
      <c r="M121" s="78" t="s">
        <v>41</v>
      </c>
      <c r="N121" s="85"/>
      <c r="O121" s="9"/>
      <c r="P121" s="9"/>
      <c r="Q121" s="9"/>
      <c r="R121" s="9"/>
      <c r="S121" s="9"/>
      <c r="T121" s="9"/>
      <c r="U121" s="9"/>
      <c r="V121" s="9"/>
      <c r="W121" s="9"/>
      <c r="X121" s="9"/>
      <c r="Y121" s="9"/>
      <c r="Z121" s="9"/>
    </row>
    <row r="122">
      <c r="A122" s="82">
        <v>122.0</v>
      </c>
      <c r="B122" s="74" t="s">
        <v>1491</v>
      </c>
      <c r="C122" s="74"/>
      <c r="D122" s="74" t="s">
        <v>21</v>
      </c>
      <c r="E122" s="74" t="s">
        <v>22</v>
      </c>
      <c r="F122" s="74" t="s">
        <v>1492</v>
      </c>
      <c r="G122" s="74"/>
      <c r="H122" s="74" t="s">
        <v>25</v>
      </c>
      <c r="I122" s="85"/>
      <c r="J122" s="78" t="s">
        <v>37</v>
      </c>
      <c r="K122" s="78" t="s">
        <v>39</v>
      </c>
      <c r="L122" s="78">
        <v>9.5405277E9</v>
      </c>
      <c r="M122" s="78" t="s">
        <v>41</v>
      </c>
      <c r="N122" s="85"/>
      <c r="O122" s="9"/>
      <c r="P122" s="9"/>
      <c r="Q122" s="9"/>
      <c r="R122" s="9"/>
      <c r="S122" s="9"/>
      <c r="T122" s="9"/>
      <c r="U122" s="9"/>
      <c r="V122" s="9"/>
      <c r="W122" s="9"/>
      <c r="X122" s="9"/>
      <c r="Y122" s="9"/>
      <c r="Z122" s="9"/>
    </row>
    <row r="123">
      <c r="A123" s="82">
        <v>123.0</v>
      </c>
      <c r="B123" s="74" t="s">
        <v>1494</v>
      </c>
      <c r="C123" s="74"/>
      <c r="D123" s="74" t="s">
        <v>21</v>
      </c>
      <c r="E123" s="74" t="s">
        <v>22</v>
      </c>
      <c r="F123" s="89">
        <v>46114.0</v>
      </c>
      <c r="G123" s="74"/>
      <c r="H123" s="74" t="s">
        <v>25</v>
      </c>
      <c r="I123" s="85"/>
      <c r="J123" s="78" t="s">
        <v>37</v>
      </c>
      <c r="K123" s="78" t="s">
        <v>39</v>
      </c>
      <c r="L123" s="78">
        <v>9.5405277E9</v>
      </c>
      <c r="M123" s="78" t="s">
        <v>41</v>
      </c>
      <c r="N123" s="85"/>
      <c r="O123" s="9"/>
      <c r="P123" s="9"/>
      <c r="Q123" s="9"/>
      <c r="R123" s="9"/>
      <c r="S123" s="9"/>
      <c r="T123" s="9"/>
      <c r="U123" s="9"/>
      <c r="V123" s="9"/>
      <c r="W123" s="9"/>
      <c r="X123" s="9"/>
      <c r="Y123" s="9"/>
      <c r="Z123" s="9"/>
    </row>
    <row r="124">
      <c r="A124" s="82">
        <v>124.0</v>
      </c>
      <c r="B124" s="74" t="s">
        <v>1498</v>
      </c>
      <c r="C124" s="74"/>
      <c r="D124" s="74" t="s">
        <v>21</v>
      </c>
      <c r="E124" s="74" t="s">
        <v>22</v>
      </c>
      <c r="F124" s="74" t="s">
        <v>1499</v>
      </c>
      <c r="G124" s="74"/>
      <c r="H124" s="74" t="s">
        <v>25</v>
      </c>
      <c r="I124" s="85"/>
      <c r="J124" s="78" t="s">
        <v>37</v>
      </c>
      <c r="K124" s="78" t="s">
        <v>39</v>
      </c>
      <c r="L124" s="78">
        <v>9.5405277E9</v>
      </c>
      <c r="M124" s="78" t="s">
        <v>41</v>
      </c>
      <c r="N124" s="85"/>
      <c r="O124" s="9"/>
      <c r="P124" s="9"/>
      <c r="Q124" s="9"/>
      <c r="R124" s="9"/>
      <c r="S124" s="9"/>
      <c r="T124" s="9"/>
      <c r="U124" s="9"/>
      <c r="V124" s="9"/>
      <c r="W124" s="9"/>
      <c r="X124" s="9"/>
      <c r="Y124" s="9"/>
      <c r="Z124" s="9"/>
    </row>
    <row r="125">
      <c r="A125" s="82">
        <v>125.0</v>
      </c>
      <c r="B125" s="74" t="s">
        <v>1501</v>
      </c>
      <c r="C125" s="74"/>
      <c r="D125" s="74" t="s">
        <v>21</v>
      </c>
      <c r="E125" s="74" t="s">
        <v>22</v>
      </c>
      <c r="F125" s="74" t="s">
        <v>1503</v>
      </c>
      <c r="G125" s="74"/>
      <c r="H125" s="74" t="s">
        <v>25</v>
      </c>
      <c r="I125" s="85"/>
      <c r="J125" s="78" t="s">
        <v>37</v>
      </c>
      <c r="K125" s="78" t="s">
        <v>39</v>
      </c>
      <c r="L125" s="78">
        <v>9.5405277E9</v>
      </c>
      <c r="M125" s="78" t="s">
        <v>41</v>
      </c>
      <c r="N125" s="85"/>
      <c r="O125" s="9"/>
      <c r="P125" s="9"/>
      <c r="Q125" s="9"/>
      <c r="R125" s="9"/>
      <c r="S125" s="9"/>
      <c r="T125" s="9"/>
      <c r="U125" s="9"/>
      <c r="V125" s="9"/>
      <c r="W125" s="9"/>
      <c r="X125" s="9"/>
      <c r="Y125" s="9"/>
      <c r="Z125" s="9"/>
    </row>
    <row r="126">
      <c r="A126" s="82">
        <v>126.0</v>
      </c>
      <c r="B126" s="74" t="s">
        <v>1506</v>
      </c>
      <c r="C126" s="74"/>
      <c r="D126" s="74" t="s">
        <v>21</v>
      </c>
      <c r="E126" s="74" t="s">
        <v>22</v>
      </c>
      <c r="F126" s="89">
        <v>46268.0</v>
      </c>
      <c r="G126" s="74"/>
      <c r="H126" s="74" t="s">
        <v>25</v>
      </c>
      <c r="I126" s="85"/>
      <c r="J126" s="78" t="s">
        <v>37</v>
      </c>
      <c r="K126" s="78" t="s">
        <v>39</v>
      </c>
      <c r="L126" s="78">
        <v>9.5405277E9</v>
      </c>
      <c r="M126" s="78" t="s">
        <v>41</v>
      </c>
      <c r="N126" s="85"/>
      <c r="O126" s="9"/>
      <c r="P126" s="9"/>
      <c r="Q126" s="9"/>
      <c r="R126" s="9"/>
      <c r="S126" s="9"/>
      <c r="T126" s="9"/>
      <c r="U126" s="9"/>
      <c r="V126" s="9"/>
      <c r="W126" s="9"/>
      <c r="X126" s="9"/>
      <c r="Y126" s="9"/>
      <c r="Z126" s="9"/>
    </row>
    <row r="127">
      <c r="A127" s="9"/>
      <c r="B127" s="92" t="s">
        <v>1507</v>
      </c>
      <c r="C127" s="9"/>
      <c r="D127" s="9"/>
      <c r="E127" s="9"/>
      <c r="F127" s="94" t="s">
        <v>1508</v>
      </c>
      <c r="G127" s="9"/>
      <c r="H127" s="9"/>
      <c r="I127" s="9"/>
      <c r="J127" s="9"/>
      <c r="K127" s="9"/>
      <c r="L127" s="9"/>
      <c r="M127" s="9"/>
      <c r="N127" s="9"/>
      <c r="O127" s="9"/>
      <c r="P127" s="9"/>
      <c r="Q127" s="9"/>
      <c r="R127" s="9"/>
      <c r="S127" s="9"/>
      <c r="T127" s="9"/>
      <c r="U127" s="9"/>
      <c r="V127" s="9"/>
      <c r="W127" s="9"/>
      <c r="X127" s="9"/>
      <c r="Y127" s="9"/>
      <c r="Z127" s="9"/>
    </row>
    <row r="128">
      <c r="A128" s="9"/>
      <c r="B128" s="92" t="s">
        <v>1513</v>
      </c>
      <c r="C128" s="9"/>
      <c r="D128" s="9"/>
      <c r="E128" s="9"/>
      <c r="F128" s="94" t="s">
        <v>1514</v>
      </c>
      <c r="G128" s="9"/>
      <c r="H128" s="9"/>
      <c r="I128" s="9"/>
      <c r="J128" s="9"/>
      <c r="K128" s="9"/>
      <c r="L128" s="9"/>
      <c r="M128" s="9"/>
      <c r="N128" s="9"/>
      <c r="O128" s="9"/>
      <c r="P128" s="9"/>
      <c r="Q128" s="9"/>
      <c r="R128" s="9"/>
      <c r="S128" s="9"/>
      <c r="T128" s="9"/>
      <c r="U128" s="9"/>
      <c r="V128" s="9"/>
      <c r="W128" s="9"/>
      <c r="X128" s="9"/>
      <c r="Y128" s="9"/>
      <c r="Z128" s="9"/>
    </row>
    <row r="129">
      <c r="A129" s="9"/>
      <c r="B129" s="92" t="s">
        <v>1515</v>
      </c>
      <c r="C129" s="9"/>
      <c r="D129" s="9"/>
      <c r="E129" s="9"/>
      <c r="F129" s="94" t="s">
        <v>1516</v>
      </c>
      <c r="G129" s="9"/>
      <c r="H129" s="9"/>
      <c r="I129" s="9"/>
      <c r="J129" s="9"/>
      <c r="K129" s="9"/>
      <c r="L129" s="9"/>
      <c r="M129" s="9"/>
      <c r="N129" s="9"/>
      <c r="O129" s="9"/>
      <c r="P129" s="9"/>
      <c r="Q129" s="9"/>
      <c r="R129" s="9"/>
      <c r="S129" s="9"/>
      <c r="T129" s="9"/>
      <c r="U129" s="9"/>
      <c r="V129" s="9"/>
      <c r="W129" s="9"/>
      <c r="X129" s="9"/>
      <c r="Y129" s="9"/>
      <c r="Z129" s="9"/>
    </row>
    <row r="130">
      <c r="A130" s="9"/>
      <c r="B130" s="92" t="s">
        <v>1517</v>
      </c>
      <c r="C130" s="9"/>
      <c r="D130" s="9"/>
      <c r="E130" s="9"/>
      <c r="F130" s="94" t="s">
        <v>1518</v>
      </c>
      <c r="G130" s="9"/>
      <c r="H130" s="9"/>
      <c r="I130" s="9"/>
      <c r="J130" s="9"/>
      <c r="K130" s="9"/>
      <c r="L130" s="9"/>
      <c r="M130" s="9"/>
      <c r="N130" s="9"/>
      <c r="O130" s="9"/>
      <c r="P130" s="9"/>
      <c r="Q130" s="9"/>
      <c r="R130" s="9"/>
      <c r="S130" s="9"/>
      <c r="T130" s="9"/>
      <c r="U130" s="9"/>
      <c r="V130" s="9"/>
      <c r="W130" s="9"/>
      <c r="X130" s="9"/>
      <c r="Y130" s="9"/>
      <c r="Z130" s="9"/>
    </row>
    <row r="131">
      <c r="A131" s="9"/>
      <c r="B131" s="92" t="s">
        <v>1520</v>
      </c>
      <c r="C131" s="9"/>
      <c r="D131" s="9"/>
      <c r="E131" s="9"/>
      <c r="F131" s="94" t="s">
        <v>1521</v>
      </c>
      <c r="G131" s="9"/>
      <c r="H131" s="9"/>
      <c r="I131" s="9"/>
      <c r="J131" s="9"/>
      <c r="K131" s="9"/>
      <c r="L131" s="9"/>
      <c r="M131" s="9"/>
      <c r="N131" s="9"/>
      <c r="O131" s="9"/>
      <c r="P131" s="9"/>
      <c r="Q131" s="9"/>
      <c r="R131" s="9"/>
      <c r="S131" s="9"/>
      <c r="T131" s="9"/>
      <c r="U131" s="9"/>
      <c r="V131" s="9"/>
      <c r="W131" s="9"/>
      <c r="X131" s="9"/>
      <c r="Y131" s="9"/>
      <c r="Z131" s="9"/>
    </row>
    <row r="132">
      <c r="A132" s="9"/>
      <c r="B132" s="92" t="s">
        <v>1522</v>
      </c>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2" t="s">
        <v>1526</v>
      </c>
      <c r="C133" s="9"/>
      <c r="D133" s="9"/>
      <c r="E133" s="9"/>
      <c r="F133" s="96">
        <v>46029.0</v>
      </c>
      <c r="G133" s="9"/>
      <c r="H133" s="9"/>
      <c r="I133" s="9"/>
      <c r="J133" s="9"/>
      <c r="K133" s="9"/>
      <c r="L133" s="9"/>
      <c r="M133" s="9"/>
      <c r="N133" s="9"/>
      <c r="O133" s="9"/>
      <c r="P133" s="9"/>
      <c r="Q133" s="9"/>
      <c r="R133" s="9"/>
      <c r="S133" s="9"/>
      <c r="T133" s="9"/>
      <c r="U133" s="9"/>
      <c r="V133" s="9"/>
      <c r="W133" s="9"/>
      <c r="X133" s="9"/>
      <c r="Y133" s="9"/>
      <c r="Z133" s="9"/>
    </row>
    <row r="134">
      <c r="A134" s="9"/>
      <c r="B134" s="97" t="s">
        <v>1528</v>
      </c>
      <c r="C134" s="9"/>
      <c r="D134" s="9"/>
      <c r="E134" s="9"/>
      <c r="F134" s="94" t="s">
        <v>1529</v>
      </c>
      <c r="G134" s="9"/>
      <c r="H134" s="9"/>
      <c r="I134" s="9"/>
      <c r="J134" s="9"/>
      <c r="K134" s="9"/>
      <c r="L134" s="9"/>
      <c r="M134" s="9"/>
      <c r="N134" s="9"/>
      <c r="O134" s="9"/>
      <c r="P134" s="9"/>
      <c r="Q134" s="9"/>
      <c r="R134" s="9"/>
      <c r="S134" s="9"/>
      <c r="T134" s="9"/>
      <c r="U134" s="9"/>
      <c r="V134" s="9"/>
      <c r="W134" s="9"/>
      <c r="X134" s="9"/>
      <c r="Y134" s="9"/>
      <c r="Z134" s="9"/>
    </row>
    <row r="135">
      <c r="A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sheetData>
  <dataValidations>
    <dataValidation type="list" allowBlank="1" showErrorMessage="1" sqref="I2:I80 I82">
      <formula1>"Type of Event/Program (Corporate/Industry connect,Stakeholder Engagement,GEM WORKSHOP FOR BUYER &amp; SELLER MEET,DOMESTIC AND INTERNATIONAL TRADE PROGRAM,HACKATHONS,PITCHING SESSION,SENSITIZATION PROGRAM FOR STARTUPS &amp; MENTORS,CORPORATE/INDUSTRY CONNECT,OTHE"&amp;"RS,PROGRAM CONDUCTED TO SUPPORT STUDENT ENTREPRENEURS"</formula1>
    </dataValidation>
    <dataValidation type="list" allowBlank="1" showErrorMessage="1" sqref="I81">
      <formula1>"Industry/Corporate connects,Stakeholder engagements,Other events"</formula1>
    </dataValidation>
  </dataValidations>
  <hyperlinks>
    <hyperlink r:id="rId1" ref="N2"/>
    <hyperlink r:id="rId2" ref="N3"/>
    <hyperlink r:id="rId3" ref="N88"/>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23.38"/>
    <col customWidth="1" min="3" max="3" width="27.38"/>
    <col customWidth="1" min="4" max="4" width="24.0"/>
    <col customWidth="1" min="5" max="5" width="22.63"/>
    <col customWidth="1" min="8" max="9" width="16.0"/>
    <col customWidth="1" min="10" max="10" width="29.13"/>
    <col customWidth="1" min="11" max="11" width="30.38"/>
  </cols>
  <sheetData>
    <row r="1">
      <c r="A1" s="4" t="s">
        <v>1</v>
      </c>
      <c r="B1" s="3"/>
      <c r="C1" s="3"/>
      <c r="D1" s="3"/>
      <c r="E1" s="3"/>
      <c r="F1" s="3"/>
      <c r="G1" s="3"/>
      <c r="H1" s="3"/>
      <c r="I1" s="3"/>
      <c r="J1" s="3"/>
      <c r="K1" s="5"/>
      <c r="L1" s="7"/>
      <c r="M1" s="7"/>
      <c r="N1" s="7"/>
      <c r="O1" s="7"/>
      <c r="P1" s="7"/>
      <c r="Q1" s="7"/>
      <c r="R1" s="7"/>
      <c r="S1" s="7"/>
      <c r="T1" s="7"/>
      <c r="U1" s="7"/>
      <c r="V1" s="7"/>
      <c r="W1" s="7"/>
      <c r="X1" s="7"/>
      <c r="Y1" s="7"/>
      <c r="Z1" s="7"/>
      <c r="AA1" s="7"/>
      <c r="AB1" s="7"/>
      <c r="AC1" s="7"/>
      <c r="AD1" s="7"/>
      <c r="AE1" s="7"/>
    </row>
    <row r="2">
      <c r="A2" s="4" t="s">
        <v>20</v>
      </c>
      <c r="B2" s="3"/>
      <c r="C2" s="3"/>
      <c r="D2" s="3"/>
      <c r="E2" s="3"/>
      <c r="F2" s="3"/>
      <c r="G2" s="3"/>
      <c r="H2" s="3"/>
      <c r="I2" s="3"/>
      <c r="J2" s="3"/>
      <c r="K2" s="5"/>
      <c r="L2" s="7"/>
      <c r="M2" s="7"/>
      <c r="N2" s="7"/>
      <c r="O2" s="7"/>
      <c r="P2" s="7"/>
      <c r="Q2" s="7"/>
      <c r="R2" s="7"/>
      <c r="S2" s="7"/>
      <c r="T2" s="7"/>
      <c r="U2" s="7"/>
      <c r="V2" s="7"/>
      <c r="W2" s="7"/>
      <c r="X2" s="7"/>
      <c r="Y2" s="7"/>
      <c r="Z2" s="7"/>
      <c r="AA2" s="7"/>
      <c r="AB2" s="7"/>
      <c r="AC2" s="7"/>
      <c r="AD2" s="7"/>
      <c r="AE2" s="7"/>
    </row>
    <row r="3">
      <c r="A3" s="14"/>
      <c r="B3" s="14"/>
      <c r="C3" s="14"/>
      <c r="D3" s="15" t="s">
        <v>33</v>
      </c>
      <c r="E3" s="3"/>
      <c r="F3" s="3"/>
      <c r="G3" s="3"/>
      <c r="H3" s="5"/>
      <c r="I3" s="14"/>
      <c r="J3" s="14"/>
      <c r="K3" s="14"/>
      <c r="L3" s="7"/>
      <c r="M3" s="7"/>
      <c r="N3" s="7"/>
      <c r="O3" s="7"/>
      <c r="P3" s="7"/>
      <c r="Q3" s="7"/>
      <c r="R3" s="7"/>
      <c r="S3" s="7"/>
      <c r="T3" s="7"/>
      <c r="U3" s="7"/>
      <c r="V3" s="7"/>
      <c r="W3" s="7"/>
      <c r="X3" s="7"/>
      <c r="Y3" s="7"/>
      <c r="Z3" s="7"/>
      <c r="AA3" s="7"/>
      <c r="AB3" s="7"/>
      <c r="AC3" s="7"/>
      <c r="AD3" s="7"/>
      <c r="AE3" s="7"/>
    </row>
    <row r="4">
      <c r="A4" s="18" t="s">
        <v>45</v>
      </c>
      <c r="B4" s="19" t="s">
        <v>47</v>
      </c>
      <c r="C4" s="3"/>
      <c r="D4" s="3"/>
      <c r="E4" s="3"/>
      <c r="F4" s="3"/>
      <c r="G4" s="3"/>
      <c r="H4" s="3"/>
      <c r="I4" s="3"/>
      <c r="J4" s="3"/>
      <c r="K4" s="5"/>
      <c r="L4" s="7"/>
      <c r="M4" s="7"/>
      <c r="N4" s="7"/>
      <c r="O4" s="7"/>
      <c r="P4" s="7"/>
      <c r="Q4" s="7"/>
      <c r="R4" s="7"/>
      <c r="S4" s="7"/>
      <c r="T4" s="7"/>
      <c r="U4" s="7"/>
      <c r="V4" s="7"/>
      <c r="W4" s="7"/>
      <c r="X4" s="7"/>
      <c r="Y4" s="7"/>
      <c r="Z4" s="7"/>
      <c r="AA4" s="7"/>
      <c r="AB4" s="7"/>
      <c r="AC4" s="7"/>
      <c r="AD4" s="7"/>
      <c r="AE4" s="7"/>
    </row>
    <row r="5">
      <c r="A5" s="18" t="s">
        <v>63</v>
      </c>
      <c r="B5" s="14"/>
      <c r="C5" s="23" t="s">
        <v>65</v>
      </c>
      <c r="D5" s="14"/>
      <c r="E5" s="14"/>
      <c r="F5" s="14"/>
      <c r="G5" s="14"/>
      <c r="H5" s="14"/>
      <c r="I5" s="14"/>
      <c r="J5" s="14"/>
      <c r="K5" s="24" t="s">
        <v>75</v>
      </c>
      <c r="L5" s="7"/>
      <c r="M5" s="7"/>
      <c r="N5" s="7"/>
      <c r="O5" s="7"/>
      <c r="P5" s="7"/>
      <c r="Q5" s="7"/>
      <c r="R5" s="7"/>
      <c r="S5" s="7"/>
      <c r="T5" s="7"/>
      <c r="U5" s="7"/>
      <c r="V5" s="7"/>
      <c r="W5" s="7"/>
      <c r="X5" s="7"/>
      <c r="Y5" s="7"/>
      <c r="Z5" s="7"/>
      <c r="AA5" s="7"/>
      <c r="AB5" s="7"/>
      <c r="AC5" s="7"/>
      <c r="AD5" s="7"/>
      <c r="AE5" s="7"/>
    </row>
    <row r="6">
      <c r="A6" s="18" t="s">
        <v>79</v>
      </c>
      <c r="B6" s="19" t="s">
        <v>81</v>
      </c>
      <c r="C6" s="3"/>
      <c r="D6" s="3"/>
      <c r="E6" s="3"/>
      <c r="F6" s="3"/>
      <c r="G6" s="3"/>
      <c r="H6" s="3"/>
      <c r="I6" s="3"/>
      <c r="J6" s="3"/>
      <c r="K6" s="5"/>
      <c r="L6" s="7"/>
      <c r="M6" s="7"/>
      <c r="N6" s="7"/>
      <c r="O6" s="7"/>
      <c r="P6" s="7"/>
      <c r="Q6" s="7"/>
      <c r="R6" s="7"/>
      <c r="S6" s="7"/>
      <c r="T6" s="7"/>
      <c r="U6" s="7"/>
      <c r="V6" s="7"/>
      <c r="W6" s="7"/>
      <c r="X6" s="7"/>
      <c r="Y6" s="7"/>
      <c r="Z6" s="7"/>
      <c r="AA6" s="7"/>
      <c r="AB6" s="7"/>
      <c r="AC6" s="7"/>
      <c r="AD6" s="7"/>
      <c r="AE6" s="7"/>
    </row>
    <row r="7">
      <c r="A7" s="18" t="s">
        <v>97</v>
      </c>
      <c r="B7" s="14"/>
      <c r="C7" s="23" t="s">
        <v>99</v>
      </c>
      <c r="D7" s="14"/>
      <c r="E7" s="14"/>
      <c r="F7" s="14"/>
      <c r="G7" s="14"/>
      <c r="H7" s="14"/>
      <c r="I7" s="14"/>
      <c r="J7" s="24" t="s">
        <v>109</v>
      </c>
      <c r="K7" s="24">
        <v>222.0</v>
      </c>
      <c r="L7" s="7"/>
      <c r="M7" s="7"/>
      <c r="N7" s="7"/>
      <c r="O7" s="7"/>
      <c r="P7" s="7"/>
      <c r="Q7" s="7"/>
      <c r="R7" s="7"/>
      <c r="S7" s="7"/>
      <c r="T7" s="7"/>
      <c r="U7" s="7"/>
      <c r="V7" s="7"/>
      <c r="W7" s="7"/>
      <c r="X7" s="7"/>
      <c r="Y7" s="7"/>
      <c r="Z7" s="7"/>
      <c r="AA7" s="7"/>
      <c r="AB7" s="7"/>
      <c r="AC7" s="7"/>
      <c r="AD7" s="7"/>
      <c r="AE7" s="7"/>
    </row>
    <row r="8">
      <c r="A8" s="18" t="s">
        <v>126</v>
      </c>
      <c r="B8" s="14"/>
      <c r="C8" s="30" t="s">
        <v>127</v>
      </c>
      <c r="D8" s="3"/>
      <c r="E8" s="3"/>
      <c r="F8" s="3"/>
      <c r="G8" s="3"/>
      <c r="H8" s="3"/>
      <c r="I8" s="5"/>
      <c r="J8" s="24" t="s">
        <v>134</v>
      </c>
      <c r="K8" s="24" t="s">
        <v>136</v>
      </c>
      <c r="L8" s="7"/>
      <c r="M8" s="7"/>
      <c r="N8" s="7"/>
      <c r="O8" s="7"/>
      <c r="P8" s="7"/>
      <c r="Q8" s="7"/>
      <c r="R8" s="7"/>
      <c r="S8" s="7"/>
      <c r="T8" s="7"/>
      <c r="U8" s="7"/>
      <c r="V8" s="7"/>
      <c r="W8" s="7"/>
      <c r="X8" s="7"/>
      <c r="Y8" s="7"/>
      <c r="Z8" s="7"/>
      <c r="AA8" s="7"/>
      <c r="AB8" s="7"/>
      <c r="AC8" s="7"/>
      <c r="AD8" s="7"/>
      <c r="AE8" s="7"/>
    </row>
    <row r="9">
      <c r="A9" s="18" t="s">
        <v>145</v>
      </c>
      <c r="B9" s="14"/>
      <c r="C9" s="30">
        <v>9.219604511E9</v>
      </c>
      <c r="D9" s="3"/>
      <c r="E9" s="3"/>
      <c r="F9" s="3"/>
      <c r="G9" s="3"/>
      <c r="H9" s="3"/>
      <c r="I9" s="5"/>
      <c r="J9" s="24" t="s">
        <v>158</v>
      </c>
      <c r="K9" s="32" t="s">
        <v>160</v>
      </c>
      <c r="L9" s="7"/>
      <c r="M9" s="7"/>
      <c r="N9" s="7"/>
      <c r="O9" s="7"/>
      <c r="P9" s="7"/>
      <c r="Q9" s="7"/>
      <c r="R9" s="7"/>
      <c r="S9" s="7"/>
      <c r="T9" s="7"/>
      <c r="U9" s="7"/>
      <c r="V9" s="7"/>
      <c r="W9" s="7"/>
      <c r="X9" s="7"/>
      <c r="Y9" s="7"/>
      <c r="Z9" s="7"/>
      <c r="AA9" s="7"/>
      <c r="AB9" s="7"/>
      <c r="AC9" s="7"/>
      <c r="AD9" s="7"/>
      <c r="AE9" s="7"/>
    </row>
    <row r="10">
      <c r="A10" s="18" t="s">
        <v>170</v>
      </c>
      <c r="B10" s="14"/>
      <c r="C10" s="32" t="s">
        <v>171</v>
      </c>
      <c r="D10" s="14"/>
      <c r="E10" s="14"/>
      <c r="F10" s="14"/>
      <c r="G10" s="14"/>
      <c r="H10" s="14"/>
      <c r="I10" s="14"/>
      <c r="J10" s="24" t="s">
        <v>174</v>
      </c>
      <c r="K10" s="32">
        <v>9.953447748E9</v>
      </c>
      <c r="L10" s="7"/>
      <c r="M10" s="7"/>
      <c r="N10" s="7"/>
      <c r="O10" s="7"/>
      <c r="P10" s="7"/>
      <c r="Q10" s="7"/>
      <c r="R10" s="7"/>
      <c r="S10" s="7"/>
      <c r="T10" s="7"/>
      <c r="U10" s="7"/>
      <c r="V10" s="7"/>
      <c r="W10" s="7"/>
      <c r="X10" s="7"/>
      <c r="Y10" s="7"/>
      <c r="Z10" s="7"/>
      <c r="AA10" s="7"/>
      <c r="AB10" s="7"/>
      <c r="AC10" s="7"/>
      <c r="AD10" s="7"/>
      <c r="AE10" s="7"/>
    </row>
    <row r="11">
      <c r="A11" s="14"/>
      <c r="B11" s="14"/>
      <c r="C11" s="33"/>
      <c r="D11" s="14"/>
      <c r="E11" s="14"/>
      <c r="F11" s="14"/>
      <c r="G11" s="14"/>
      <c r="H11" s="14"/>
      <c r="I11" s="14"/>
      <c r="J11" s="14"/>
      <c r="K11" s="33"/>
      <c r="L11" s="7"/>
      <c r="M11" s="7"/>
      <c r="N11" s="7"/>
      <c r="O11" s="7"/>
      <c r="P11" s="7"/>
      <c r="Q11" s="7"/>
      <c r="R11" s="7"/>
      <c r="S11" s="7"/>
      <c r="T11" s="7"/>
      <c r="U11" s="7"/>
      <c r="V11" s="7"/>
      <c r="W11" s="7"/>
      <c r="X11" s="7"/>
      <c r="Y11" s="7"/>
      <c r="Z11" s="7"/>
      <c r="AA11" s="7"/>
      <c r="AB11" s="7"/>
      <c r="AC11" s="7"/>
      <c r="AD11" s="7"/>
      <c r="AE11" s="7"/>
    </row>
    <row r="12">
      <c r="A12" s="14"/>
      <c r="B12" s="19" t="s">
        <v>203</v>
      </c>
      <c r="C12" s="3"/>
      <c r="D12" s="3"/>
      <c r="E12" s="3"/>
      <c r="F12" s="3"/>
      <c r="G12" s="3"/>
      <c r="H12" s="3"/>
      <c r="I12" s="3"/>
      <c r="J12" s="3"/>
      <c r="K12" s="5"/>
      <c r="L12" s="7"/>
      <c r="M12" s="7"/>
      <c r="N12" s="7"/>
      <c r="O12" s="7"/>
      <c r="P12" s="7"/>
      <c r="Q12" s="7"/>
      <c r="R12" s="7"/>
      <c r="S12" s="7"/>
      <c r="T12" s="7"/>
      <c r="U12" s="7"/>
      <c r="V12" s="7"/>
      <c r="W12" s="7"/>
      <c r="X12" s="7"/>
      <c r="Y12" s="7"/>
      <c r="Z12" s="7"/>
      <c r="AA12" s="7"/>
      <c r="AB12" s="7"/>
      <c r="AC12" s="7"/>
      <c r="AD12" s="7"/>
      <c r="AE12" s="7"/>
    </row>
    <row r="13">
      <c r="A13" s="14"/>
      <c r="B13" s="14"/>
      <c r="C13" s="14"/>
      <c r="D13" s="14"/>
      <c r="E13" s="14"/>
      <c r="F13" s="14"/>
      <c r="G13" s="14"/>
      <c r="H13" s="14"/>
      <c r="I13" s="14"/>
      <c r="J13" s="14"/>
      <c r="K13" s="14"/>
      <c r="L13" s="7"/>
      <c r="M13" s="7"/>
      <c r="N13" s="7"/>
      <c r="O13" s="7"/>
      <c r="P13" s="7"/>
      <c r="Q13" s="7"/>
      <c r="R13" s="7"/>
      <c r="S13" s="7"/>
      <c r="T13" s="7"/>
      <c r="U13" s="7"/>
      <c r="V13" s="7"/>
      <c r="W13" s="7"/>
      <c r="X13" s="7"/>
      <c r="Y13" s="7"/>
      <c r="Z13" s="7"/>
      <c r="AA13" s="7"/>
      <c r="AB13" s="7"/>
      <c r="AC13" s="7"/>
      <c r="AD13" s="7"/>
      <c r="AE13" s="7"/>
    </row>
    <row r="14">
      <c r="A14" s="36" t="s">
        <v>240</v>
      </c>
      <c r="B14" s="36" t="s">
        <v>244</v>
      </c>
      <c r="C14" s="36" t="s">
        <v>245</v>
      </c>
      <c r="D14" s="36" t="s">
        <v>248</v>
      </c>
      <c r="E14" s="36" t="s">
        <v>251</v>
      </c>
      <c r="F14" s="36" t="s">
        <v>253</v>
      </c>
      <c r="G14" s="36" t="s">
        <v>255</v>
      </c>
      <c r="H14" s="36" t="s">
        <v>257</v>
      </c>
      <c r="I14" s="36" t="s">
        <v>260</v>
      </c>
      <c r="J14" s="36" t="s">
        <v>262</v>
      </c>
      <c r="K14" s="36" t="s">
        <v>265</v>
      </c>
      <c r="L14" s="7"/>
      <c r="M14" s="7"/>
      <c r="N14" s="7"/>
      <c r="O14" s="7"/>
      <c r="P14" s="7"/>
      <c r="Q14" s="7"/>
      <c r="R14" s="7"/>
      <c r="S14" s="7"/>
      <c r="T14" s="7"/>
      <c r="U14" s="7"/>
      <c r="V14" s="7"/>
      <c r="W14" s="7"/>
      <c r="X14" s="7"/>
      <c r="Y14" s="7"/>
      <c r="Z14" s="7"/>
      <c r="AA14" s="7"/>
      <c r="AB14" s="7"/>
      <c r="AC14" s="7"/>
      <c r="AD14" s="7"/>
      <c r="AE14" s="7"/>
    </row>
    <row r="15">
      <c r="A15" s="18" t="s">
        <v>277</v>
      </c>
      <c r="B15" s="24" t="s">
        <v>280</v>
      </c>
      <c r="C15" s="39" t="s">
        <v>282</v>
      </c>
      <c r="D15" s="39" t="s">
        <v>285</v>
      </c>
      <c r="E15" s="24" t="s">
        <v>287</v>
      </c>
      <c r="F15" s="24" t="s">
        <v>290</v>
      </c>
      <c r="G15" s="24" t="s">
        <v>292</v>
      </c>
      <c r="H15" s="39" t="s">
        <v>294</v>
      </c>
      <c r="I15" s="24" t="s">
        <v>296</v>
      </c>
      <c r="J15" s="24" t="s">
        <v>298</v>
      </c>
      <c r="K15" s="39">
        <v>9.120366803E9</v>
      </c>
      <c r="L15" s="7"/>
      <c r="M15" s="7"/>
      <c r="N15" s="7"/>
      <c r="O15" s="7"/>
      <c r="P15" s="7"/>
      <c r="Q15" s="7"/>
      <c r="R15" s="7"/>
      <c r="S15" s="7"/>
      <c r="T15" s="7"/>
      <c r="U15" s="7"/>
      <c r="V15" s="7"/>
      <c r="W15" s="7"/>
      <c r="X15" s="7"/>
      <c r="Y15" s="7"/>
      <c r="Z15" s="7"/>
      <c r="AA15" s="7"/>
      <c r="AB15" s="7"/>
      <c r="AC15" s="7"/>
      <c r="AD15" s="7"/>
      <c r="AE15" s="7"/>
    </row>
    <row r="16">
      <c r="A16" s="18" t="s">
        <v>307</v>
      </c>
      <c r="B16" s="24" t="s">
        <v>310</v>
      </c>
      <c r="C16" s="40" t="s">
        <v>312</v>
      </c>
      <c r="D16" s="40" t="s">
        <v>315</v>
      </c>
      <c r="E16" s="24" t="s">
        <v>287</v>
      </c>
      <c r="F16" s="24" t="s">
        <v>316</v>
      </c>
      <c r="G16" s="24" t="s">
        <v>292</v>
      </c>
      <c r="H16" s="40" t="s">
        <v>320</v>
      </c>
      <c r="I16" s="24" t="s">
        <v>296</v>
      </c>
      <c r="J16" s="24" t="s">
        <v>321</v>
      </c>
      <c r="K16" s="40">
        <v>7.76104292E9</v>
      </c>
      <c r="L16" s="7"/>
      <c r="M16" s="7"/>
      <c r="N16" s="7"/>
      <c r="O16" s="7"/>
      <c r="P16" s="7"/>
      <c r="Q16" s="7"/>
      <c r="R16" s="7"/>
      <c r="S16" s="7"/>
      <c r="T16" s="7"/>
      <c r="U16" s="7"/>
      <c r="V16" s="7"/>
      <c r="W16" s="7"/>
      <c r="X16" s="7"/>
      <c r="Y16" s="7"/>
      <c r="Z16" s="7"/>
      <c r="AA16" s="7"/>
      <c r="AB16" s="7"/>
      <c r="AC16" s="7"/>
      <c r="AD16" s="7"/>
      <c r="AE16" s="7"/>
    </row>
    <row r="17">
      <c r="A17" s="18" t="s">
        <v>326</v>
      </c>
      <c r="B17" s="24" t="s">
        <v>327</v>
      </c>
      <c r="C17" s="42" t="s">
        <v>328</v>
      </c>
      <c r="D17" s="39" t="s">
        <v>331</v>
      </c>
      <c r="E17" s="24" t="s">
        <v>287</v>
      </c>
      <c r="F17" s="24" t="s">
        <v>332</v>
      </c>
      <c r="G17" s="24" t="s">
        <v>292</v>
      </c>
      <c r="H17" s="39" t="s">
        <v>333</v>
      </c>
      <c r="I17" s="24" t="s">
        <v>296</v>
      </c>
      <c r="J17" s="24" t="s">
        <v>334</v>
      </c>
      <c r="K17" s="42">
        <v>9.35419069E9</v>
      </c>
      <c r="L17" s="7"/>
      <c r="M17" s="7"/>
      <c r="N17" s="7"/>
      <c r="O17" s="7"/>
      <c r="P17" s="7"/>
      <c r="Q17" s="7"/>
      <c r="R17" s="7"/>
      <c r="S17" s="7"/>
      <c r="T17" s="7"/>
      <c r="U17" s="7"/>
      <c r="V17" s="7"/>
      <c r="W17" s="7"/>
      <c r="X17" s="7"/>
      <c r="Y17" s="7"/>
      <c r="Z17" s="7"/>
      <c r="AA17" s="7"/>
      <c r="AB17" s="7"/>
      <c r="AC17" s="7"/>
      <c r="AD17" s="7"/>
      <c r="AE17" s="7"/>
    </row>
    <row r="18">
      <c r="A18" s="18" t="s">
        <v>338</v>
      </c>
      <c r="B18" s="24" t="s">
        <v>339</v>
      </c>
      <c r="C18" s="42" t="s">
        <v>340</v>
      </c>
      <c r="D18" s="24" t="s">
        <v>343</v>
      </c>
      <c r="E18" s="24" t="s">
        <v>287</v>
      </c>
      <c r="F18" s="24" t="s">
        <v>345</v>
      </c>
      <c r="G18" s="24" t="s">
        <v>346</v>
      </c>
      <c r="H18" s="24" t="s">
        <v>348</v>
      </c>
      <c r="I18" s="24" t="s">
        <v>296</v>
      </c>
      <c r="J18" s="24" t="s">
        <v>351</v>
      </c>
      <c r="K18" s="24" t="s">
        <v>352</v>
      </c>
      <c r="L18" s="7"/>
      <c r="M18" s="7"/>
      <c r="N18" s="7"/>
      <c r="O18" s="7"/>
      <c r="P18" s="7"/>
      <c r="Q18" s="7"/>
      <c r="R18" s="7"/>
      <c r="S18" s="7"/>
      <c r="T18" s="7"/>
      <c r="U18" s="7"/>
      <c r="V18" s="7"/>
      <c r="W18" s="7"/>
      <c r="X18" s="7"/>
      <c r="Y18" s="7"/>
      <c r="Z18" s="7"/>
      <c r="AA18" s="7"/>
      <c r="AB18" s="7"/>
      <c r="AC18" s="7"/>
      <c r="AD18" s="7"/>
      <c r="AE18" s="7"/>
    </row>
    <row r="19">
      <c r="A19" s="18" t="s">
        <v>357</v>
      </c>
      <c r="B19" s="24" t="s">
        <v>358</v>
      </c>
      <c r="C19" s="39" t="s">
        <v>360</v>
      </c>
      <c r="D19" s="39" t="s">
        <v>361</v>
      </c>
      <c r="E19" s="24" t="s">
        <v>287</v>
      </c>
      <c r="F19" s="24" t="s">
        <v>316</v>
      </c>
      <c r="G19" s="24" t="s">
        <v>292</v>
      </c>
      <c r="H19" s="39" t="s">
        <v>362</v>
      </c>
      <c r="I19" s="24" t="s">
        <v>296</v>
      </c>
      <c r="J19" s="24" t="s">
        <v>364</v>
      </c>
      <c r="K19" s="39">
        <v>9.19980946E9</v>
      </c>
      <c r="L19" s="7"/>
      <c r="M19" s="7"/>
      <c r="N19" s="7"/>
      <c r="O19" s="7"/>
      <c r="P19" s="7"/>
      <c r="Q19" s="7"/>
      <c r="R19" s="7"/>
      <c r="S19" s="7"/>
      <c r="T19" s="7"/>
      <c r="U19" s="7"/>
      <c r="V19" s="7"/>
      <c r="W19" s="7"/>
      <c r="X19" s="7"/>
      <c r="Y19" s="7"/>
      <c r="Z19" s="7"/>
      <c r="AA19" s="7"/>
      <c r="AB19" s="7"/>
      <c r="AC19" s="7"/>
      <c r="AD19" s="7"/>
      <c r="AE19" s="7"/>
    </row>
    <row r="20">
      <c r="A20" s="18" t="s">
        <v>370</v>
      </c>
      <c r="B20" s="24" t="s">
        <v>371</v>
      </c>
      <c r="C20" s="40" t="s">
        <v>373</v>
      </c>
      <c r="D20" s="40" t="s">
        <v>375</v>
      </c>
      <c r="E20" s="24" t="s">
        <v>287</v>
      </c>
      <c r="F20" s="24" t="s">
        <v>332</v>
      </c>
      <c r="G20" s="24" t="s">
        <v>292</v>
      </c>
      <c r="H20" s="40" t="s">
        <v>379</v>
      </c>
      <c r="I20" s="24" t="s">
        <v>380</v>
      </c>
      <c r="J20" s="24" t="s">
        <v>381</v>
      </c>
      <c r="K20" s="40">
        <v>7.294070718E9</v>
      </c>
      <c r="L20" s="7"/>
      <c r="M20" s="7"/>
      <c r="N20" s="7"/>
      <c r="O20" s="7"/>
      <c r="P20" s="7"/>
      <c r="Q20" s="7"/>
      <c r="R20" s="7"/>
      <c r="S20" s="7"/>
      <c r="T20" s="7"/>
      <c r="U20" s="7"/>
      <c r="V20" s="7"/>
      <c r="W20" s="7"/>
      <c r="X20" s="7"/>
      <c r="Y20" s="7"/>
      <c r="Z20" s="7"/>
      <c r="AA20" s="7"/>
      <c r="AB20" s="7"/>
      <c r="AC20" s="7"/>
      <c r="AD20" s="7"/>
      <c r="AE20" s="7"/>
    </row>
    <row r="21">
      <c r="A21" s="18" t="s">
        <v>385</v>
      </c>
      <c r="B21" s="24" t="s">
        <v>386</v>
      </c>
      <c r="C21" s="40" t="s">
        <v>387</v>
      </c>
      <c r="D21" s="40" t="s">
        <v>388</v>
      </c>
      <c r="E21" s="24" t="s">
        <v>287</v>
      </c>
      <c r="F21" s="24" t="s">
        <v>332</v>
      </c>
      <c r="G21" s="24" t="s">
        <v>292</v>
      </c>
      <c r="H21" s="40" t="s">
        <v>390</v>
      </c>
      <c r="I21" s="24" t="s">
        <v>380</v>
      </c>
      <c r="J21" s="24" t="s">
        <v>391</v>
      </c>
      <c r="K21" s="40">
        <v>8.92033248E9</v>
      </c>
      <c r="L21" s="7"/>
      <c r="M21" s="7"/>
      <c r="N21" s="7"/>
      <c r="O21" s="7"/>
      <c r="P21" s="7"/>
      <c r="Q21" s="7"/>
      <c r="R21" s="7"/>
      <c r="S21" s="7"/>
      <c r="T21" s="7"/>
      <c r="U21" s="7"/>
      <c r="V21" s="7"/>
      <c r="W21" s="7"/>
      <c r="X21" s="7"/>
      <c r="Y21" s="7"/>
      <c r="Z21" s="7"/>
      <c r="AA21" s="7"/>
      <c r="AB21" s="7"/>
      <c r="AC21" s="7"/>
      <c r="AD21" s="7"/>
      <c r="AE21" s="7"/>
    </row>
    <row r="22">
      <c r="A22" s="18" t="s">
        <v>399</v>
      </c>
      <c r="B22" s="24" t="s">
        <v>401</v>
      </c>
      <c r="C22" s="40" t="s">
        <v>402</v>
      </c>
      <c r="D22" s="40" t="s">
        <v>404</v>
      </c>
      <c r="E22" s="24" t="s">
        <v>287</v>
      </c>
      <c r="F22" s="24" t="s">
        <v>316</v>
      </c>
      <c r="G22" s="24" t="s">
        <v>54</v>
      </c>
      <c r="H22" s="40" t="s">
        <v>408</v>
      </c>
      <c r="I22" s="24" t="s">
        <v>296</v>
      </c>
      <c r="J22" s="24" t="s">
        <v>409</v>
      </c>
      <c r="K22" s="24" t="s">
        <v>410</v>
      </c>
      <c r="L22" s="7"/>
      <c r="M22" s="7"/>
      <c r="N22" s="7"/>
      <c r="O22" s="7"/>
      <c r="P22" s="7"/>
      <c r="Q22" s="7"/>
      <c r="R22" s="7"/>
      <c r="S22" s="7"/>
      <c r="T22" s="7"/>
      <c r="U22" s="7"/>
      <c r="V22" s="7"/>
      <c r="W22" s="7"/>
      <c r="X22" s="7"/>
      <c r="Y22" s="7"/>
      <c r="Z22" s="7"/>
      <c r="AA22" s="7"/>
      <c r="AB22" s="7"/>
      <c r="AC22" s="7"/>
      <c r="AD22" s="7"/>
      <c r="AE22" s="7"/>
    </row>
    <row r="23">
      <c r="A23" s="18" t="s">
        <v>413</v>
      </c>
      <c r="B23" s="24" t="s">
        <v>415</v>
      </c>
      <c r="C23" s="40" t="s">
        <v>418</v>
      </c>
      <c r="D23" s="40" t="s">
        <v>420</v>
      </c>
      <c r="E23" s="24" t="s">
        <v>287</v>
      </c>
      <c r="F23" s="24" t="s">
        <v>332</v>
      </c>
      <c r="G23" s="24" t="s">
        <v>292</v>
      </c>
      <c r="H23" s="40" t="s">
        <v>425</v>
      </c>
      <c r="I23" s="24" t="s">
        <v>380</v>
      </c>
      <c r="J23" s="24" t="s">
        <v>429</v>
      </c>
      <c r="K23" s="40">
        <v>6.39501724E9</v>
      </c>
      <c r="L23" s="7"/>
      <c r="M23" s="7"/>
      <c r="N23" s="7"/>
      <c r="O23" s="7"/>
      <c r="P23" s="7"/>
      <c r="Q23" s="7"/>
      <c r="R23" s="7"/>
      <c r="S23" s="7"/>
      <c r="T23" s="7"/>
      <c r="U23" s="7"/>
      <c r="V23" s="7"/>
      <c r="W23" s="7"/>
      <c r="X23" s="7"/>
      <c r="Y23" s="7"/>
      <c r="Z23" s="7"/>
      <c r="AA23" s="7"/>
      <c r="AB23" s="7"/>
      <c r="AC23" s="7"/>
      <c r="AD23" s="7"/>
      <c r="AE23" s="7"/>
    </row>
    <row r="24">
      <c r="A24" s="18" t="s">
        <v>434</v>
      </c>
      <c r="B24" s="24" t="s">
        <v>435</v>
      </c>
      <c r="C24" s="39" t="s">
        <v>436</v>
      </c>
      <c r="D24" s="39" t="s">
        <v>437</v>
      </c>
      <c r="E24" s="24" t="s">
        <v>287</v>
      </c>
      <c r="F24" s="24" t="s">
        <v>332</v>
      </c>
      <c r="G24" s="24" t="s">
        <v>292</v>
      </c>
      <c r="H24" s="39" t="s">
        <v>445</v>
      </c>
      <c r="I24" s="24" t="s">
        <v>380</v>
      </c>
      <c r="J24" s="24" t="s">
        <v>448</v>
      </c>
      <c r="K24" s="39">
        <v>8.709522548E9</v>
      </c>
      <c r="L24" s="7"/>
      <c r="M24" s="7"/>
      <c r="N24" s="7"/>
      <c r="O24" s="7"/>
      <c r="P24" s="7"/>
      <c r="Q24" s="7"/>
      <c r="R24" s="7"/>
      <c r="S24" s="7"/>
      <c r="T24" s="7"/>
      <c r="U24" s="7"/>
      <c r="V24" s="7"/>
      <c r="W24" s="7"/>
      <c r="X24" s="7"/>
      <c r="Y24" s="7"/>
      <c r="Z24" s="7"/>
      <c r="AA24" s="7"/>
      <c r="AB24" s="7"/>
      <c r="AC24" s="7"/>
      <c r="AD24" s="7"/>
      <c r="AE24" s="7"/>
    </row>
    <row r="25">
      <c r="A25" s="18" t="s">
        <v>453</v>
      </c>
      <c r="B25" s="24" t="s">
        <v>455</v>
      </c>
      <c r="C25" s="39" t="s">
        <v>458</v>
      </c>
      <c r="D25" s="39" t="s">
        <v>459</v>
      </c>
      <c r="E25" s="24" t="s">
        <v>287</v>
      </c>
      <c r="F25" s="24" t="s">
        <v>332</v>
      </c>
      <c r="G25" s="24" t="s">
        <v>292</v>
      </c>
      <c r="H25" s="39" t="s">
        <v>461</v>
      </c>
      <c r="I25" s="24" t="s">
        <v>296</v>
      </c>
      <c r="J25" s="24" t="s">
        <v>462</v>
      </c>
      <c r="K25" s="39">
        <v>8.076740937E9</v>
      </c>
      <c r="L25" s="7"/>
      <c r="M25" s="7"/>
      <c r="N25" s="7"/>
      <c r="O25" s="7"/>
      <c r="P25" s="7"/>
      <c r="Q25" s="7"/>
      <c r="R25" s="7"/>
      <c r="S25" s="7"/>
      <c r="T25" s="7"/>
      <c r="U25" s="7"/>
      <c r="V25" s="7"/>
      <c r="W25" s="7"/>
      <c r="X25" s="7"/>
      <c r="Y25" s="7"/>
      <c r="Z25" s="7"/>
      <c r="AA25" s="7"/>
      <c r="AB25" s="7"/>
      <c r="AC25" s="7"/>
      <c r="AD25" s="7"/>
      <c r="AE25" s="7"/>
    </row>
    <row r="26">
      <c r="A26" s="18" t="s">
        <v>467</v>
      </c>
      <c r="B26" s="24" t="s">
        <v>468</v>
      </c>
      <c r="C26" s="39" t="s">
        <v>470</v>
      </c>
      <c r="D26" s="24" t="s">
        <v>472</v>
      </c>
      <c r="E26" s="24" t="s">
        <v>287</v>
      </c>
      <c r="F26" s="24" t="s">
        <v>316</v>
      </c>
      <c r="G26" s="24" t="s">
        <v>346</v>
      </c>
      <c r="H26" s="24" t="s">
        <v>480</v>
      </c>
      <c r="I26" s="24" t="s">
        <v>296</v>
      </c>
      <c r="J26" s="24" t="s">
        <v>481</v>
      </c>
      <c r="K26" s="24" t="s">
        <v>482</v>
      </c>
      <c r="L26" s="7"/>
      <c r="M26" s="7"/>
      <c r="N26" s="7"/>
      <c r="O26" s="7"/>
      <c r="P26" s="7"/>
      <c r="Q26" s="7"/>
      <c r="R26" s="7"/>
      <c r="S26" s="7"/>
      <c r="T26" s="7"/>
      <c r="U26" s="7"/>
      <c r="V26" s="7"/>
      <c r="W26" s="7"/>
      <c r="X26" s="7"/>
      <c r="Y26" s="7"/>
      <c r="Z26" s="7"/>
      <c r="AA26" s="7"/>
      <c r="AB26" s="7"/>
      <c r="AC26" s="7"/>
      <c r="AD26" s="7"/>
      <c r="AE26" s="7"/>
    </row>
    <row r="27">
      <c r="A27" s="18" t="s">
        <v>484</v>
      </c>
      <c r="B27" s="24" t="s">
        <v>485</v>
      </c>
      <c r="C27" s="47" t="s">
        <v>486</v>
      </c>
      <c r="D27" s="47" t="s">
        <v>487</v>
      </c>
      <c r="E27" s="24" t="s">
        <v>287</v>
      </c>
      <c r="F27" s="24" t="s">
        <v>290</v>
      </c>
      <c r="G27" s="24" t="s">
        <v>292</v>
      </c>
      <c r="H27" s="47" t="s">
        <v>490</v>
      </c>
      <c r="I27" s="24" t="s">
        <v>296</v>
      </c>
      <c r="J27" s="24" t="s">
        <v>492</v>
      </c>
      <c r="K27" s="47">
        <v>9.140542963E9</v>
      </c>
      <c r="L27" s="7"/>
      <c r="M27" s="7"/>
      <c r="N27" s="7"/>
      <c r="O27" s="7"/>
      <c r="P27" s="7"/>
      <c r="Q27" s="7"/>
      <c r="R27" s="7"/>
      <c r="S27" s="7"/>
      <c r="T27" s="7"/>
      <c r="U27" s="7"/>
      <c r="V27" s="7"/>
      <c r="W27" s="7"/>
      <c r="X27" s="7"/>
      <c r="Y27" s="7"/>
      <c r="Z27" s="7"/>
      <c r="AA27" s="7"/>
      <c r="AB27" s="7"/>
      <c r="AC27" s="7"/>
      <c r="AD27" s="7"/>
      <c r="AE27" s="7"/>
    </row>
    <row r="28">
      <c r="A28" s="18" t="s">
        <v>500</v>
      </c>
      <c r="B28" s="24" t="s">
        <v>501</v>
      </c>
      <c r="C28" s="39" t="s">
        <v>502</v>
      </c>
      <c r="D28" s="39" t="s">
        <v>504</v>
      </c>
      <c r="E28" s="24" t="s">
        <v>287</v>
      </c>
      <c r="F28" s="24" t="s">
        <v>290</v>
      </c>
      <c r="G28" s="24" t="s">
        <v>292</v>
      </c>
      <c r="H28" s="39" t="s">
        <v>506</v>
      </c>
      <c r="I28" s="24" t="s">
        <v>296</v>
      </c>
      <c r="J28" s="24" t="s">
        <v>508</v>
      </c>
      <c r="K28" s="39">
        <v>7.572044787E9</v>
      </c>
      <c r="L28" s="7"/>
      <c r="M28" s="7"/>
      <c r="N28" s="7"/>
      <c r="O28" s="7"/>
      <c r="P28" s="7"/>
      <c r="Q28" s="7"/>
      <c r="R28" s="7"/>
      <c r="S28" s="7"/>
      <c r="T28" s="7"/>
      <c r="U28" s="7"/>
      <c r="V28" s="7"/>
      <c r="W28" s="7"/>
      <c r="X28" s="7"/>
      <c r="Y28" s="7"/>
      <c r="Z28" s="7"/>
      <c r="AA28" s="7"/>
      <c r="AB28" s="7"/>
      <c r="AC28" s="7"/>
      <c r="AD28" s="7"/>
      <c r="AE28" s="7"/>
    </row>
    <row r="29">
      <c r="A29" s="18" t="s">
        <v>519</v>
      </c>
      <c r="B29" s="24" t="s">
        <v>520</v>
      </c>
      <c r="C29" s="47" t="s">
        <v>523</v>
      </c>
      <c r="D29" s="47" t="s">
        <v>525</v>
      </c>
      <c r="E29" s="24" t="s">
        <v>287</v>
      </c>
      <c r="F29" s="24" t="s">
        <v>316</v>
      </c>
      <c r="G29" s="24" t="s">
        <v>346</v>
      </c>
      <c r="H29" s="47" t="s">
        <v>528</v>
      </c>
      <c r="I29" s="24" t="s">
        <v>296</v>
      </c>
      <c r="J29" s="24" t="s">
        <v>530</v>
      </c>
      <c r="K29" s="47">
        <v>7.347239669E9</v>
      </c>
      <c r="L29" s="7"/>
      <c r="M29" s="7"/>
      <c r="N29" s="7"/>
      <c r="O29" s="7"/>
      <c r="P29" s="7"/>
      <c r="Q29" s="7"/>
      <c r="R29" s="7"/>
      <c r="S29" s="7"/>
      <c r="T29" s="7"/>
      <c r="U29" s="7"/>
      <c r="V29" s="7"/>
      <c r="W29" s="7"/>
      <c r="X29" s="7"/>
      <c r="Y29" s="7"/>
      <c r="Z29" s="7"/>
      <c r="AA29" s="7"/>
      <c r="AB29" s="7"/>
      <c r="AC29" s="7"/>
      <c r="AD29" s="7"/>
      <c r="AE29" s="7"/>
    </row>
    <row r="30">
      <c r="A30" s="18" t="s">
        <v>537</v>
      </c>
      <c r="B30" s="24" t="s">
        <v>539</v>
      </c>
      <c r="C30" s="47" t="s">
        <v>541</v>
      </c>
      <c r="D30" s="47" t="s">
        <v>543</v>
      </c>
      <c r="E30" s="24" t="s">
        <v>287</v>
      </c>
      <c r="F30" s="24" t="s">
        <v>290</v>
      </c>
      <c r="G30" s="24" t="s">
        <v>54</v>
      </c>
      <c r="H30" s="47" t="s">
        <v>545</v>
      </c>
      <c r="I30" s="24" t="s">
        <v>296</v>
      </c>
      <c r="J30" s="24" t="s">
        <v>549</v>
      </c>
      <c r="K30" s="47">
        <v>7.838489832E9</v>
      </c>
      <c r="L30" s="7"/>
      <c r="M30" s="7"/>
      <c r="N30" s="7"/>
      <c r="O30" s="7"/>
      <c r="P30" s="7"/>
      <c r="Q30" s="7"/>
      <c r="R30" s="7"/>
      <c r="S30" s="7"/>
      <c r="T30" s="7"/>
      <c r="U30" s="7"/>
      <c r="V30" s="7"/>
      <c r="W30" s="7"/>
      <c r="X30" s="7"/>
      <c r="Y30" s="7"/>
      <c r="Z30" s="7"/>
      <c r="AA30" s="7"/>
      <c r="AB30" s="7"/>
      <c r="AC30" s="7"/>
      <c r="AD30" s="7"/>
      <c r="AE30" s="7"/>
    </row>
    <row r="31">
      <c r="A31" s="18" t="s">
        <v>554</v>
      </c>
      <c r="B31" s="24" t="s">
        <v>555</v>
      </c>
      <c r="C31" s="47" t="s">
        <v>557</v>
      </c>
      <c r="D31" s="47" t="s">
        <v>558</v>
      </c>
      <c r="E31" s="24" t="s">
        <v>287</v>
      </c>
      <c r="F31" s="24" t="s">
        <v>332</v>
      </c>
      <c r="G31" s="24" t="s">
        <v>346</v>
      </c>
      <c r="H31" s="47" t="s">
        <v>561</v>
      </c>
      <c r="I31" s="24" t="s">
        <v>296</v>
      </c>
      <c r="J31" s="24" t="s">
        <v>562</v>
      </c>
      <c r="K31" s="52">
        <v>9.69353731E9</v>
      </c>
      <c r="L31" s="7"/>
      <c r="M31" s="7"/>
      <c r="N31" s="7"/>
      <c r="O31" s="7"/>
      <c r="P31" s="7"/>
      <c r="Q31" s="7"/>
      <c r="R31" s="7"/>
      <c r="S31" s="7"/>
      <c r="T31" s="7"/>
      <c r="U31" s="7"/>
      <c r="V31" s="7"/>
      <c r="W31" s="7"/>
      <c r="X31" s="7"/>
      <c r="Y31" s="7"/>
      <c r="Z31" s="7"/>
      <c r="AA31" s="7"/>
      <c r="AB31" s="7"/>
      <c r="AC31" s="7"/>
      <c r="AD31" s="7"/>
      <c r="AE31" s="7"/>
    </row>
    <row r="32">
      <c r="A32" s="18" t="s">
        <v>571</v>
      </c>
      <c r="B32" s="24" t="s">
        <v>573</v>
      </c>
      <c r="C32" s="39" t="s">
        <v>574</v>
      </c>
      <c r="D32" s="47" t="s">
        <v>576</v>
      </c>
      <c r="E32" s="24" t="s">
        <v>287</v>
      </c>
      <c r="F32" s="24" t="s">
        <v>316</v>
      </c>
      <c r="G32" s="24" t="s">
        <v>54</v>
      </c>
      <c r="H32" s="47" t="s">
        <v>581</v>
      </c>
      <c r="I32" s="24" t="s">
        <v>296</v>
      </c>
      <c r="J32" s="24" t="s">
        <v>583</v>
      </c>
      <c r="K32" s="47">
        <v>7.564827018E9</v>
      </c>
      <c r="L32" s="7"/>
      <c r="M32" s="7"/>
      <c r="N32" s="7"/>
      <c r="O32" s="7"/>
      <c r="P32" s="7"/>
      <c r="Q32" s="7"/>
      <c r="R32" s="7"/>
      <c r="S32" s="7"/>
      <c r="T32" s="7"/>
      <c r="U32" s="7"/>
      <c r="V32" s="7"/>
      <c r="W32" s="7"/>
      <c r="X32" s="7"/>
      <c r="Y32" s="7"/>
      <c r="Z32" s="7"/>
      <c r="AA32" s="7"/>
      <c r="AB32" s="7"/>
      <c r="AC32" s="7"/>
      <c r="AD32" s="7"/>
      <c r="AE32" s="7"/>
    </row>
    <row r="33">
      <c r="A33" s="18" t="s">
        <v>588</v>
      </c>
      <c r="B33" s="17" t="s">
        <v>590</v>
      </c>
      <c r="C33" s="10" t="s">
        <v>591</v>
      </c>
      <c r="D33" s="24" t="s">
        <v>592</v>
      </c>
      <c r="E33" s="24" t="s">
        <v>594</v>
      </c>
      <c r="F33" s="24" t="s">
        <v>345</v>
      </c>
      <c r="G33" s="24" t="s">
        <v>594</v>
      </c>
      <c r="H33" s="24">
        <v>6.387183565E9</v>
      </c>
      <c r="I33" s="24" t="s">
        <v>380</v>
      </c>
      <c r="J33" s="24" t="s">
        <v>598</v>
      </c>
      <c r="K33" s="24" t="s">
        <v>600</v>
      </c>
      <c r="L33" s="7"/>
      <c r="M33" s="7"/>
      <c r="N33" s="7"/>
      <c r="O33" s="7"/>
      <c r="P33" s="7"/>
      <c r="Q33" s="7"/>
      <c r="R33" s="7"/>
      <c r="S33" s="7"/>
      <c r="T33" s="7"/>
      <c r="U33" s="7"/>
      <c r="V33" s="7"/>
      <c r="W33" s="7"/>
      <c r="X33" s="7"/>
      <c r="Y33" s="7"/>
      <c r="Z33" s="7"/>
      <c r="AA33" s="7"/>
      <c r="AB33" s="7"/>
      <c r="AC33" s="7"/>
      <c r="AD33" s="7"/>
      <c r="AE33" s="7"/>
    </row>
    <row r="34">
      <c r="A34" s="18" t="s">
        <v>611</v>
      </c>
      <c r="B34" s="17" t="s">
        <v>613</v>
      </c>
      <c r="C34" s="10" t="s">
        <v>614</v>
      </c>
      <c r="D34" s="24" t="s">
        <v>615</v>
      </c>
      <c r="E34" s="24" t="s">
        <v>594</v>
      </c>
      <c r="F34" s="24" t="s">
        <v>345</v>
      </c>
      <c r="G34" s="24" t="s">
        <v>594</v>
      </c>
      <c r="H34" s="24">
        <v>7.903624384E9</v>
      </c>
      <c r="I34" s="24" t="s">
        <v>380</v>
      </c>
      <c r="J34" s="24" t="s">
        <v>618</v>
      </c>
      <c r="K34" s="24" t="s">
        <v>621</v>
      </c>
      <c r="L34" s="7"/>
      <c r="M34" s="7"/>
      <c r="N34" s="7"/>
      <c r="O34" s="7"/>
      <c r="P34" s="7"/>
      <c r="Q34" s="7"/>
      <c r="R34" s="7"/>
      <c r="S34" s="7"/>
      <c r="T34" s="7"/>
      <c r="U34" s="7"/>
      <c r="V34" s="7"/>
      <c r="W34" s="7"/>
      <c r="X34" s="7"/>
      <c r="Y34" s="7"/>
      <c r="Z34" s="7"/>
      <c r="AA34" s="7"/>
      <c r="AB34" s="7"/>
      <c r="AC34" s="7"/>
      <c r="AD34" s="7"/>
      <c r="AE34" s="7"/>
    </row>
    <row r="35">
      <c r="A35" s="18" t="s">
        <v>629</v>
      </c>
      <c r="B35" s="17" t="s">
        <v>631</v>
      </c>
      <c r="C35" s="10" t="s">
        <v>633</v>
      </c>
      <c r="D35" s="24" t="s">
        <v>634</v>
      </c>
      <c r="E35" s="24" t="s">
        <v>594</v>
      </c>
      <c r="F35" s="24" t="s">
        <v>345</v>
      </c>
      <c r="G35" s="24" t="s">
        <v>594</v>
      </c>
      <c r="H35" s="24">
        <v>9.870621229E9</v>
      </c>
      <c r="I35" s="24" t="s">
        <v>380</v>
      </c>
      <c r="J35" s="24" t="s">
        <v>638</v>
      </c>
      <c r="K35" s="24" t="s">
        <v>642</v>
      </c>
      <c r="L35" s="7"/>
      <c r="M35" s="7"/>
      <c r="N35" s="7"/>
      <c r="O35" s="7"/>
      <c r="P35" s="7"/>
      <c r="Q35" s="7"/>
      <c r="R35" s="7"/>
      <c r="S35" s="7"/>
      <c r="T35" s="7"/>
      <c r="U35" s="7"/>
      <c r="V35" s="7"/>
      <c r="W35" s="7"/>
      <c r="X35" s="7"/>
      <c r="Y35" s="7"/>
      <c r="Z35" s="7"/>
      <c r="AA35" s="7"/>
      <c r="AB35" s="7"/>
      <c r="AC35" s="7"/>
      <c r="AD35" s="7"/>
      <c r="AE35" s="7"/>
    </row>
    <row r="36">
      <c r="A36" s="18" t="s">
        <v>646</v>
      </c>
      <c r="B36" s="17" t="s">
        <v>647</v>
      </c>
      <c r="C36" s="10" t="s">
        <v>648</v>
      </c>
      <c r="D36" s="24" t="s">
        <v>650</v>
      </c>
      <c r="E36" s="24" t="s">
        <v>594</v>
      </c>
      <c r="F36" s="24" t="s">
        <v>345</v>
      </c>
      <c r="G36" s="24" t="s">
        <v>594</v>
      </c>
      <c r="H36" s="24">
        <v>7.302545096E9</v>
      </c>
      <c r="I36" s="24" t="s">
        <v>296</v>
      </c>
      <c r="J36" s="24" t="s">
        <v>655</v>
      </c>
      <c r="K36" s="24" t="s">
        <v>656</v>
      </c>
      <c r="L36" s="7"/>
      <c r="M36" s="7"/>
      <c r="N36" s="7"/>
      <c r="O36" s="7"/>
      <c r="P36" s="7"/>
      <c r="Q36" s="7"/>
      <c r="R36" s="7"/>
      <c r="S36" s="7"/>
      <c r="T36" s="7"/>
      <c r="U36" s="7"/>
      <c r="V36" s="7"/>
      <c r="W36" s="7"/>
      <c r="X36" s="7"/>
      <c r="Y36" s="7"/>
      <c r="Z36" s="7"/>
      <c r="AA36" s="7"/>
      <c r="AB36" s="7"/>
      <c r="AC36" s="7"/>
      <c r="AD36" s="7"/>
      <c r="AE36" s="7"/>
    </row>
    <row r="37">
      <c r="A37" s="18" t="s">
        <v>663</v>
      </c>
      <c r="B37" s="24" t="s">
        <v>664</v>
      </c>
      <c r="C37" s="40" t="s">
        <v>666</v>
      </c>
      <c r="D37" s="40" t="s">
        <v>667</v>
      </c>
      <c r="E37" s="24" t="s">
        <v>287</v>
      </c>
      <c r="F37" s="40" t="s">
        <v>316</v>
      </c>
      <c r="G37" s="40" t="s">
        <v>54</v>
      </c>
      <c r="H37" s="40" t="s">
        <v>674</v>
      </c>
      <c r="I37" s="24" t="s">
        <v>296</v>
      </c>
      <c r="J37" s="24" t="s">
        <v>677</v>
      </c>
      <c r="K37" s="40">
        <v>9.335663953E9</v>
      </c>
      <c r="L37" s="7"/>
      <c r="M37" s="7"/>
      <c r="N37" s="7"/>
      <c r="O37" s="7"/>
      <c r="P37" s="7"/>
      <c r="Q37" s="7"/>
      <c r="R37" s="7"/>
      <c r="S37" s="7"/>
      <c r="T37" s="7"/>
      <c r="U37" s="7"/>
      <c r="V37" s="7"/>
      <c r="W37" s="7"/>
      <c r="X37" s="7"/>
      <c r="Y37" s="7"/>
      <c r="Z37" s="7"/>
      <c r="AA37" s="7"/>
      <c r="AB37" s="7"/>
      <c r="AC37" s="7"/>
      <c r="AD37" s="7"/>
      <c r="AE37" s="7"/>
    </row>
    <row r="38">
      <c r="A38" s="18" t="s">
        <v>685</v>
      </c>
      <c r="B38" s="24" t="s">
        <v>687</v>
      </c>
      <c r="C38" s="40" t="s">
        <v>689</v>
      </c>
      <c r="D38" s="40" t="s">
        <v>690</v>
      </c>
      <c r="E38" s="24" t="s">
        <v>287</v>
      </c>
      <c r="F38" s="40" t="s">
        <v>290</v>
      </c>
      <c r="G38" s="40" t="s">
        <v>54</v>
      </c>
      <c r="H38" s="40" t="s">
        <v>693</v>
      </c>
      <c r="I38" s="24" t="s">
        <v>296</v>
      </c>
      <c r="J38" s="24" t="s">
        <v>695</v>
      </c>
      <c r="K38" s="24" t="s">
        <v>697</v>
      </c>
      <c r="L38" s="7"/>
      <c r="M38" s="7"/>
      <c r="N38" s="7"/>
      <c r="O38" s="7"/>
      <c r="P38" s="7"/>
      <c r="Q38" s="7"/>
      <c r="R38" s="7"/>
      <c r="S38" s="7"/>
      <c r="T38" s="7"/>
      <c r="U38" s="7"/>
      <c r="V38" s="7"/>
      <c r="W38" s="7"/>
      <c r="X38" s="7"/>
      <c r="Y38" s="7"/>
      <c r="Z38" s="7"/>
      <c r="AA38" s="7"/>
      <c r="AB38" s="7"/>
      <c r="AC38" s="7"/>
      <c r="AD38" s="7"/>
      <c r="AE38" s="7"/>
    </row>
    <row r="39">
      <c r="A39" s="18" t="s">
        <v>702</v>
      </c>
      <c r="B39" s="24" t="s">
        <v>704</v>
      </c>
      <c r="C39" s="24" t="s">
        <v>705</v>
      </c>
      <c r="D39" s="24" t="s">
        <v>709</v>
      </c>
      <c r="E39" s="24" t="s">
        <v>287</v>
      </c>
      <c r="F39" s="24" t="s">
        <v>290</v>
      </c>
      <c r="G39" s="24" t="s">
        <v>346</v>
      </c>
      <c r="H39" s="24" t="s">
        <v>714</v>
      </c>
      <c r="I39" s="24" t="s">
        <v>296</v>
      </c>
      <c r="J39" s="24" t="s">
        <v>717</v>
      </c>
      <c r="K39" s="24" t="s">
        <v>718</v>
      </c>
      <c r="L39" s="7"/>
      <c r="M39" s="7"/>
      <c r="N39" s="7"/>
      <c r="O39" s="7"/>
      <c r="P39" s="7"/>
      <c r="Q39" s="7"/>
      <c r="R39" s="7"/>
      <c r="S39" s="7"/>
      <c r="T39" s="7"/>
      <c r="U39" s="7"/>
      <c r="V39" s="7"/>
      <c r="W39" s="7"/>
      <c r="X39" s="7"/>
      <c r="Y39" s="7"/>
      <c r="Z39" s="7"/>
      <c r="AA39" s="7"/>
      <c r="AB39" s="7"/>
      <c r="AC39" s="7"/>
      <c r="AD39" s="7"/>
      <c r="AE39" s="7"/>
    </row>
    <row r="40">
      <c r="A40" s="18" t="s">
        <v>721</v>
      </c>
      <c r="B40" s="24" t="s">
        <v>722</v>
      </c>
      <c r="C40" s="24" t="s">
        <v>723</v>
      </c>
      <c r="D40" s="24" t="s">
        <v>726</v>
      </c>
      <c r="E40" s="24" t="s">
        <v>287</v>
      </c>
      <c r="F40" s="24" t="s">
        <v>345</v>
      </c>
      <c r="G40" s="24" t="s">
        <v>54</v>
      </c>
      <c r="H40" s="24" t="s">
        <v>731</v>
      </c>
      <c r="I40" s="24" t="s">
        <v>380</v>
      </c>
      <c r="J40" s="24" t="s">
        <v>733</v>
      </c>
      <c r="K40" s="24" t="s">
        <v>734</v>
      </c>
      <c r="L40" s="7"/>
      <c r="M40" s="7"/>
      <c r="N40" s="7"/>
      <c r="O40" s="7"/>
      <c r="P40" s="7"/>
      <c r="Q40" s="7"/>
      <c r="R40" s="7"/>
      <c r="S40" s="7"/>
      <c r="T40" s="7"/>
      <c r="U40" s="7"/>
      <c r="V40" s="7"/>
      <c r="W40" s="7"/>
      <c r="X40" s="7"/>
      <c r="Y40" s="7"/>
      <c r="Z40" s="7"/>
      <c r="AA40" s="7"/>
      <c r="AB40" s="7"/>
      <c r="AC40" s="7"/>
      <c r="AD40" s="7"/>
      <c r="AE40" s="7"/>
    </row>
    <row r="41">
      <c r="A41" s="18" t="s">
        <v>745</v>
      </c>
      <c r="B41" s="24" t="s">
        <v>747</v>
      </c>
      <c r="C41" s="24" t="s">
        <v>750</v>
      </c>
      <c r="D41" s="24" t="s">
        <v>752</v>
      </c>
      <c r="E41" s="24" t="s">
        <v>287</v>
      </c>
      <c r="F41" s="24" t="s">
        <v>316</v>
      </c>
      <c r="G41" s="24" t="s">
        <v>346</v>
      </c>
      <c r="H41" s="24" t="s">
        <v>755</v>
      </c>
      <c r="I41" s="24" t="s">
        <v>380</v>
      </c>
      <c r="J41" s="24" t="s">
        <v>758</v>
      </c>
      <c r="K41" s="24" t="s">
        <v>759</v>
      </c>
      <c r="L41" s="7"/>
      <c r="M41" s="7"/>
      <c r="N41" s="7"/>
      <c r="O41" s="7"/>
      <c r="P41" s="7"/>
      <c r="Q41" s="7"/>
      <c r="R41" s="7"/>
      <c r="S41" s="7"/>
      <c r="T41" s="7"/>
      <c r="U41" s="7"/>
      <c r="V41" s="7"/>
      <c r="W41" s="7"/>
      <c r="X41" s="7"/>
      <c r="Y41" s="7"/>
      <c r="Z41" s="7"/>
      <c r="AA41" s="7"/>
      <c r="AB41" s="7"/>
      <c r="AC41" s="7"/>
      <c r="AD41" s="7"/>
      <c r="AE41" s="7"/>
    </row>
    <row r="42">
      <c r="A42" s="14"/>
      <c r="B42" s="14"/>
      <c r="C42" s="56"/>
      <c r="D42" s="14"/>
      <c r="E42" s="14"/>
      <c r="F42" s="14"/>
      <c r="G42" s="14"/>
      <c r="H42" s="14"/>
      <c r="I42" s="14"/>
      <c r="J42" s="14"/>
      <c r="K42" s="14"/>
      <c r="L42" s="7"/>
      <c r="M42" s="7"/>
      <c r="N42" s="7"/>
      <c r="O42" s="7"/>
      <c r="P42" s="7"/>
      <c r="Q42" s="7"/>
      <c r="R42" s="7"/>
      <c r="S42" s="7"/>
      <c r="T42" s="7"/>
      <c r="U42" s="7"/>
      <c r="V42" s="7"/>
      <c r="W42" s="7"/>
      <c r="X42" s="7"/>
      <c r="Y42" s="7"/>
      <c r="Z42" s="7"/>
      <c r="AA42" s="7"/>
      <c r="AB42" s="7"/>
      <c r="AC42" s="7"/>
      <c r="AD42" s="7"/>
      <c r="AE42" s="7"/>
    </row>
    <row r="43">
      <c r="A43" s="14"/>
      <c r="B43" s="14"/>
      <c r="C43" s="56"/>
      <c r="D43" s="14"/>
      <c r="E43" s="14"/>
      <c r="F43" s="14"/>
      <c r="G43" s="14"/>
      <c r="H43" s="14"/>
      <c r="I43" s="14"/>
      <c r="J43" s="14"/>
      <c r="K43" s="14"/>
      <c r="L43" s="7"/>
      <c r="M43" s="7"/>
      <c r="N43" s="7"/>
      <c r="O43" s="7"/>
      <c r="P43" s="7"/>
      <c r="Q43" s="7"/>
      <c r="R43" s="7"/>
      <c r="S43" s="7"/>
      <c r="T43" s="7"/>
      <c r="U43" s="7"/>
      <c r="V43" s="7"/>
      <c r="W43" s="7"/>
      <c r="X43" s="7"/>
      <c r="Y43" s="7"/>
      <c r="Z43" s="7"/>
      <c r="AA43" s="7"/>
      <c r="AB43" s="7"/>
      <c r="AC43" s="7"/>
      <c r="AD43" s="7"/>
      <c r="AE43" s="7"/>
    </row>
    <row r="44">
      <c r="A44" s="14"/>
      <c r="B44" s="57" t="s">
        <v>244</v>
      </c>
      <c r="C44" s="5"/>
      <c r="D44" s="36" t="s">
        <v>245</v>
      </c>
      <c r="E44" s="36" t="s">
        <v>248</v>
      </c>
      <c r="F44" s="36" t="s">
        <v>253</v>
      </c>
      <c r="G44" s="36" t="s">
        <v>255</v>
      </c>
      <c r="H44" s="36" t="s">
        <v>260</v>
      </c>
      <c r="I44" s="36" t="s">
        <v>257</v>
      </c>
      <c r="J44" s="36" t="s">
        <v>265</v>
      </c>
      <c r="K44" s="36" t="s">
        <v>788</v>
      </c>
      <c r="L44" s="7"/>
      <c r="M44" s="7"/>
      <c r="N44" s="7"/>
      <c r="O44" s="7"/>
      <c r="P44" s="7"/>
      <c r="Q44" s="7"/>
      <c r="R44" s="7"/>
      <c r="S44" s="7"/>
      <c r="T44" s="7"/>
      <c r="U44" s="7"/>
      <c r="V44" s="7"/>
      <c r="W44" s="7"/>
      <c r="X44" s="7"/>
      <c r="Y44" s="7"/>
      <c r="Z44" s="7"/>
      <c r="AA44" s="7"/>
      <c r="AB44" s="7"/>
      <c r="AC44" s="7"/>
      <c r="AD44" s="7"/>
      <c r="AE44" s="7"/>
    </row>
    <row r="45">
      <c r="A45" s="18">
        <v>1.0</v>
      </c>
      <c r="B45" s="24" t="s">
        <v>790</v>
      </c>
      <c r="C45" s="24" t="s">
        <v>791</v>
      </c>
      <c r="D45" s="39" t="s">
        <v>282</v>
      </c>
      <c r="E45" s="39" t="s">
        <v>285</v>
      </c>
      <c r="F45" s="39" t="s">
        <v>290</v>
      </c>
      <c r="G45" s="39" t="s">
        <v>292</v>
      </c>
      <c r="H45" s="39" t="s">
        <v>296</v>
      </c>
      <c r="I45" s="39" t="s">
        <v>294</v>
      </c>
      <c r="J45" s="39">
        <v>9.120366803E9</v>
      </c>
      <c r="K45" s="24" t="s">
        <v>610</v>
      </c>
      <c r="L45" s="7"/>
      <c r="M45" s="7"/>
      <c r="N45" s="7"/>
      <c r="O45" s="7"/>
      <c r="P45" s="7"/>
      <c r="Q45" s="7"/>
      <c r="R45" s="7"/>
      <c r="S45" s="7"/>
      <c r="T45" s="7"/>
      <c r="U45" s="7"/>
      <c r="V45" s="7"/>
      <c r="W45" s="7"/>
      <c r="X45" s="7"/>
      <c r="Y45" s="7"/>
      <c r="Z45" s="7"/>
      <c r="AA45" s="7"/>
      <c r="AB45" s="7"/>
      <c r="AC45" s="7"/>
      <c r="AD45" s="7"/>
      <c r="AE45" s="7"/>
    </row>
    <row r="46">
      <c r="A46" s="18">
        <v>2.0</v>
      </c>
      <c r="B46" s="24" t="s">
        <v>310</v>
      </c>
      <c r="C46" s="24" t="s">
        <v>791</v>
      </c>
      <c r="D46" s="40" t="s">
        <v>312</v>
      </c>
      <c r="E46" s="40" t="s">
        <v>315</v>
      </c>
      <c r="F46" s="40" t="s">
        <v>316</v>
      </c>
      <c r="G46" s="40" t="s">
        <v>292</v>
      </c>
      <c r="H46" s="40" t="s">
        <v>296</v>
      </c>
      <c r="I46" s="40" t="s">
        <v>320</v>
      </c>
      <c r="J46" s="40">
        <v>7.76104292E9</v>
      </c>
      <c r="K46" s="24" t="s">
        <v>610</v>
      </c>
      <c r="L46" s="7"/>
      <c r="M46" s="7"/>
      <c r="N46" s="7"/>
      <c r="O46" s="7"/>
      <c r="P46" s="7"/>
      <c r="Q46" s="7"/>
      <c r="R46" s="7"/>
      <c r="S46" s="7"/>
      <c r="T46" s="7"/>
      <c r="U46" s="7"/>
      <c r="V46" s="7"/>
      <c r="W46" s="7"/>
      <c r="X46" s="7"/>
      <c r="Y46" s="7"/>
      <c r="Z46" s="7"/>
      <c r="AA46" s="7"/>
      <c r="AB46" s="7"/>
      <c r="AC46" s="7"/>
      <c r="AD46" s="7"/>
      <c r="AE46" s="7"/>
    </row>
    <row r="47">
      <c r="A47" s="18">
        <v>3.0</v>
      </c>
      <c r="B47" s="24" t="s">
        <v>327</v>
      </c>
      <c r="C47" s="24" t="s">
        <v>791</v>
      </c>
      <c r="D47" s="42" t="s">
        <v>328</v>
      </c>
      <c r="E47" s="39" t="s">
        <v>331</v>
      </c>
      <c r="F47" s="42" t="s">
        <v>332</v>
      </c>
      <c r="G47" s="42" t="s">
        <v>292</v>
      </c>
      <c r="H47" s="42" t="s">
        <v>296</v>
      </c>
      <c r="I47" s="39" t="s">
        <v>333</v>
      </c>
      <c r="J47" s="42">
        <v>9.35419069E9</v>
      </c>
      <c r="K47" s="24" t="s">
        <v>610</v>
      </c>
      <c r="L47" s="7"/>
      <c r="M47" s="7"/>
      <c r="N47" s="7"/>
      <c r="O47" s="7"/>
      <c r="P47" s="7"/>
      <c r="Q47" s="7"/>
      <c r="R47" s="7"/>
      <c r="S47" s="7"/>
      <c r="T47" s="7"/>
      <c r="U47" s="7"/>
      <c r="V47" s="7"/>
      <c r="W47" s="7"/>
      <c r="X47" s="7"/>
      <c r="Y47" s="7"/>
      <c r="Z47" s="7"/>
      <c r="AA47" s="7"/>
      <c r="AB47" s="7"/>
      <c r="AC47" s="7"/>
      <c r="AD47" s="7"/>
      <c r="AE47" s="7"/>
    </row>
    <row r="48">
      <c r="A48" s="18">
        <v>4.0</v>
      </c>
      <c r="B48" s="24" t="s">
        <v>339</v>
      </c>
      <c r="C48" s="24" t="s">
        <v>791</v>
      </c>
      <c r="D48" s="24" t="s">
        <v>829</v>
      </c>
      <c r="E48" s="24" t="s">
        <v>343</v>
      </c>
      <c r="F48" s="24" t="s">
        <v>345</v>
      </c>
      <c r="G48" s="24" t="s">
        <v>346</v>
      </c>
      <c r="H48" s="24" t="s">
        <v>296</v>
      </c>
      <c r="I48" s="32" t="s">
        <v>348</v>
      </c>
      <c r="J48" s="23" t="s">
        <v>352</v>
      </c>
      <c r="K48" s="24" t="s">
        <v>610</v>
      </c>
      <c r="L48" s="7"/>
      <c r="M48" s="7"/>
      <c r="N48" s="7"/>
      <c r="O48" s="7"/>
      <c r="P48" s="7"/>
      <c r="Q48" s="7"/>
      <c r="R48" s="7"/>
      <c r="S48" s="7"/>
      <c r="T48" s="7"/>
      <c r="U48" s="7"/>
      <c r="V48" s="7"/>
      <c r="W48" s="7"/>
      <c r="X48" s="7"/>
      <c r="Y48" s="7"/>
      <c r="Z48" s="7"/>
      <c r="AA48" s="7"/>
      <c r="AB48" s="7"/>
      <c r="AC48" s="7"/>
      <c r="AD48" s="7"/>
      <c r="AE48" s="7"/>
    </row>
    <row r="49">
      <c r="A49" s="14"/>
      <c r="B49" s="14"/>
      <c r="C49" s="14"/>
      <c r="D49" s="14"/>
      <c r="E49" s="14"/>
      <c r="F49" s="14"/>
      <c r="G49" s="14"/>
      <c r="H49" s="14"/>
      <c r="I49" s="33"/>
      <c r="J49" s="33"/>
      <c r="K49" s="14"/>
      <c r="L49" s="7"/>
      <c r="M49" s="7"/>
      <c r="N49" s="7"/>
      <c r="O49" s="7"/>
      <c r="P49" s="7"/>
      <c r="Q49" s="7"/>
      <c r="R49" s="7"/>
      <c r="S49" s="7"/>
      <c r="T49" s="7"/>
      <c r="U49" s="7"/>
      <c r="V49" s="7"/>
      <c r="W49" s="7"/>
      <c r="X49" s="7"/>
      <c r="Y49" s="7"/>
      <c r="Z49" s="7"/>
      <c r="AA49" s="7"/>
      <c r="AB49" s="7"/>
      <c r="AC49" s="7"/>
      <c r="AD49" s="7"/>
      <c r="AE49" s="7"/>
    </row>
    <row r="50">
      <c r="A50" s="18">
        <v>1.0</v>
      </c>
      <c r="B50" s="24" t="s">
        <v>358</v>
      </c>
      <c r="C50" s="24" t="s">
        <v>851</v>
      </c>
      <c r="D50" s="39" t="s">
        <v>360</v>
      </c>
      <c r="E50" s="39" t="s">
        <v>361</v>
      </c>
      <c r="F50" s="39" t="s">
        <v>316</v>
      </c>
      <c r="G50" s="39" t="s">
        <v>852</v>
      </c>
      <c r="H50" s="39" t="s">
        <v>296</v>
      </c>
      <c r="I50" s="39" t="s">
        <v>362</v>
      </c>
      <c r="J50" s="39">
        <v>9.19980946E9</v>
      </c>
      <c r="K50" s="24" t="s">
        <v>610</v>
      </c>
      <c r="L50" s="7"/>
      <c r="M50" s="7"/>
      <c r="N50" s="7"/>
      <c r="O50" s="7"/>
      <c r="P50" s="7"/>
      <c r="Q50" s="7"/>
      <c r="R50" s="7"/>
      <c r="S50" s="7"/>
      <c r="T50" s="7"/>
      <c r="U50" s="7"/>
      <c r="V50" s="7"/>
      <c r="W50" s="7"/>
      <c r="X50" s="7"/>
      <c r="Y50" s="7"/>
      <c r="Z50" s="7"/>
      <c r="AA50" s="7"/>
      <c r="AB50" s="7"/>
      <c r="AC50" s="7"/>
      <c r="AD50" s="7"/>
      <c r="AE50" s="7"/>
    </row>
    <row r="51">
      <c r="A51" s="18">
        <v>2.0</v>
      </c>
      <c r="B51" s="24" t="s">
        <v>371</v>
      </c>
      <c r="C51" s="24" t="s">
        <v>851</v>
      </c>
      <c r="D51" s="40" t="s">
        <v>373</v>
      </c>
      <c r="E51" s="40" t="s">
        <v>375</v>
      </c>
      <c r="F51" s="40" t="s">
        <v>332</v>
      </c>
      <c r="G51" s="40" t="s">
        <v>292</v>
      </c>
      <c r="H51" s="40" t="s">
        <v>380</v>
      </c>
      <c r="I51" s="40" t="s">
        <v>379</v>
      </c>
      <c r="J51" s="40">
        <v>7.294070718E9</v>
      </c>
      <c r="K51" s="24" t="s">
        <v>610</v>
      </c>
      <c r="L51" s="7"/>
      <c r="M51" s="7"/>
      <c r="N51" s="7"/>
      <c r="O51" s="7"/>
      <c r="P51" s="7"/>
      <c r="Q51" s="7"/>
      <c r="R51" s="7"/>
      <c r="S51" s="7"/>
      <c r="T51" s="7"/>
      <c r="U51" s="7"/>
      <c r="V51" s="7"/>
      <c r="W51" s="7"/>
      <c r="X51" s="7"/>
      <c r="Y51" s="7"/>
      <c r="Z51" s="7"/>
      <c r="AA51" s="7"/>
      <c r="AB51" s="7"/>
      <c r="AC51" s="7"/>
      <c r="AD51" s="7"/>
      <c r="AE51" s="7"/>
    </row>
    <row r="52">
      <c r="A52" s="18">
        <v>3.0</v>
      </c>
      <c r="B52" s="24" t="s">
        <v>386</v>
      </c>
      <c r="C52" s="24" t="s">
        <v>851</v>
      </c>
      <c r="D52" s="40" t="s">
        <v>387</v>
      </c>
      <c r="E52" s="40" t="s">
        <v>388</v>
      </c>
      <c r="F52" s="40" t="s">
        <v>332</v>
      </c>
      <c r="G52" s="40" t="s">
        <v>292</v>
      </c>
      <c r="H52" s="40" t="s">
        <v>380</v>
      </c>
      <c r="I52" s="40" t="s">
        <v>390</v>
      </c>
      <c r="J52" s="40">
        <v>8.92033248E9</v>
      </c>
      <c r="K52" s="24" t="s">
        <v>610</v>
      </c>
      <c r="L52" s="7"/>
      <c r="M52" s="7"/>
      <c r="N52" s="7"/>
      <c r="O52" s="7"/>
      <c r="P52" s="7"/>
      <c r="Q52" s="7"/>
      <c r="R52" s="7"/>
      <c r="S52" s="7"/>
      <c r="T52" s="7"/>
      <c r="U52" s="7"/>
      <c r="V52" s="7"/>
      <c r="W52" s="7"/>
      <c r="X52" s="7"/>
      <c r="Y52" s="7"/>
      <c r="Z52" s="7"/>
      <c r="AA52" s="7"/>
      <c r="AB52" s="7"/>
      <c r="AC52" s="7"/>
      <c r="AD52" s="7"/>
      <c r="AE52" s="7"/>
    </row>
    <row r="53">
      <c r="A53" s="18">
        <v>4.0</v>
      </c>
      <c r="B53" s="24" t="s">
        <v>401</v>
      </c>
      <c r="C53" s="24" t="s">
        <v>851</v>
      </c>
      <c r="D53" s="40" t="s">
        <v>402</v>
      </c>
      <c r="E53" s="40" t="s">
        <v>404</v>
      </c>
      <c r="F53" s="40" t="s">
        <v>316</v>
      </c>
      <c r="G53" s="40" t="s">
        <v>889</v>
      </c>
      <c r="H53" s="40" t="s">
        <v>296</v>
      </c>
      <c r="I53" s="40" t="s">
        <v>408</v>
      </c>
      <c r="J53" s="40">
        <v>7.654025369E9</v>
      </c>
      <c r="K53" s="24" t="s">
        <v>610</v>
      </c>
      <c r="L53" s="7"/>
      <c r="M53" s="7"/>
      <c r="N53" s="7"/>
      <c r="O53" s="7"/>
      <c r="P53" s="7"/>
      <c r="Q53" s="7"/>
      <c r="R53" s="7"/>
      <c r="S53" s="7"/>
      <c r="T53" s="7"/>
      <c r="U53" s="7"/>
      <c r="V53" s="7"/>
      <c r="W53" s="7"/>
      <c r="X53" s="7"/>
      <c r="Y53" s="7"/>
      <c r="Z53" s="7"/>
      <c r="AA53" s="7"/>
      <c r="AB53" s="7"/>
      <c r="AC53" s="7"/>
      <c r="AD53" s="7"/>
      <c r="AE53" s="7"/>
    </row>
    <row r="54">
      <c r="A54" s="14"/>
      <c r="B54" s="14"/>
      <c r="C54" s="14"/>
      <c r="D54" s="14"/>
      <c r="E54" s="33"/>
      <c r="F54" s="14"/>
      <c r="G54" s="14"/>
      <c r="H54" s="14"/>
      <c r="I54" s="33"/>
      <c r="J54" s="33"/>
      <c r="K54" s="14"/>
      <c r="L54" s="7"/>
      <c r="M54" s="7"/>
      <c r="N54" s="7"/>
      <c r="O54" s="7"/>
      <c r="P54" s="7"/>
      <c r="Q54" s="7"/>
      <c r="R54" s="7"/>
      <c r="S54" s="7"/>
      <c r="T54" s="7"/>
      <c r="U54" s="7"/>
      <c r="V54" s="7"/>
      <c r="W54" s="7"/>
      <c r="X54" s="7"/>
      <c r="Y54" s="7"/>
      <c r="Z54" s="7"/>
      <c r="AA54" s="7"/>
      <c r="AB54" s="7"/>
      <c r="AC54" s="7"/>
      <c r="AD54" s="7"/>
      <c r="AE54" s="7"/>
    </row>
    <row r="55">
      <c r="A55" s="18">
        <v>1.0</v>
      </c>
      <c r="B55" s="24" t="s">
        <v>415</v>
      </c>
      <c r="C55" s="24" t="s">
        <v>905</v>
      </c>
      <c r="D55" s="40" t="s">
        <v>418</v>
      </c>
      <c r="E55" s="40" t="s">
        <v>420</v>
      </c>
      <c r="F55" s="40" t="s">
        <v>332</v>
      </c>
      <c r="G55" s="40" t="s">
        <v>292</v>
      </c>
      <c r="H55" s="40" t="s">
        <v>380</v>
      </c>
      <c r="I55" s="40" t="s">
        <v>425</v>
      </c>
      <c r="J55" s="40">
        <v>6.39501724E9</v>
      </c>
      <c r="K55" s="24" t="s">
        <v>610</v>
      </c>
      <c r="L55" s="7"/>
      <c r="M55" s="7"/>
      <c r="N55" s="7"/>
      <c r="O55" s="7"/>
      <c r="P55" s="7"/>
      <c r="Q55" s="7"/>
      <c r="R55" s="7"/>
      <c r="S55" s="7"/>
      <c r="T55" s="7"/>
      <c r="U55" s="7"/>
      <c r="V55" s="7"/>
      <c r="W55" s="7"/>
      <c r="X55" s="7"/>
      <c r="Y55" s="7"/>
      <c r="Z55" s="7"/>
      <c r="AA55" s="7"/>
      <c r="AB55" s="7"/>
      <c r="AC55" s="7"/>
      <c r="AD55" s="7"/>
      <c r="AE55" s="7"/>
    </row>
    <row r="56">
      <c r="A56" s="18">
        <v>2.0</v>
      </c>
      <c r="B56" s="24" t="s">
        <v>435</v>
      </c>
      <c r="C56" s="24" t="s">
        <v>905</v>
      </c>
      <c r="D56" s="47" t="s">
        <v>436</v>
      </c>
      <c r="E56" s="47" t="s">
        <v>437</v>
      </c>
      <c r="F56" s="47" t="s">
        <v>332</v>
      </c>
      <c r="G56" s="47" t="s">
        <v>292</v>
      </c>
      <c r="H56" s="47" t="s">
        <v>380</v>
      </c>
      <c r="I56" s="47" t="s">
        <v>445</v>
      </c>
      <c r="J56" s="47">
        <v>8.709522548E9</v>
      </c>
      <c r="K56" s="24" t="s">
        <v>610</v>
      </c>
      <c r="L56" s="7"/>
      <c r="M56" s="7"/>
      <c r="N56" s="7"/>
      <c r="O56" s="7"/>
      <c r="P56" s="7"/>
      <c r="Q56" s="7"/>
      <c r="R56" s="7"/>
      <c r="S56" s="7"/>
      <c r="T56" s="7"/>
      <c r="U56" s="7"/>
      <c r="V56" s="7"/>
      <c r="W56" s="7"/>
      <c r="X56" s="7"/>
      <c r="Y56" s="7"/>
      <c r="Z56" s="7"/>
      <c r="AA56" s="7"/>
      <c r="AB56" s="7"/>
      <c r="AC56" s="7"/>
      <c r="AD56" s="7"/>
      <c r="AE56" s="7"/>
    </row>
    <row r="57">
      <c r="A57" s="18">
        <v>3.0</v>
      </c>
      <c r="B57" s="24" t="s">
        <v>455</v>
      </c>
      <c r="C57" s="24" t="s">
        <v>905</v>
      </c>
      <c r="D57" s="47" t="s">
        <v>458</v>
      </c>
      <c r="E57" s="47" t="s">
        <v>459</v>
      </c>
      <c r="F57" s="47" t="s">
        <v>332</v>
      </c>
      <c r="G57" s="47" t="s">
        <v>292</v>
      </c>
      <c r="H57" s="47" t="s">
        <v>296</v>
      </c>
      <c r="I57" s="47" t="s">
        <v>461</v>
      </c>
      <c r="J57" s="47">
        <v>8.076740937E9</v>
      </c>
      <c r="K57" s="24" t="s">
        <v>610</v>
      </c>
      <c r="L57" s="7"/>
      <c r="M57" s="7"/>
      <c r="N57" s="7"/>
      <c r="O57" s="7"/>
      <c r="P57" s="7"/>
      <c r="Q57" s="7"/>
      <c r="R57" s="7"/>
      <c r="S57" s="7"/>
      <c r="T57" s="7"/>
      <c r="U57" s="7"/>
      <c r="V57" s="7"/>
      <c r="W57" s="7"/>
      <c r="X57" s="7"/>
      <c r="Y57" s="7"/>
      <c r="Z57" s="7"/>
      <c r="AA57" s="7"/>
      <c r="AB57" s="7"/>
      <c r="AC57" s="7"/>
      <c r="AD57" s="7"/>
      <c r="AE57" s="7"/>
    </row>
    <row r="58">
      <c r="A58" s="18">
        <v>4.0</v>
      </c>
      <c r="B58" s="24" t="s">
        <v>468</v>
      </c>
      <c r="C58" s="24" t="s">
        <v>905</v>
      </c>
      <c r="D58" s="39" t="s">
        <v>470</v>
      </c>
      <c r="E58" s="24" t="s">
        <v>472</v>
      </c>
      <c r="F58" s="24" t="s">
        <v>316</v>
      </c>
      <c r="G58" s="24" t="s">
        <v>346</v>
      </c>
      <c r="H58" s="24" t="s">
        <v>296</v>
      </c>
      <c r="I58" s="24" t="s">
        <v>480</v>
      </c>
      <c r="J58" s="24" t="s">
        <v>482</v>
      </c>
      <c r="K58" s="24" t="s">
        <v>610</v>
      </c>
      <c r="L58" s="7"/>
      <c r="M58" s="7"/>
      <c r="N58" s="7"/>
      <c r="O58" s="7"/>
      <c r="P58" s="7"/>
      <c r="Q58" s="7"/>
      <c r="R58" s="7"/>
      <c r="S58" s="7"/>
      <c r="T58" s="7"/>
      <c r="U58" s="7"/>
      <c r="V58" s="7"/>
      <c r="W58" s="7"/>
      <c r="X58" s="7"/>
      <c r="Y58" s="7"/>
      <c r="Z58" s="7"/>
      <c r="AA58" s="7"/>
      <c r="AB58" s="7"/>
      <c r="AC58" s="7"/>
      <c r="AD58" s="7"/>
      <c r="AE58" s="7"/>
    </row>
    <row r="59">
      <c r="A59" s="14"/>
      <c r="B59" s="14"/>
      <c r="C59" s="14"/>
      <c r="D59" s="14"/>
      <c r="E59" s="14"/>
      <c r="F59" s="14"/>
      <c r="G59" s="14"/>
      <c r="H59" s="14"/>
      <c r="I59" s="14"/>
      <c r="J59" s="14"/>
      <c r="K59" s="14"/>
      <c r="L59" s="7"/>
      <c r="M59" s="7"/>
      <c r="N59" s="7"/>
      <c r="O59" s="7"/>
      <c r="P59" s="7"/>
      <c r="Q59" s="7"/>
      <c r="R59" s="7"/>
      <c r="S59" s="7"/>
      <c r="T59" s="7"/>
      <c r="U59" s="7"/>
      <c r="V59" s="7"/>
      <c r="W59" s="7"/>
      <c r="X59" s="7"/>
      <c r="Y59" s="7"/>
      <c r="Z59" s="7"/>
      <c r="AA59" s="7"/>
      <c r="AB59" s="7"/>
      <c r="AC59" s="7"/>
      <c r="AD59" s="7"/>
      <c r="AE59" s="7"/>
    </row>
    <row r="60">
      <c r="A60" s="18">
        <v>1.0</v>
      </c>
      <c r="B60" s="24" t="s">
        <v>485</v>
      </c>
      <c r="C60" s="24" t="s">
        <v>952</v>
      </c>
      <c r="D60" s="47" t="s">
        <v>486</v>
      </c>
      <c r="E60" s="47" t="s">
        <v>487</v>
      </c>
      <c r="F60" s="47" t="s">
        <v>290</v>
      </c>
      <c r="G60" s="47" t="s">
        <v>292</v>
      </c>
      <c r="H60" s="47" t="s">
        <v>296</v>
      </c>
      <c r="I60" s="47" t="s">
        <v>490</v>
      </c>
      <c r="J60" s="47">
        <v>9.140542963E9</v>
      </c>
      <c r="K60" s="24" t="s">
        <v>610</v>
      </c>
      <c r="L60" s="7"/>
      <c r="M60" s="7"/>
      <c r="N60" s="7"/>
      <c r="O60" s="7"/>
      <c r="P60" s="7"/>
      <c r="Q60" s="7"/>
      <c r="R60" s="7"/>
      <c r="S60" s="7"/>
      <c r="T60" s="7"/>
      <c r="U60" s="7"/>
      <c r="V60" s="7"/>
      <c r="W60" s="7"/>
      <c r="X60" s="7"/>
      <c r="Y60" s="7"/>
      <c r="Z60" s="7"/>
      <c r="AA60" s="7"/>
      <c r="AB60" s="7"/>
      <c r="AC60" s="7"/>
      <c r="AD60" s="7"/>
      <c r="AE60" s="7"/>
    </row>
    <row r="61">
      <c r="A61" s="18">
        <v>2.0</v>
      </c>
      <c r="B61" s="24" t="s">
        <v>501</v>
      </c>
      <c r="C61" s="24" t="s">
        <v>952</v>
      </c>
      <c r="D61" s="39" t="s">
        <v>502</v>
      </c>
      <c r="E61" s="39" t="s">
        <v>504</v>
      </c>
      <c r="F61" s="39" t="s">
        <v>290</v>
      </c>
      <c r="G61" s="39" t="s">
        <v>292</v>
      </c>
      <c r="H61" s="39" t="s">
        <v>296</v>
      </c>
      <c r="I61" s="39" t="s">
        <v>506</v>
      </c>
      <c r="J61" s="39">
        <v>7.572044787E9</v>
      </c>
      <c r="K61" s="24" t="s">
        <v>610</v>
      </c>
      <c r="L61" s="7"/>
      <c r="M61" s="7"/>
      <c r="N61" s="7"/>
      <c r="O61" s="7"/>
      <c r="P61" s="7"/>
      <c r="Q61" s="7"/>
      <c r="R61" s="7"/>
      <c r="S61" s="7"/>
      <c r="T61" s="7"/>
      <c r="U61" s="7"/>
      <c r="V61" s="7"/>
      <c r="W61" s="7"/>
      <c r="X61" s="7"/>
      <c r="Y61" s="7"/>
      <c r="Z61" s="7"/>
      <c r="AA61" s="7"/>
      <c r="AB61" s="7"/>
      <c r="AC61" s="7"/>
      <c r="AD61" s="7"/>
      <c r="AE61" s="7"/>
    </row>
    <row r="62">
      <c r="A62" s="14"/>
      <c r="B62" s="14"/>
      <c r="C62" s="14"/>
      <c r="D62" s="14"/>
      <c r="E62" s="14"/>
      <c r="F62" s="14"/>
      <c r="G62" s="14"/>
      <c r="H62" s="14"/>
      <c r="I62" s="14"/>
      <c r="J62" s="14"/>
      <c r="K62" s="14"/>
      <c r="L62" s="7"/>
      <c r="M62" s="7"/>
      <c r="N62" s="7"/>
      <c r="O62" s="7"/>
      <c r="P62" s="7"/>
      <c r="Q62" s="7"/>
      <c r="R62" s="7"/>
      <c r="S62" s="7"/>
      <c r="T62" s="7"/>
      <c r="U62" s="7"/>
      <c r="V62" s="7"/>
      <c r="W62" s="7"/>
      <c r="X62" s="7"/>
      <c r="Y62" s="7"/>
      <c r="Z62" s="7"/>
      <c r="AA62" s="7"/>
      <c r="AB62" s="7"/>
      <c r="AC62" s="7"/>
      <c r="AD62" s="7"/>
      <c r="AE62" s="7"/>
    </row>
    <row r="63">
      <c r="A63" s="18">
        <v>1.0</v>
      </c>
      <c r="B63" s="24" t="s">
        <v>520</v>
      </c>
      <c r="C63" s="24" t="s">
        <v>984</v>
      </c>
      <c r="D63" s="47" t="s">
        <v>523</v>
      </c>
      <c r="E63" s="47" t="s">
        <v>525</v>
      </c>
      <c r="F63" s="47" t="s">
        <v>316</v>
      </c>
      <c r="G63" s="47" t="s">
        <v>346</v>
      </c>
      <c r="H63" s="47" t="s">
        <v>296</v>
      </c>
      <c r="I63" s="47" t="s">
        <v>528</v>
      </c>
      <c r="J63" s="47">
        <v>7.347239669E9</v>
      </c>
      <c r="K63" s="24" t="s">
        <v>610</v>
      </c>
      <c r="L63" s="7"/>
      <c r="M63" s="7"/>
      <c r="N63" s="7"/>
      <c r="O63" s="7"/>
      <c r="P63" s="7"/>
      <c r="Q63" s="7"/>
      <c r="R63" s="7"/>
      <c r="S63" s="7"/>
      <c r="T63" s="7"/>
      <c r="U63" s="7"/>
      <c r="V63" s="7"/>
      <c r="W63" s="7"/>
      <c r="X63" s="7"/>
      <c r="Y63" s="7"/>
      <c r="Z63" s="7"/>
      <c r="AA63" s="7"/>
      <c r="AB63" s="7"/>
      <c r="AC63" s="7"/>
      <c r="AD63" s="7"/>
      <c r="AE63" s="7"/>
    </row>
    <row r="64">
      <c r="A64" s="18">
        <v>2.0</v>
      </c>
      <c r="B64" s="24" t="s">
        <v>539</v>
      </c>
      <c r="C64" s="24" t="s">
        <v>984</v>
      </c>
      <c r="D64" s="47" t="s">
        <v>541</v>
      </c>
      <c r="E64" s="47" t="s">
        <v>543</v>
      </c>
      <c r="F64" s="47" t="s">
        <v>290</v>
      </c>
      <c r="G64" s="47" t="s">
        <v>54</v>
      </c>
      <c r="H64" s="47" t="s">
        <v>296</v>
      </c>
      <c r="I64" s="47" t="s">
        <v>545</v>
      </c>
      <c r="J64" s="47">
        <v>7.838489832E9</v>
      </c>
      <c r="K64" s="24" t="s">
        <v>610</v>
      </c>
      <c r="L64" s="7"/>
      <c r="M64" s="7"/>
      <c r="N64" s="7"/>
      <c r="O64" s="7"/>
      <c r="P64" s="7"/>
      <c r="Q64" s="7"/>
      <c r="R64" s="7"/>
      <c r="S64" s="7"/>
      <c r="T64" s="7"/>
      <c r="U64" s="7"/>
      <c r="V64" s="7"/>
      <c r="W64" s="7"/>
      <c r="X64" s="7"/>
      <c r="Y64" s="7"/>
      <c r="Z64" s="7"/>
      <c r="AA64" s="7"/>
      <c r="AB64" s="7"/>
      <c r="AC64" s="7"/>
      <c r="AD64" s="7"/>
      <c r="AE64" s="7"/>
    </row>
    <row r="65">
      <c r="A65" s="14"/>
      <c r="B65" s="14"/>
      <c r="C65" s="14"/>
      <c r="D65" s="14"/>
      <c r="E65" s="14"/>
      <c r="F65" s="14"/>
      <c r="G65" s="14"/>
      <c r="H65" s="14"/>
      <c r="I65" s="14"/>
      <c r="J65" s="14"/>
      <c r="K65" s="14"/>
      <c r="L65" s="7"/>
      <c r="M65" s="7"/>
      <c r="N65" s="7"/>
      <c r="O65" s="7"/>
      <c r="P65" s="7"/>
      <c r="Q65" s="7"/>
      <c r="R65" s="7"/>
      <c r="S65" s="7"/>
      <c r="T65" s="7"/>
      <c r="U65" s="7"/>
      <c r="V65" s="7"/>
      <c r="W65" s="7"/>
      <c r="X65" s="7"/>
      <c r="Y65" s="7"/>
      <c r="Z65" s="7"/>
      <c r="AA65" s="7"/>
      <c r="AB65" s="7"/>
      <c r="AC65" s="7"/>
      <c r="AD65" s="7"/>
      <c r="AE65" s="7"/>
    </row>
    <row r="66">
      <c r="A66" s="18">
        <v>1.0</v>
      </c>
      <c r="B66" s="24" t="s">
        <v>555</v>
      </c>
      <c r="C66" s="24" t="s">
        <v>1022</v>
      </c>
      <c r="D66" s="39" t="s">
        <v>1024</v>
      </c>
      <c r="E66" s="39" t="s">
        <v>558</v>
      </c>
      <c r="F66" s="39" t="s">
        <v>332</v>
      </c>
      <c r="G66" s="39" t="s">
        <v>346</v>
      </c>
      <c r="H66" s="39" t="s">
        <v>296</v>
      </c>
      <c r="I66" s="39" t="s">
        <v>561</v>
      </c>
      <c r="J66" s="39" t="s">
        <v>1028</v>
      </c>
      <c r="K66" s="24" t="s">
        <v>610</v>
      </c>
      <c r="L66" s="7"/>
      <c r="M66" s="7"/>
      <c r="N66" s="7"/>
      <c r="O66" s="7"/>
      <c r="P66" s="7"/>
      <c r="Q66" s="7"/>
      <c r="R66" s="7"/>
      <c r="S66" s="7"/>
      <c r="T66" s="7"/>
      <c r="U66" s="7"/>
      <c r="V66" s="7"/>
      <c r="W66" s="7"/>
      <c r="X66" s="7"/>
      <c r="Y66" s="7"/>
      <c r="Z66" s="7"/>
      <c r="AA66" s="7"/>
      <c r="AB66" s="7"/>
      <c r="AC66" s="7"/>
      <c r="AD66" s="7"/>
      <c r="AE66" s="7"/>
    </row>
    <row r="67">
      <c r="A67" s="14"/>
      <c r="B67" s="14"/>
      <c r="C67" s="14"/>
      <c r="D67" s="14"/>
      <c r="E67" s="14"/>
      <c r="F67" s="14"/>
      <c r="G67" s="14"/>
      <c r="H67" s="14"/>
      <c r="I67" s="14"/>
      <c r="J67" s="14"/>
      <c r="K67" s="14"/>
      <c r="L67" s="7"/>
      <c r="M67" s="7"/>
      <c r="N67" s="7"/>
      <c r="O67" s="7"/>
      <c r="P67" s="7"/>
      <c r="Q67" s="7"/>
      <c r="R67" s="7"/>
      <c r="S67" s="7"/>
      <c r="T67" s="7"/>
      <c r="U67" s="7"/>
      <c r="V67" s="7"/>
      <c r="W67" s="7"/>
      <c r="X67" s="7"/>
      <c r="Y67" s="7"/>
      <c r="Z67" s="7"/>
      <c r="AA67" s="7"/>
      <c r="AB67" s="7"/>
      <c r="AC67" s="7"/>
      <c r="AD67" s="7"/>
      <c r="AE67" s="7"/>
    </row>
    <row r="68">
      <c r="A68" s="18">
        <v>1.0</v>
      </c>
      <c r="B68" s="17" t="s">
        <v>590</v>
      </c>
      <c r="C68" s="24" t="s">
        <v>1046</v>
      </c>
      <c r="D68" s="17" t="s">
        <v>591</v>
      </c>
      <c r="E68" s="24" t="s">
        <v>592</v>
      </c>
      <c r="F68" s="24" t="s">
        <v>345</v>
      </c>
      <c r="G68" s="24" t="s">
        <v>594</v>
      </c>
      <c r="H68" s="24" t="s">
        <v>380</v>
      </c>
      <c r="I68" s="24">
        <v>6.387183565E9</v>
      </c>
      <c r="J68" s="24" t="s">
        <v>600</v>
      </c>
      <c r="K68" s="24" t="s">
        <v>610</v>
      </c>
      <c r="L68" s="7"/>
      <c r="M68" s="7"/>
      <c r="N68" s="7"/>
      <c r="O68" s="7"/>
      <c r="P68" s="7"/>
      <c r="Q68" s="7"/>
      <c r="R68" s="7"/>
      <c r="S68" s="7"/>
      <c r="T68" s="7"/>
      <c r="U68" s="7"/>
      <c r="V68" s="7"/>
      <c r="W68" s="7"/>
      <c r="X68" s="7"/>
      <c r="Y68" s="7"/>
      <c r="Z68" s="7"/>
      <c r="AA68" s="7"/>
      <c r="AB68" s="7"/>
      <c r="AC68" s="7"/>
      <c r="AD68" s="7"/>
      <c r="AE68" s="7"/>
    </row>
    <row r="69">
      <c r="A69" s="18">
        <v>2.0</v>
      </c>
      <c r="B69" s="17" t="s">
        <v>613</v>
      </c>
      <c r="C69" s="24" t="s">
        <v>1046</v>
      </c>
      <c r="D69" s="17" t="s">
        <v>614</v>
      </c>
      <c r="E69" s="24" t="s">
        <v>615</v>
      </c>
      <c r="F69" s="24" t="s">
        <v>345</v>
      </c>
      <c r="G69" s="24" t="s">
        <v>594</v>
      </c>
      <c r="H69" s="24" t="s">
        <v>380</v>
      </c>
      <c r="I69" s="24">
        <v>7.903624384E9</v>
      </c>
      <c r="J69" s="24" t="s">
        <v>621</v>
      </c>
      <c r="K69" s="24" t="s">
        <v>610</v>
      </c>
      <c r="L69" s="7"/>
      <c r="M69" s="7"/>
      <c r="N69" s="7"/>
      <c r="O69" s="7"/>
      <c r="P69" s="7"/>
      <c r="Q69" s="7"/>
      <c r="R69" s="7"/>
      <c r="S69" s="7"/>
      <c r="T69" s="7"/>
      <c r="U69" s="7"/>
      <c r="V69" s="7"/>
      <c r="W69" s="7"/>
      <c r="X69" s="7"/>
      <c r="Y69" s="7"/>
      <c r="Z69" s="7"/>
      <c r="AA69" s="7"/>
      <c r="AB69" s="7"/>
      <c r="AC69" s="7"/>
      <c r="AD69" s="7"/>
      <c r="AE69" s="7"/>
    </row>
    <row r="70">
      <c r="A70" s="18">
        <v>3.0</v>
      </c>
      <c r="B70" s="17" t="s">
        <v>631</v>
      </c>
      <c r="C70" s="24" t="s">
        <v>1046</v>
      </c>
      <c r="D70" s="17" t="s">
        <v>633</v>
      </c>
      <c r="E70" s="24" t="s">
        <v>634</v>
      </c>
      <c r="F70" s="24" t="s">
        <v>345</v>
      </c>
      <c r="G70" s="24" t="s">
        <v>594</v>
      </c>
      <c r="H70" s="24" t="s">
        <v>380</v>
      </c>
      <c r="I70" s="24">
        <v>9.870621229E9</v>
      </c>
      <c r="J70" s="24" t="s">
        <v>642</v>
      </c>
      <c r="K70" s="24" t="s">
        <v>610</v>
      </c>
      <c r="L70" s="7"/>
      <c r="M70" s="7"/>
      <c r="N70" s="7"/>
      <c r="O70" s="7"/>
      <c r="P70" s="7"/>
      <c r="Q70" s="7"/>
      <c r="R70" s="7"/>
      <c r="S70" s="7"/>
      <c r="T70" s="7"/>
      <c r="U70" s="7"/>
      <c r="V70" s="7"/>
      <c r="W70" s="7"/>
      <c r="X70" s="7"/>
      <c r="Y70" s="7"/>
      <c r="Z70" s="7"/>
      <c r="AA70" s="7"/>
      <c r="AB70" s="7"/>
      <c r="AC70" s="7"/>
      <c r="AD70" s="7"/>
      <c r="AE70" s="7"/>
    </row>
    <row r="71">
      <c r="A71" s="18">
        <v>4.0</v>
      </c>
      <c r="B71" s="17" t="s">
        <v>647</v>
      </c>
      <c r="C71" s="24" t="s">
        <v>1046</v>
      </c>
      <c r="D71" s="17" t="s">
        <v>648</v>
      </c>
      <c r="E71" s="24" t="s">
        <v>650</v>
      </c>
      <c r="F71" s="24" t="s">
        <v>345</v>
      </c>
      <c r="G71" s="24" t="s">
        <v>594</v>
      </c>
      <c r="H71" s="24" t="s">
        <v>296</v>
      </c>
      <c r="I71" s="24">
        <v>7.302545096E9</v>
      </c>
      <c r="J71" s="24" t="s">
        <v>656</v>
      </c>
      <c r="K71" s="24" t="s">
        <v>610</v>
      </c>
      <c r="L71" s="7"/>
      <c r="M71" s="7"/>
      <c r="N71" s="7"/>
      <c r="O71" s="7"/>
      <c r="P71" s="7"/>
      <c r="Q71" s="7"/>
      <c r="R71" s="7"/>
      <c r="S71" s="7"/>
      <c r="T71" s="7"/>
      <c r="U71" s="7"/>
      <c r="V71" s="7"/>
      <c r="W71" s="7"/>
      <c r="X71" s="7"/>
      <c r="Y71" s="7"/>
      <c r="Z71" s="7"/>
      <c r="AA71" s="7"/>
      <c r="AB71" s="7"/>
      <c r="AC71" s="7"/>
      <c r="AD71" s="7"/>
      <c r="AE71" s="7"/>
    </row>
    <row r="72">
      <c r="A72" s="14"/>
      <c r="B72" s="56"/>
      <c r="C72" s="14"/>
      <c r="D72" s="14"/>
      <c r="E72" s="56"/>
      <c r="F72" s="14"/>
      <c r="G72" s="14"/>
      <c r="H72" s="14"/>
      <c r="I72" s="56"/>
      <c r="J72" s="56"/>
      <c r="K72" s="14"/>
      <c r="L72" s="7"/>
      <c r="M72" s="7"/>
      <c r="N72" s="7"/>
      <c r="O72" s="7"/>
      <c r="P72" s="7"/>
      <c r="Q72" s="7"/>
      <c r="R72" s="7"/>
      <c r="S72" s="7"/>
      <c r="T72" s="7"/>
      <c r="U72" s="7"/>
      <c r="V72" s="7"/>
      <c r="W72" s="7"/>
      <c r="X72" s="7"/>
      <c r="Y72" s="7"/>
      <c r="Z72" s="7"/>
      <c r="AA72" s="7"/>
      <c r="AB72" s="7"/>
      <c r="AC72" s="7"/>
      <c r="AD72" s="7"/>
      <c r="AE72" s="7"/>
    </row>
    <row r="73">
      <c r="A73" s="18">
        <v>1.0</v>
      </c>
      <c r="B73" s="67" t="s">
        <v>664</v>
      </c>
      <c r="C73" s="24" t="s">
        <v>1098</v>
      </c>
      <c r="D73" s="40" t="s">
        <v>666</v>
      </c>
      <c r="E73" s="40" t="s">
        <v>667</v>
      </c>
      <c r="F73" s="40" t="s">
        <v>316</v>
      </c>
      <c r="G73" s="40" t="s">
        <v>1101</v>
      </c>
      <c r="H73" s="40" t="s">
        <v>296</v>
      </c>
      <c r="I73" s="40" t="s">
        <v>674</v>
      </c>
      <c r="J73" s="40">
        <v>9.335663953E9</v>
      </c>
      <c r="K73" s="24" t="s">
        <v>610</v>
      </c>
      <c r="L73" s="7"/>
      <c r="M73" s="7"/>
      <c r="N73" s="7"/>
      <c r="O73" s="7"/>
      <c r="P73" s="7"/>
      <c r="Q73" s="7"/>
      <c r="R73" s="7"/>
      <c r="S73" s="7"/>
      <c r="T73" s="7"/>
      <c r="U73" s="7"/>
      <c r="V73" s="7"/>
      <c r="W73" s="7"/>
      <c r="X73" s="7"/>
      <c r="Y73" s="7"/>
      <c r="Z73" s="7"/>
      <c r="AA73" s="7"/>
      <c r="AB73" s="7"/>
      <c r="AC73" s="7"/>
      <c r="AD73" s="7"/>
      <c r="AE73" s="7"/>
    </row>
    <row r="74">
      <c r="A74" s="18">
        <v>2.0</v>
      </c>
      <c r="B74" s="32" t="s">
        <v>573</v>
      </c>
      <c r="C74" s="24" t="s">
        <v>1098</v>
      </c>
      <c r="D74" s="39" t="s">
        <v>574</v>
      </c>
      <c r="E74" s="39" t="s">
        <v>576</v>
      </c>
      <c r="F74" s="39" t="s">
        <v>316</v>
      </c>
      <c r="G74" s="39" t="s">
        <v>346</v>
      </c>
      <c r="H74" s="39" t="s">
        <v>380</v>
      </c>
      <c r="I74" s="39" t="s">
        <v>581</v>
      </c>
      <c r="J74" s="39">
        <v>7.564827018E9</v>
      </c>
      <c r="K74" s="24" t="s">
        <v>610</v>
      </c>
      <c r="L74" s="7"/>
      <c r="M74" s="7"/>
      <c r="N74" s="7"/>
      <c r="O74" s="7"/>
      <c r="P74" s="7"/>
      <c r="Q74" s="7"/>
      <c r="R74" s="7"/>
      <c r="S74" s="7"/>
      <c r="T74" s="7"/>
      <c r="U74" s="7"/>
      <c r="V74" s="7"/>
      <c r="W74" s="7"/>
      <c r="X74" s="7"/>
      <c r="Y74" s="7"/>
      <c r="Z74" s="7"/>
      <c r="AA74" s="7"/>
      <c r="AB74" s="7"/>
      <c r="AC74" s="7"/>
      <c r="AD74" s="7"/>
      <c r="AE74" s="7"/>
    </row>
    <row r="75">
      <c r="A75" s="14"/>
      <c r="B75" s="14"/>
      <c r="C75" s="14"/>
      <c r="D75" s="14"/>
      <c r="E75" s="56"/>
      <c r="F75" s="14"/>
      <c r="G75" s="14"/>
      <c r="H75" s="14"/>
      <c r="I75" s="56"/>
      <c r="J75" s="56"/>
      <c r="K75" s="14"/>
      <c r="L75" s="7"/>
      <c r="M75" s="7"/>
      <c r="N75" s="7"/>
      <c r="O75" s="7"/>
      <c r="P75" s="7"/>
      <c r="Q75" s="7"/>
      <c r="R75" s="7"/>
      <c r="S75" s="7"/>
      <c r="T75" s="7"/>
      <c r="U75" s="7"/>
      <c r="V75" s="7"/>
      <c r="W75" s="7"/>
      <c r="X75" s="7"/>
      <c r="Y75" s="7"/>
      <c r="Z75" s="7"/>
      <c r="AA75" s="7"/>
      <c r="AB75" s="7"/>
      <c r="AC75" s="7"/>
      <c r="AD75" s="7"/>
      <c r="AE75" s="7"/>
    </row>
    <row r="76">
      <c r="A76" s="18">
        <v>1.0</v>
      </c>
      <c r="B76" s="24" t="s">
        <v>687</v>
      </c>
      <c r="C76" s="24" t="s">
        <v>1128</v>
      </c>
      <c r="D76" s="24" t="s">
        <v>689</v>
      </c>
      <c r="E76" s="67" t="s">
        <v>690</v>
      </c>
      <c r="F76" s="24" t="s">
        <v>290</v>
      </c>
      <c r="G76" s="24" t="s">
        <v>54</v>
      </c>
      <c r="H76" s="24" t="s">
        <v>296</v>
      </c>
      <c r="I76" s="67" t="s">
        <v>693</v>
      </c>
      <c r="J76" s="24" t="s">
        <v>697</v>
      </c>
      <c r="K76" s="24" t="s">
        <v>610</v>
      </c>
      <c r="L76" s="7"/>
      <c r="M76" s="7"/>
      <c r="N76" s="7"/>
      <c r="O76" s="7"/>
      <c r="P76" s="7"/>
      <c r="Q76" s="7"/>
      <c r="R76" s="7"/>
      <c r="S76" s="7"/>
      <c r="T76" s="7"/>
      <c r="U76" s="7"/>
      <c r="V76" s="7"/>
      <c r="W76" s="7"/>
      <c r="X76" s="7"/>
      <c r="Y76" s="7"/>
      <c r="Z76" s="7"/>
      <c r="AA76" s="7"/>
      <c r="AB76" s="7"/>
      <c r="AC76" s="7"/>
      <c r="AD76" s="7"/>
      <c r="AE76" s="7"/>
    </row>
    <row r="77">
      <c r="A77" s="14"/>
      <c r="B77" s="14"/>
      <c r="C77" s="14"/>
      <c r="D77" s="14"/>
      <c r="E77" s="14"/>
      <c r="F77" s="14"/>
      <c r="G77" s="14"/>
      <c r="H77" s="14"/>
      <c r="I77" s="14"/>
      <c r="J77" s="14"/>
      <c r="K77" s="14"/>
      <c r="L77" s="7"/>
      <c r="M77" s="7"/>
      <c r="N77" s="7"/>
      <c r="O77" s="7"/>
      <c r="P77" s="7"/>
      <c r="Q77" s="7"/>
      <c r="R77" s="7"/>
      <c r="S77" s="7"/>
      <c r="T77" s="7"/>
      <c r="U77" s="7"/>
      <c r="V77" s="7"/>
      <c r="W77" s="7"/>
      <c r="X77" s="7"/>
      <c r="Y77" s="7"/>
      <c r="Z77" s="7"/>
      <c r="AA77" s="7"/>
      <c r="AB77" s="7"/>
      <c r="AC77" s="7"/>
      <c r="AD77" s="7"/>
      <c r="AE77" s="7"/>
    </row>
    <row r="78">
      <c r="A78" s="18">
        <v>1.0</v>
      </c>
      <c r="B78" s="24" t="s">
        <v>704</v>
      </c>
      <c r="C78" s="24" t="s">
        <v>1149</v>
      </c>
      <c r="D78" s="24" t="s">
        <v>705</v>
      </c>
      <c r="E78" s="24" t="s">
        <v>709</v>
      </c>
      <c r="F78" s="24" t="s">
        <v>290</v>
      </c>
      <c r="G78" s="24" t="s">
        <v>346</v>
      </c>
      <c r="H78" s="24" t="s">
        <v>296</v>
      </c>
      <c r="I78" s="24" t="s">
        <v>714</v>
      </c>
      <c r="J78" s="24" t="s">
        <v>718</v>
      </c>
      <c r="K78" s="24" t="s">
        <v>610</v>
      </c>
      <c r="L78" s="7"/>
      <c r="M78" s="7"/>
      <c r="N78" s="7"/>
      <c r="O78" s="7"/>
      <c r="P78" s="7"/>
      <c r="Q78" s="7"/>
      <c r="R78" s="7"/>
      <c r="S78" s="7"/>
      <c r="T78" s="7"/>
      <c r="U78" s="7"/>
      <c r="V78" s="7"/>
      <c r="W78" s="7"/>
      <c r="X78" s="7"/>
      <c r="Y78" s="7"/>
      <c r="Z78" s="7"/>
      <c r="AA78" s="7"/>
      <c r="AB78" s="7"/>
      <c r="AC78" s="7"/>
      <c r="AD78" s="7"/>
      <c r="AE78" s="7"/>
    </row>
    <row r="79">
      <c r="A79" s="18">
        <v>2.0</v>
      </c>
      <c r="B79" s="24" t="s">
        <v>722</v>
      </c>
      <c r="C79" s="24" t="s">
        <v>1149</v>
      </c>
      <c r="D79" s="24" t="s">
        <v>723</v>
      </c>
      <c r="E79" s="24" t="s">
        <v>726</v>
      </c>
      <c r="F79" s="24" t="s">
        <v>1164</v>
      </c>
      <c r="G79" s="24" t="s">
        <v>54</v>
      </c>
      <c r="H79" s="24" t="s">
        <v>380</v>
      </c>
      <c r="I79" s="24" t="s">
        <v>731</v>
      </c>
      <c r="J79" s="24" t="s">
        <v>734</v>
      </c>
      <c r="K79" s="24" t="s">
        <v>610</v>
      </c>
      <c r="L79" s="7"/>
      <c r="M79" s="7"/>
      <c r="N79" s="7"/>
      <c r="O79" s="7"/>
      <c r="P79" s="7"/>
      <c r="Q79" s="7"/>
      <c r="R79" s="7"/>
      <c r="S79" s="7"/>
      <c r="T79" s="7"/>
      <c r="U79" s="7"/>
      <c r="V79" s="7"/>
      <c r="W79" s="7"/>
      <c r="X79" s="7"/>
      <c r="Y79" s="7"/>
      <c r="Z79" s="7"/>
      <c r="AA79" s="7"/>
      <c r="AB79" s="7"/>
      <c r="AC79" s="7"/>
      <c r="AD79" s="7"/>
      <c r="AE79" s="7"/>
    </row>
    <row r="80">
      <c r="A80" s="14"/>
      <c r="B80" s="14"/>
      <c r="C80" s="14"/>
      <c r="D80" s="14"/>
      <c r="E80" s="14"/>
      <c r="F80" s="14"/>
      <c r="G80" s="14"/>
      <c r="H80" s="14"/>
      <c r="I80" s="14"/>
      <c r="J80" s="14"/>
      <c r="K80" s="14"/>
      <c r="L80" s="7"/>
      <c r="M80" s="7"/>
      <c r="N80" s="7"/>
      <c r="O80" s="7"/>
      <c r="P80" s="7"/>
      <c r="Q80" s="7"/>
      <c r="R80" s="7"/>
      <c r="S80" s="7"/>
      <c r="T80" s="7"/>
      <c r="U80" s="7"/>
      <c r="V80" s="7"/>
      <c r="W80" s="7"/>
      <c r="X80" s="7"/>
      <c r="Y80" s="7"/>
      <c r="Z80" s="7"/>
      <c r="AA80" s="7"/>
      <c r="AB80" s="7"/>
      <c r="AC80" s="7"/>
      <c r="AD80" s="7"/>
      <c r="AE80" s="7"/>
    </row>
    <row r="81">
      <c r="A81" s="18">
        <v>1.0</v>
      </c>
      <c r="B81" s="24" t="s">
        <v>747</v>
      </c>
      <c r="C81" s="24" t="s">
        <v>1184</v>
      </c>
      <c r="D81" s="24" t="s">
        <v>750</v>
      </c>
      <c r="E81" s="24" t="s">
        <v>752</v>
      </c>
      <c r="F81" s="24" t="s">
        <v>316</v>
      </c>
      <c r="G81" s="24" t="s">
        <v>346</v>
      </c>
      <c r="H81" s="24" t="s">
        <v>380</v>
      </c>
      <c r="I81" s="24" t="s">
        <v>755</v>
      </c>
      <c r="J81" s="24" t="s">
        <v>759</v>
      </c>
      <c r="K81" s="24" t="s">
        <v>610</v>
      </c>
      <c r="L81" s="7"/>
      <c r="M81" s="7"/>
      <c r="N81" s="7"/>
      <c r="O81" s="7"/>
      <c r="P81" s="7"/>
      <c r="Q81" s="7"/>
      <c r="R81" s="7"/>
      <c r="S81" s="7"/>
      <c r="T81" s="7"/>
      <c r="U81" s="7"/>
      <c r="V81" s="7"/>
      <c r="W81" s="7"/>
      <c r="X81" s="7"/>
      <c r="Y81" s="7"/>
      <c r="Z81" s="7"/>
      <c r="AA81" s="7"/>
      <c r="AB81" s="7"/>
      <c r="AC81" s="7"/>
      <c r="AD81" s="7"/>
      <c r="AE81" s="7"/>
    </row>
    <row r="82">
      <c r="A82" s="14"/>
      <c r="B82" s="14"/>
      <c r="C82" s="14"/>
      <c r="D82" s="14"/>
      <c r="E82" s="14"/>
      <c r="F82" s="14"/>
      <c r="G82" s="14"/>
      <c r="H82" s="14"/>
      <c r="I82" s="14"/>
      <c r="J82" s="14"/>
      <c r="K82" s="14"/>
      <c r="L82" s="7"/>
      <c r="M82" s="7"/>
      <c r="N82" s="7"/>
      <c r="O82" s="7"/>
      <c r="P82" s="7"/>
      <c r="Q82" s="7"/>
      <c r="R82" s="7"/>
      <c r="S82" s="7"/>
      <c r="T82" s="7"/>
      <c r="U82" s="7"/>
      <c r="V82" s="7"/>
      <c r="W82" s="7"/>
      <c r="X82" s="7"/>
      <c r="Y82" s="7"/>
      <c r="Z82" s="7"/>
      <c r="AA82" s="7"/>
      <c r="AB82" s="7"/>
      <c r="AC82" s="7"/>
      <c r="AD82" s="7"/>
      <c r="AE82" s="7"/>
    </row>
    <row r="83">
      <c r="A83" s="14"/>
      <c r="B83" s="14"/>
      <c r="C83" s="14"/>
      <c r="D83" s="14"/>
      <c r="E83" s="14"/>
      <c r="F83" s="14"/>
      <c r="G83" s="14"/>
      <c r="H83" s="14"/>
      <c r="I83" s="14"/>
      <c r="J83" s="14"/>
      <c r="K83" s="14"/>
      <c r="L83" s="7"/>
      <c r="M83" s="7"/>
      <c r="N83" s="7"/>
      <c r="O83" s="7"/>
      <c r="P83" s="7"/>
      <c r="Q83" s="7"/>
      <c r="R83" s="7"/>
      <c r="S83" s="7"/>
      <c r="T83" s="7"/>
      <c r="U83" s="7"/>
      <c r="V83" s="7"/>
      <c r="W83" s="7"/>
      <c r="X83" s="7"/>
      <c r="Y83" s="7"/>
      <c r="Z83" s="7"/>
      <c r="AA83" s="7"/>
      <c r="AB83" s="7"/>
      <c r="AC83" s="7"/>
      <c r="AD83" s="7"/>
      <c r="AE83" s="7"/>
    </row>
    <row r="84">
      <c r="A84" s="14"/>
      <c r="B84" s="14"/>
      <c r="C84" s="14"/>
      <c r="D84" s="14"/>
      <c r="E84" s="14"/>
      <c r="F84" s="14"/>
      <c r="G84" s="14"/>
      <c r="H84" s="14"/>
      <c r="I84" s="14"/>
      <c r="J84" s="14"/>
      <c r="K84" s="14"/>
      <c r="L84" s="7"/>
      <c r="M84" s="7"/>
      <c r="N84" s="7"/>
      <c r="O84" s="7"/>
      <c r="P84" s="7"/>
      <c r="Q84" s="7"/>
      <c r="R84" s="7"/>
      <c r="S84" s="7"/>
      <c r="T84" s="7"/>
      <c r="U84" s="7"/>
      <c r="V84" s="7"/>
      <c r="W84" s="7"/>
      <c r="X84" s="7"/>
      <c r="Y84" s="7"/>
      <c r="Z84" s="7"/>
      <c r="AA84" s="7"/>
      <c r="AB84" s="7"/>
      <c r="AC84" s="7"/>
      <c r="AD84" s="7"/>
      <c r="AE84" s="7"/>
    </row>
    <row r="85">
      <c r="A85" s="14"/>
      <c r="B85" s="14"/>
      <c r="C85" s="14"/>
      <c r="D85" s="14"/>
      <c r="E85" s="14"/>
      <c r="F85" s="14"/>
      <c r="G85" s="14"/>
      <c r="H85" s="14"/>
      <c r="I85" s="14"/>
      <c r="J85" s="14"/>
      <c r="K85" s="14"/>
      <c r="L85" s="7"/>
      <c r="M85" s="7"/>
      <c r="N85" s="7"/>
      <c r="O85" s="7"/>
      <c r="P85" s="7"/>
      <c r="Q85" s="7"/>
      <c r="R85" s="7"/>
      <c r="S85" s="7"/>
      <c r="T85" s="7"/>
      <c r="U85" s="7"/>
      <c r="V85" s="7"/>
      <c r="W85" s="7"/>
      <c r="X85" s="7"/>
      <c r="Y85" s="7"/>
      <c r="Z85" s="7"/>
      <c r="AA85" s="7"/>
      <c r="AB85" s="7"/>
      <c r="AC85" s="7"/>
      <c r="AD85" s="7"/>
      <c r="AE85" s="7"/>
    </row>
    <row r="86">
      <c r="A86" s="14"/>
      <c r="B86" s="14"/>
      <c r="C86" s="14"/>
      <c r="D86" s="14"/>
      <c r="E86" s="14"/>
      <c r="F86" s="14"/>
      <c r="G86" s="14"/>
      <c r="H86" s="14"/>
      <c r="I86" s="14"/>
      <c r="J86" s="14"/>
      <c r="K86" s="14"/>
      <c r="L86" s="7"/>
      <c r="M86" s="7"/>
      <c r="N86" s="7"/>
      <c r="O86" s="7"/>
      <c r="P86" s="7"/>
      <c r="Q86" s="7"/>
      <c r="R86" s="7"/>
      <c r="S86" s="7"/>
      <c r="T86" s="7"/>
      <c r="U86" s="7"/>
      <c r="V86" s="7"/>
      <c r="W86" s="7"/>
      <c r="X86" s="7"/>
      <c r="Y86" s="7"/>
      <c r="Z86" s="7"/>
      <c r="AA86" s="7"/>
      <c r="AB86" s="7"/>
      <c r="AC86" s="7"/>
      <c r="AD86" s="7"/>
      <c r="AE86" s="7"/>
    </row>
    <row r="87">
      <c r="A87" s="14"/>
      <c r="B87" s="14"/>
      <c r="C87" s="14"/>
      <c r="D87" s="14"/>
      <c r="E87" s="14"/>
      <c r="F87" s="14"/>
      <c r="G87" s="14"/>
      <c r="H87" s="14"/>
      <c r="I87" s="14"/>
      <c r="J87" s="14"/>
      <c r="K87" s="14"/>
      <c r="L87" s="7"/>
      <c r="M87" s="7"/>
      <c r="N87" s="7"/>
      <c r="O87" s="7"/>
      <c r="P87" s="7"/>
      <c r="Q87" s="7"/>
      <c r="R87" s="7"/>
      <c r="S87" s="7"/>
      <c r="T87" s="7"/>
      <c r="U87" s="7"/>
      <c r="V87" s="7"/>
      <c r="W87" s="7"/>
      <c r="X87" s="7"/>
      <c r="Y87" s="7"/>
      <c r="Z87" s="7"/>
      <c r="AA87" s="7"/>
      <c r="AB87" s="7"/>
      <c r="AC87" s="7"/>
      <c r="AD87" s="7"/>
      <c r="AE87" s="7"/>
    </row>
    <row r="88">
      <c r="A88" s="14"/>
      <c r="B88" s="14"/>
      <c r="C88" s="14"/>
      <c r="D88" s="14"/>
      <c r="E88" s="14"/>
      <c r="F88" s="14"/>
      <c r="G88" s="14"/>
      <c r="H88" s="14"/>
      <c r="I88" s="14"/>
      <c r="J88" s="57" t="s">
        <v>1238</v>
      </c>
      <c r="K88" s="5"/>
      <c r="L88" s="7"/>
      <c r="M88" s="7"/>
      <c r="N88" s="7"/>
      <c r="O88" s="7"/>
      <c r="P88" s="7"/>
      <c r="Q88" s="7"/>
      <c r="R88" s="7"/>
      <c r="S88" s="7"/>
      <c r="T88" s="7"/>
      <c r="U88" s="7"/>
      <c r="V88" s="7"/>
      <c r="W88" s="7"/>
      <c r="X88" s="7"/>
      <c r="Y88" s="7"/>
      <c r="Z88" s="7"/>
      <c r="AA88" s="7"/>
      <c r="AB88" s="7"/>
      <c r="AC88" s="7"/>
      <c r="AD88" s="7"/>
      <c r="AE88" s="7"/>
    </row>
    <row r="89">
      <c r="A89" s="14"/>
      <c r="B89" s="14"/>
      <c r="C89" s="14"/>
      <c r="D89" s="14"/>
      <c r="E89" s="14"/>
      <c r="F89" s="14"/>
      <c r="G89" s="14"/>
      <c r="H89" s="14"/>
      <c r="I89" s="14"/>
      <c r="J89" s="57" t="s">
        <v>1246</v>
      </c>
      <c r="K89" s="5"/>
      <c r="L89" s="7"/>
      <c r="M89" s="7"/>
      <c r="N89" s="7"/>
      <c r="O89" s="7"/>
      <c r="P89" s="7"/>
      <c r="Q89" s="7"/>
      <c r="R89" s="7"/>
      <c r="S89" s="7"/>
      <c r="T89" s="7"/>
      <c r="U89" s="7"/>
      <c r="V89" s="7"/>
      <c r="W89" s="7"/>
      <c r="X89" s="7"/>
      <c r="Y89" s="7"/>
      <c r="Z89" s="7"/>
      <c r="AA89" s="7"/>
      <c r="AB89" s="7"/>
      <c r="AC89" s="7"/>
      <c r="AD89" s="7"/>
      <c r="AE89" s="7"/>
    </row>
    <row r="90">
      <c r="A90" s="14"/>
      <c r="B90" s="14"/>
      <c r="C90" s="14"/>
      <c r="D90" s="14"/>
      <c r="E90" s="14"/>
      <c r="F90" s="14"/>
      <c r="G90" s="14"/>
      <c r="H90" s="14"/>
      <c r="I90" s="14"/>
      <c r="J90" s="14"/>
      <c r="K90" s="14"/>
      <c r="L90" s="7"/>
      <c r="M90" s="7"/>
      <c r="N90" s="7"/>
      <c r="O90" s="7"/>
      <c r="P90" s="7"/>
      <c r="Q90" s="7"/>
      <c r="R90" s="7"/>
      <c r="S90" s="7"/>
      <c r="T90" s="7"/>
      <c r="U90" s="7"/>
      <c r="V90" s="7"/>
      <c r="W90" s="7"/>
      <c r="X90" s="7"/>
      <c r="Y90" s="7"/>
      <c r="Z90" s="7"/>
      <c r="AA90" s="7"/>
      <c r="AB90" s="7"/>
      <c r="AC90" s="7"/>
      <c r="AD90" s="7"/>
      <c r="AE90" s="7"/>
    </row>
    <row r="91">
      <c r="A91" s="14"/>
      <c r="B91" s="14"/>
      <c r="C91" s="14"/>
      <c r="D91" s="14"/>
      <c r="E91" s="14"/>
      <c r="F91" s="14"/>
      <c r="G91" s="14"/>
      <c r="H91" s="14"/>
      <c r="I91" s="14"/>
      <c r="J91" s="14"/>
      <c r="K91" s="14"/>
      <c r="L91" s="7"/>
      <c r="M91" s="7"/>
      <c r="N91" s="7"/>
      <c r="O91" s="7"/>
      <c r="P91" s="7"/>
      <c r="Q91" s="7"/>
      <c r="R91" s="7"/>
      <c r="S91" s="7"/>
      <c r="T91" s="7"/>
      <c r="U91" s="7"/>
      <c r="V91" s="7"/>
      <c r="W91" s="7"/>
      <c r="X91" s="7"/>
      <c r="Y91" s="7"/>
      <c r="Z91" s="7"/>
      <c r="AA91" s="7"/>
      <c r="AB91" s="7"/>
      <c r="AC91" s="7"/>
      <c r="AD91" s="7"/>
      <c r="AE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row>
  </sheetData>
  <mergeCells count="11">
    <mergeCell ref="C9:I9"/>
    <mergeCell ref="B44:C44"/>
    <mergeCell ref="J88:K88"/>
    <mergeCell ref="J89:K89"/>
    <mergeCell ref="A1:K1"/>
    <mergeCell ref="A2:K2"/>
    <mergeCell ref="D3:H3"/>
    <mergeCell ref="B4:K4"/>
    <mergeCell ref="B6:K6"/>
    <mergeCell ref="C8:I8"/>
    <mergeCell ref="B12:K1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29.5"/>
    <col customWidth="1" min="3" max="3" width="23.88"/>
    <col customWidth="1" min="4" max="4" width="29.5"/>
    <col customWidth="1" min="6" max="6" width="28.63"/>
    <col customWidth="1" min="7" max="7" width="19.75"/>
  </cols>
  <sheetData>
    <row r="1">
      <c r="A1" s="2" t="s">
        <v>3</v>
      </c>
      <c r="B1" s="3"/>
      <c r="C1" s="3"/>
      <c r="D1" s="3"/>
      <c r="E1" s="3"/>
      <c r="F1" s="3"/>
      <c r="G1" s="5"/>
    </row>
    <row r="2">
      <c r="A2" s="16" t="s">
        <v>12</v>
      </c>
      <c r="B2" s="16" t="s">
        <v>44</v>
      </c>
      <c r="C2" s="16" t="s">
        <v>24</v>
      </c>
      <c r="D2" s="16" t="s">
        <v>48</v>
      </c>
      <c r="E2" s="16" t="s">
        <v>50</v>
      </c>
      <c r="F2" s="16" t="s">
        <v>40</v>
      </c>
      <c r="G2" s="16" t="s">
        <v>53</v>
      </c>
    </row>
    <row r="3">
      <c r="A3" s="21">
        <v>1.0</v>
      </c>
      <c r="B3" s="21" t="s">
        <v>55</v>
      </c>
      <c r="C3" s="21" t="s">
        <v>57</v>
      </c>
      <c r="D3" s="21" t="s">
        <v>59</v>
      </c>
      <c r="E3" s="21" t="s">
        <v>61</v>
      </c>
      <c r="F3" s="21" t="s">
        <v>62</v>
      </c>
      <c r="G3" s="22">
        <v>200.0</v>
      </c>
    </row>
    <row r="4">
      <c r="A4" s="21">
        <v>2.0</v>
      </c>
      <c r="B4" s="21" t="s">
        <v>66</v>
      </c>
      <c r="C4" s="21" t="s">
        <v>68</v>
      </c>
      <c r="D4" s="21" t="s">
        <v>69</v>
      </c>
      <c r="E4" s="21" t="s">
        <v>70</v>
      </c>
      <c r="F4" s="21" t="s">
        <v>71</v>
      </c>
      <c r="G4" s="22">
        <v>200.0</v>
      </c>
    </row>
    <row r="5">
      <c r="A5" s="21">
        <v>3.0</v>
      </c>
      <c r="B5" s="21" t="s">
        <v>73</v>
      </c>
      <c r="C5" s="21" t="s">
        <v>74</v>
      </c>
      <c r="D5" s="21" t="s">
        <v>76</v>
      </c>
      <c r="E5" s="21" t="s">
        <v>77</v>
      </c>
      <c r="F5" s="26"/>
      <c r="G5" s="22">
        <v>150.0</v>
      </c>
    </row>
    <row r="6">
      <c r="A6" s="21">
        <v>4.0</v>
      </c>
      <c r="B6" s="21" t="s">
        <v>80</v>
      </c>
      <c r="C6" s="21" t="s">
        <v>82</v>
      </c>
      <c r="D6" s="21" t="s">
        <v>84</v>
      </c>
      <c r="E6" s="21" t="s">
        <v>85</v>
      </c>
      <c r="F6" s="21" t="s">
        <v>87</v>
      </c>
      <c r="G6" s="22">
        <v>120.0</v>
      </c>
    </row>
    <row r="7">
      <c r="A7" s="21">
        <v>5.0</v>
      </c>
      <c r="B7" s="21" t="s">
        <v>89</v>
      </c>
      <c r="C7" s="21" t="s">
        <v>90</v>
      </c>
      <c r="D7" s="21" t="s">
        <v>91</v>
      </c>
      <c r="E7" s="21" t="s">
        <v>92</v>
      </c>
      <c r="F7" s="21" t="s">
        <v>93</v>
      </c>
      <c r="G7" s="22">
        <v>100.0</v>
      </c>
    </row>
    <row r="8">
      <c r="A8" s="21">
        <v>6.0</v>
      </c>
      <c r="B8" s="21" t="s">
        <v>94</v>
      </c>
      <c r="C8" s="21" t="s">
        <v>95</v>
      </c>
      <c r="D8" s="28" t="s">
        <v>98</v>
      </c>
      <c r="E8" s="28" t="s">
        <v>101</v>
      </c>
      <c r="F8" s="28" t="s">
        <v>103</v>
      </c>
      <c r="G8" s="22">
        <v>85.0</v>
      </c>
    </row>
    <row r="9">
      <c r="A9" s="21">
        <v>7.0</v>
      </c>
      <c r="B9" s="21" t="s">
        <v>108</v>
      </c>
      <c r="C9" s="21" t="s">
        <v>111</v>
      </c>
      <c r="D9" s="21" t="s">
        <v>113</v>
      </c>
      <c r="E9" s="21" t="s">
        <v>115</v>
      </c>
      <c r="F9" s="21" t="s">
        <v>116</v>
      </c>
      <c r="G9" s="22">
        <v>53.0</v>
      </c>
    </row>
    <row r="10">
      <c r="A10" s="21">
        <v>8.0</v>
      </c>
      <c r="B10" s="21" t="s">
        <v>119</v>
      </c>
      <c r="C10" s="21" t="s">
        <v>121</v>
      </c>
      <c r="D10" s="21" t="s">
        <v>122</v>
      </c>
      <c r="E10" s="21" t="s">
        <v>124</v>
      </c>
      <c r="F10" s="21" t="s">
        <v>125</v>
      </c>
      <c r="G10" s="22">
        <v>50.0</v>
      </c>
    </row>
    <row r="11">
      <c r="A11" s="21">
        <v>9.0</v>
      </c>
      <c r="B11" s="21" t="s">
        <v>130</v>
      </c>
      <c r="C11" s="21" t="s">
        <v>131</v>
      </c>
      <c r="D11" s="21" t="s">
        <v>133</v>
      </c>
      <c r="E11" s="26"/>
      <c r="F11" s="21" t="s">
        <v>135</v>
      </c>
      <c r="G11" s="22">
        <v>50.0</v>
      </c>
    </row>
    <row r="12">
      <c r="A12" s="21">
        <v>10.0</v>
      </c>
      <c r="B12" s="21" t="s">
        <v>138</v>
      </c>
      <c r="C12" s="21" t="s">
        <v>139</v>
      </c>
      <c r="D12" s="21" t="s">
        <v>142</v>
      </c>
      <c r="E12" s="21" t="s">
        <v>143</v>
      </c>
      <c r="F12" s="21" t="s">
        <v>144</v>
      </c>
      <c r="G12" s="22">
        <v>30.0</v>
      </c>
    </row>
    <row r="13">
      <c r="A13" s="21">
        <v>11.0</v>
      </c>
      <c r="B13" s="21" t="s">
        <v>149</v>
      </c>
      <c r="C13" s="21" t="s">
        <v>150</v>
      </c>
      <c r="D13" s="21" t="s">
        <v>152</v>
      </c>
      <c r="E13" s="21" t="s">
        <v>155</v>
      </c>
      <c r="F13" s="21" t="s">
        <v>156</v>
      </c>
      <c r="G13" s="22">
        <v>30.0</v>
      </c>
    </row>
    <row r="14">
      <c r="A14" s="21">
        <v>12.0</v>
      </c>
      <c r="B14" s="21" t="s">
        <v>162</v>
      </c>
      <c r="C14" s="21" t="s">
        <v>164</v>
      </c>
      <c r="D14" s="21" t="s">
        <v>165</v>
      </c>
      <c r="E14" s="21" t="s">
        <v>166</v>
      </c>
      <c r="F14" s="26"/>
      <c r="G14" s="22">
        <v>25.0</v>
      </c>
    </row>
    <row r="15">
      <c r="A15" s="21">
        <v>13.0</v>
      </c>
      <c r="B15" s="21" t="s">
        <v>175</v>
      </c>
      <c r="C15" s="21" t="s">
        <v>176</v>
      </c>
      <c r="D15" s="21" t="s">
        <v>179</v>
      </c>
      <c r="E15" s="21" t="s">
        <v>77</v>
      </c>
      <c r="F15" s="26"/>
      <c r="G15" s="22">
        <v>20.0</v>
      </c>
    </row>
    <row r="16">
      <c r="A16" s="21">
        <v>14.0</v>
      </c>
      <c r="B16" s="21" t="s">
        <v>183</v>
      </c>
      <c r="C16" s="21" t="s">
        <v>186</v>
      </c>
      <c r="D16" s="21" t="s">
        <v>188</v>
      </c>
      <c r="E16" s="21" t="s">
        <v>190</v>
      </c>
      <c r="F16" s="26"/>
      <c r="G16" s="22">
        <v>15.0</v>
      </c>
    </row>
    <row r="17">
      <c r="A17" s="21">
        <v>15.0</v>
      </c>
      <c r="B17" s="21" t="s">
        <v>194</v>
      </c>
      <c r="C17" s="21" t="s">
        <v>196</v>
      </c>
      <c r="D17" s="21" t="s">
        <v>197</v>
      </c>
      <c r="E17" s="21" t="s">
        <v>198</v>
      </c>
      <c r="F17" s="21" t="s">
        <v>200</v>
      </c>
      <c r="G17" s="22">
        <v>12.0</v>
      </c>
    </row>
    <row r="18">
      <c r="A18" s="21">
        <v>16.0</v>
      </c>
      <c r="B18" s="21" t="s">
        <v>112</v>
      </c>
      <c r="C18" s="21" t="s">
        <v>202</v>
      </c>
      <c r="D18" s="21" t="s">
        <v>141</v>
      </c>
      <c r="E18" s="21" t="s">
        <v>148</v>
      </c>
      <c r="F18" s="21" t="s">
        <v>151</v>
      </c>
      <c r="G18" s="22">
        <v>10.0</v>
      </c>
    </row>
    <row r="19">
      <c r="A19" s="21">
        <v>17.0</v>
      </c>
      <c r="B19" s="21" t="s">
        <v>208</v>
      </c>
      <c r="C19" s="21" t="s">
        <v>209</v>
      </c>
      <c r="D19" s="21" t="s">
        <v>213</v>
      </c>
      <c r="E19" s="21" t="s">
        <v>215</v>
      </c>
      <c r="F19" s="21" t="s">
        <v>216</v>
      </c>
      <c r="G19" s="22">
        <v>10.0</v>
      </c>
    </row>
    <row r="20">
      <c r="A20" s="21">
        <v>18.0</v>
      </c>
      <c r="B20" s="21" t="s">
        <v>221</v>
      </c>
      <c r="C20" s="21" t="s">
        <v>223</v>
      </c>
      <c r="D20" s="21" t="s">
        <v>226</v>
      </c>
      <c r="E20" s="21" t="s">
        <v>228</v>
      </c>
      <c r="F20" s="21" t="s">
        <v>230</v>
      </c>
      <c r="G20" s="22">
        <v>10.0</v>
      </c>
    </row>
    <row r="21">
      <c r="A21" s="21">
        <v>19.0</v>
      </c>
      <c r="B21" s="21" t="s">
        <v>231</v>
      </c>
      <c r="C21" s="21" t="s">
        <v>233</v>
      </c>
      <c r="D21" s="21" t="s">
        <v>235</v>
      </c>
      <c r="E21" s="21" t="s">
        <v>237</v>
      </c>
      <c r="F21" s="21" t="s">
        <v>238</v>
      </c>
      <c r="G21" s="22">
        <v>10.0</v>
      </c>
    </row>
    <row r="22">
      <c r="A22" s="21">
        <v>20.0</v>
      </c>
      <c r="B22" s="21" t="s">
        <v>242</v>
      </c>
      <c r="C22" s="21" t="s">
        <v>243</v>
      </c>
      <c r="D22" s="26"/>
      <c r="E22" s="21" t="s">
        <v>246</v>
      </c>
      <c r="F22" s="26"/>
      <c r="G22" s="22">
        <v>7.0</v>
      </c>
    </row>
    <row r="23">
      <c r="A23" s="21">
        <v>21.0</v>
      </c>
      <c r="B23" s="21" t="s">
        <v>256</v>
      </c>
      <c r="C23" s="21" t="s">
        <v>258</v>
      </c>
      <c r="D23" s="21" t="s">
        <v>261</v>
      </c>
      <c r="E23" s="21" t="s">
        <v>263</v>
      </c>
      <c r="F23" s="21" t="s">
        <v>267</v>
      </c>
      <c r="G23" s="22">
        <v>6.0</v>
      </c>
    </row>
    <row r="24">
      <c r="A24" s="21">
        <v>22.0</v>
      </c>
      <c r="B24" s="21" t="s">
        <v>272</v>
      </c>
      <c r="C24" s="21" t="s">
        <v>274</v>
      </c>
      <c r="D24" s="21" t="s">
        <v>276</v>
      </c>
      <c r="E24" s="21" t="s">
        <v>278</v>
      </c>
      <c r="F24" s="21" t="s">
        <v>281</v>
      </c>
      <c r="G24" s="22">
        <v>5.0</v>
      </c>
    </row>
    <row r="25">
      <c r="A25" s="21">
        <v>23.0</v>
      </c>
      <c r="B25" s="21" t="s">
        <v>286</v>
      </c>
      <c r="C25" s="21" t="s">
        <v>289</v>
      </c>
      <c r="D25" s="21" t="s">
        <v>293</v>
      </c>
      <c r="E25" s="21" t="s">
        <v>295</v>
      </c>
      <c r="F25" s="21" t="s">
        <v>297</v>
      </c>
      <c r="G25" s="22">
        <v>5.0</v>
      </c>
    </row>
    <row r="26">
      <c r="A26" s="21">
        <v>24.0</v>
      </c>
      <c r="B26" s="21" t="s">
        <v>301</v>
      </c>
      <c r="C26" s="21" t="s">
        <v>302</v>
      </c>
      <c r="D26" s="21" t="s">
        <v>303</v>
      </c>
      <c r="E26" s="21" t="s">
        <v>304</v>
      </c>
      <c r="F26" s="21" t="s">
        <v>305</v>
      </c>
      <c r="G26" s="22">
        <v>3.0</v>
      </c>
    </row>
    <row r="27">
      <c r="A27" s="21">
        <v>25.0</v>
      </c>
      <c r="B27" s="21" t="s">
        <v>306</v>
      </c>
      <c r="C27" s="21" t="s">
        <v>309</v>
      </c>
      <c r="D27" s="41" t="s">
        <v>311</v>
      </c>
      <c r="E27" s="21" t="s">
        <v>102</v>
      </c>
      <c r="F27" s="21" t="s">
        <v>104</v>
      </c>
      <c r="G27" s="22">
        <v>2.0</v>
      </c>
    </row>
  </sheetData>
  <mergeCells count="1">
    <mergeCell ref="A1:G1"/>
  </mergeCells>
  <hyperlinks>
    <hyperlink r:id="rId1" ref="D27"/>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20.5"/>
    <col customWidth="1" min="3" max="3" width="22.25"/>
    <col customWidth="1" min="4" max="4" width="21.38"/>
    <col customWidth="1" min="5" max="5" width="38.88"/>
    <col customWidth="1" min="6" max="6" width="29.63"/>
    <col customWidth="1" min="7" max="7" width="28.38"/>
    <col customWidth="1" min="9" max="9" width="59.38"/>
  </cols>
  <sheetData>
    <row r="1">
      <c r="A1" s="48" t="s">
        <v>505</v>
      </c>
      <c r="B1" s="48" t="s">
        <v>510</v>
      </c>
      <c r="C1" s="48" t="s">
        <v>511</v>
      </c>
      <c r="D1" s="48" t="s">
        <v>512</v>
      </c>
      <c r="E1" s="48" t="s">
        <v>515</v>
      </c>
      <c r="F1" s="48" t="s">
        <v>516</v>
      </c>
      <c r="G1" s="48" t="s">
        <v>517</v>
      </c>
      <c r="H1" s="48" t="s">
        <v>265</v>
      </c>
      <c r="I1" s="48" t="s">
        <v>521</v>
      </c>
      <c r="J1" s="49"/>
      <c r="K1" s="49"/>
      <c r="L1" s="49"/>
      <c r="M1" s="49"/>
      <c r="N1" s="49"/>
      <c r="O1" s="49"/>
      <c r="P1" s="49"/>
      <c r="Q1" s="49"/>
      <c r="R1" s="49"/>
      <c r="S1" s="49"/>
      <c r="T1" s="49"/>
      <c r="U1" s="49"/>
      <c r="V1" s="49"/>
      <c r="W1" s="49"/>
      <c r="X1" s="49"/>
      <c r="Y1" s="49"/>
      <c r="Z1" s="49"/>
    </row>
    <row r="2">
      <c r="A2" s="17">
        <v>1.0</v>
      </c>
      <c r="B2" s="17" t="s">
        <v>532</v>
      </c>
      <c r="C2" s="17" t="s">
        <v>533</v>
      </c>
      <c r="D2" s="17" t="s">
        <v>534</v>
      </c>
      <c r="E2" s="17" t="s">
        <v>535</v>
      </c>
      <c r="F2" s="17" t="s">
        <v>536</v>
      </c>
      <c r="G2" s="17" t="s">
        <v>538</v>
      </c>
      <c r="H2" s="17">
        <v>9.696473229E9</v>
      </c>
      <c r="I2" s="51" t="s">
        <v>542</v>
      </c>
      <c r="J2" s="49"/>
      <c r="K2" s="49"/>
      <c r="L2" s="49"/>
      <c r="M2" s="49"/>
      <c r="N2" s="49"/>
      <c r="O2" s="49"/>
      <c r="P2" s="49"/>
      <c r="Q2" s="49"/>
      <c r="R2" s="49"/>
      <c r="S2" s="49"/>
      <c r="T2" s="49"/>
      <c r="U2" s="49"/>
      <c r="V2" s="49"/>
      <c r="W2" s="49"/>
      <c r="X2" s="49"/>
      <c r="Y2" s="49"/>
      <c r="Z2" s="49"/>
    </row>
    <row r="3">
      <c r="A3" s="17">
        <v>2.0</v>
      </c>
      <c r="B3" s="17" t="s">
        <v>564</v>
      </c>
      <c r="C3" s="17" t="s">
        <v>533</v>
      </c>
      <c r="D3" s="17" t="s">
        <v>565</v>
      </c>
      <c r="E3" s="17" t="s">
        <v>566</v>
      </c>
      <c r="F3" s="17" t="s">
        <v>536</v>
      </c>
      <c r="G3" s="17" t="s">
        <v>567</v>
      </c>
      <c r="H3" s="17">
        <v>8.000900032E9</v>
      </c>
      <c r="I3" s="51" t="s">
        <v>569</v>
      </c>
      <c r="J3" s="49"/>
      <c r="K3" s="49"/>
      <c r="L3" s="49"/>
      <c r="M3" s="49"/>
      <c r="N3" s="49"/>
      <c r="O3" s="49"/>
      <c r="P3" s="49"/>
      <c r="Q3" s="49"/>
      <c r="R3" s="49"/>
      <c r="S3" s="49"/>
      <c r="T3" s="49"/>
      <c r="U3" s="49"/>
      <c r="V3" s="49"/>
      <c r="W3" s="49"/>
      <c r="X3" s="49"/>
      <c r="Y3" s="49"/>
      <c r="Z3" s="49"/>
    </row>
    <row r="4">
      <c r="A4" s="17">
        <v>3.0</v>
      </c>
      <c r="B4" s="17" t="s">
        <v>593</v>
      </c>
      <c r="C4" s="17" t="s">
        <v>533</v>
      </c>
      <c r="D4" s="17" t="s">
        <v>595</v>
      </c>
      <c r="E4" s="17" t="s">
        <v>596</v>
      </c>
      <c r="F4" s="17" t="s">
        <v>536</v>
      </c>
      <c r="G4" s="17" t="s">
        <v>597</v>
      </c>
      <c r="H4" s="17">
        <v>7.818053608E9</v>
      </c>
      <c r="I4" s="51" t="s">
        <v>601</v>
      </c>
      <c r="J4" s="49"/>
      <c r="K4" s="49"/>
      <c r="L4" s="49"/>
      <c r="M4" s="49"/>
      <c r="N4" s="49"/>
      <c r="O4" s="49"/>
      <c r="P4" s="49"/>
      <c r="Q4" s="49"/>
      <c r="R4" s="49"/>
      <c r="S4" s="49"/>
      <c r="T4" s="49"/>
      <c r="U4" s="49"/>
      <c r="V4" s="49"/>
      <c r="W4" s="49"/>
      <c r="X4" s="49"/>
      <c r="Y4" s="49"/>
      <c r="Z4" s="49"/>
    </row>
    <row r="5">
      <c r="A5" s="17">
        <v>4.0</v>
      </c>
      <c r="B5" s="17" t="s">
        <v>619</v>
      </c>
      <c r="C5" s="17" t="s">
        <v>533</v>
      </c>
      <c r="D5" s="17" t="s">
        <v>622</v>
      </c>
      <c r="E5" s="17" t="s">
        <v>624</v>
      </c>
      <c r="F5" s="17" t="s">
        <v>625</v>
      </c>
      <c r="G5" s="17" t="s">
        <v>626</v>
      </c>
      <c r="H5" s="17">
        <v>9.457138214E9</v>
      </c>
      <c r="I5" s="51" t="s">
        <v>628</v>
      </c>
      <c r="J5" s="49"/>
      <c r="K5" s="49"/>
      <c r="L5" s="49"/>
      <c r="M5" s="49"/>
      <c r="N5" s="49"/>
      <c r="O5" s="49"/>
      <c r="P5" s="49"/>
      <c r="Q5" s="49"/>
      <c r="R5" s="49"/>
      <c r="S5" s="49"/>
      <c r="T5" s="49"/>
      <c r="U5" s="49"/>
      <c r="V5" s="49"/>
      <c r="W5" s="49"/>
      <c r="X5" s="49"/>
      <c r="Y5" s="49"/>
      <c r="Z5" s="49"/>
    </row>
    <row r="6">
      <c r="A6" s="17">
        <v>5.0</v>
      </c>
      <c r="B6" s="17" t="s">
        <v>644</v>
      </c>
      <c r="C6" s="17" t="s">
        <v>533</v>
      </c>
      <c r="D6" s="17" t="s">
        <v>622</v>
      </c>
      <c r="E6" s="17" t="s">
        <v>649</v>
      </c>
      <c r="F6" s="17" t="s">
        <v>625</v>
      </c>
      <c r="G6" s="17" t="s">
        <v>651</v>
      </c>
      <c r="H6" s="17">
        <v>9.810892005E9</v>
      </c>
      <c r="I6" s="51" t="s">
        <v>654</v>
      </c>
      <c r="J6" s="49"/>
      <c r="K6" s="49"/>
      <c r="L6" s="49"/>
      <c r="M6" s="49"/>
      <c r="N6" s="49"/>
      <c r="O6" s="49"/>
      <c r="P6" s="49"/>
      <c r="Q6" s="49"/>
      <c r="R6" s="49"/>
      <c r="S6" s="49"/>
      <c r="T6" s="49"/>
      <c r="U6" s="49"/>
      <c r="V6" s="49"/>
      <c r="W6" s="49"/>
      <c r="X6" s="49"/>
      <c r="Y6" s="49"/>
      <c r="Z6" s="49"/>
    </row>
    <row r="7">
      <c r="A7" s="17">
        <v>6.0</v>
      </c>
      <c r="B7" s="17" t="s">
        <v>676</v>
      </c>
      <c r="C7" s="17" t="s">
        <v>533</v>
      </c>
      <c r="D7" s="17" t="s">
        <v>679</v>
      </c>
      <c r="E7" s="17" t="s">
        <v>680</v>
      </c>
      <c r="F7" s="17" t="s">
        <v>681</v>
      </c>
      <c r="G7" s="17" t="s">
        <v>682</v>
      </c>
      <c r="H7" s="17">
        <v>8.417910274E9</v>
      </c>
      <c r="I7" s="51" t="s">
        <v>684</v>
      </c>
      <c r="J7" s="49"/>
      <c r="K7" s="49"/>
      <c r="L7" s="49"/>
      <c r="M7" s="49"/>
      <c r="N7" s="49"/>
      <c r="O7" s="49"/>
      <c r="P7" s="49"/>
      <c r="Q7" s="49"/>
      <c r="R7" s="49"/>
      <c r="S7" s="49"/>
      <c r="T7" s="49"/>
      <c r="U7" s="49"/>
      <c r="V7" s="49"/>
      <c r="W7" s="49"/>
      <c r="X7" s="49"/>
      <c r="Y7" s="49"/>
      <c r="Z7" s="49"/>
    </row>
    <row r="8">
      <c r="A8" s="17">
        <v>7.0</v>
      </c>
      <c r="B8" s="17" t="s">
        <v>703</v>
      </c>
      <c r="C8" s="17" t="s">
        <v>706</v>
      </c>
      <c r="D8" s="17" t="s">
        <v>710</v>
      </c>
      <c r="E8" s="17" t="s">
        <v>711</v>
      </c>
      <c r="F8" s="17" t="s">
        <v>681</v>
      </c>
      <c r="G8" s="17" t="s">
        <v>713</v>
      </c>
      <c r="H8" s="17">
        <v>8.269128704E9</v>
      </c>
      <c r="I8" s="51" t="s">
        <v>716</v>
      </c>
      <c r="J8" s="49"/>
      <c r="K8" s="49"/>
      <c r="L8" s="49"/>
      <c r="M8" s="49"/>
      <c r="N8" s="49"/>
      <c r="O8" s="49"/>
      <c r="P8" s="49"/>
      <c r="Q8" s="49"/>
      <c r="R8" s="49"/>
      <c r="S8" s="49"/>
      <c r="T8" s="49"/>
      <c r="U8" s="49"/>
      <c r="V8" s="49"/>
      <c r="W8" s="49"/>
      <c r="X8" s="49"/>
      <c r="Y8" s="49"/>
      <c r="Z8" s="49"/>
    </row>
    <row r="9">
      <c r="A9" s="17">
        <v>8.0</v>
      </c>
      <c r="B9" s="17" t="s">
        <v>735</v>
      </c>
      <c r="C9" s="17" t="s">
        <v>533</v>
      </c>
      <c r="D9" s="17" t="s">
        <v>622</v>
      </c>
      <c r="E9" s="17" t="s">
        <v>738</v>
      </c>
      <c r="F9" s="17" t="s">
        <v>681</v>
      </c>
      <c r="G9" s="17" t="s">
        <v>740</v>
      </c>
      <c r="H9" s="17">
        <v>9.506736531E9</v>
      </c>
      <c r="I9" s="51" t="s">
        <v>743</v>
      </c>
      <c r="J9" s="49"/>
      <c r="K9" s="49"/>
      <c r="L9" s="49"/>
      <c r="M9" s="49"/>
      <c r="N9" s="49"/>
      <c r="O9" s="49"/>
      <c r="P9" s="49"/>
      <c r="Q9" s="49"/>
      <c r="R9" s="49"/>
      <c r="S9" s="49"/>
      <c r="T9" s="49"/>
      <c r="U9" s="49"/>
      <c r="V9" s="49"/>
      <c r="W9" s="49"/>
      <c r="X9" s="49"/>
      <c r="Y9" s="49"/>
      <c r="Z9" s="49"/>
    </row>
    <row r="10">
      <c r="A10" s="17">
        <v>9.0</v>
      </c>
      <c r="B10" s="17" t="s">
        <v>764</v>
      </c>
      <c r="C10" s="17" t="s">
        <v>766</v>
      </c>
      <c r="D10" s="17" t="s">
        <v>768</v>
      </c>
      <c r="E10" s="17" t="s">
        <v>769</v>
      </c>
      <c r="F10" s="17" t="s">
        <v>625</v>
      </c>
      <c r="G10" s="17" t="s">
        <v>770</v>
      </c>
      <c r="H10" s="17">
        <v>8.527683453E9</v>
      </c>
      <c r="I10" s="51" t="s">
        <v>772</v>
      </c>
      <c r="J10" s="49"/>
      <c r="K10" s="49"/>
      <c r="L10" s="49"/>
      <c r="M10" s="49"/>
      <c r="N10" s="49"/>
      <c r="O10" s="49"/>
      <c r="P10" s="49"/>
      <c r="Q10" s="49"/>
      <c r="R10" s="49"/>
      <c r="S10" s="49"/>
      <c r="T10" s="49"/>
      <c r="U10" s="49"/>
      <c r="V10" s="49"/>
      <c r="W10" s="49"/>
      <c r="X10" s="49"/>
      <c r="Y10" s="49"/>
      <c r="Z10" s="49"/>
    </row>
    <row r="11">
      <c r="A11" s="17">
        <v>10.0</v>
      </c>
      <c r="B11" s="17" t="s">
        <v>781</v>
      </c>
      <c r="C11" s="17" t="s">
        <v>533</v>
      </c>
      <c r="D11" s="17" t="s">
        <v>783</v>
      </c>
      <c r="E11" s="17" t="s">
        <v>784</v>
      </c>
      <c r="F11" s="17" t="s">
        <v>536</v>
      </c>
      <c r="G11" s="17" t="s">
        <v>785</v>
      </c>
      <c r="H11" s="17">
        <v>6.387562603E9</v>
      </c>
      <c r="I11" s="51" t="s">
        <v>787</v>
      </c>
      <c r="J11" s="49"/>
      <c r="K11" s="49"/>
      <c r="L11" s="49"/>
      <c r="M11" s="49"/>
      <c r="N11" s="49"/>
      <c r="O11" s="49"/>
      <c r="P11" s="49"/>
      <c r="Q11" s="49"/>
      <c r="R11" s="49"/>
      <c r="S11" s="49"/>
      <c r="T11" s="49"/>
      <c r="U11" s="49"/>
      <c r="V11" s="49"/>
      <c r="W11" s="49"/>
      <c r="X11" s="49"/>
      <c r="Y11" s="49"/>
      <c r="Z11" s="49"/>
    </row>
    <row r="12">
      <c r="A12" s="17">
        <v>11.0</v>
      </c>
      <c r="B12" s="17" t="s">
        <v>796</v>
      </c>
      <c r="C12" s="17" t="s">
        <v>533</v>
      </c>
      <c r="D12" s="17" t="s">
        <v>804</v>
      </c>
      <c r="E12" s="17" t="s">
        <v>805</v>
      </c>
      <c r="F12" s="17" t="s">
        <v>625</v>
      </c>
      <c r="G12" s="17" t="s">
        <v>807</v>
      </c>
      <c r="H12" s="17">
        <v>9.369777978E9</v>
      </c>
      <c r="I12" s="51" t="s">
        <v>808</v>
      </c>
      <c r="J12" s="49"/>
      <c r="K12" s="49"/>
      <c r="L12" s="49"/>
      <c r="M12" s="49"/>
      <c r="N12" s="49"/>
      <c r="O12" s="49"/>
      <c r="P12" s="49"/>
      <c r="Q12" s="49"/>
      <c r="R12" s="49"/>
      <c r="S12" s="49"/>
      <c r="T12" s="49"/>
      <c r="U12" s="49"/>
      <c r="V12" s="49"/>
      <c r="W12" s="49"/>
      <c r="X12" s="49"/>
      <c r="Y12" s="49"/>
      <c r="Z12" s="49"/>
    </row>
    <row r="13">
      <c r="A13" s="17">
        <v>12.0</v>
      </c>
      <c r="B13" s="17" t="s">
        <v>824</v>
      </c>
      <c r="C13" s="17" t="s">
        <v>826</v>
      </c>
      <c r="D13" s="17" t="s">
        <v>827</v>
      </c>
      <c r="E13" s="17" t="s">
        <v>828</v>
      </c>
      <c r="F13" s="17" t="s">
        <v>625</v>
      </c>
      <c r="G13" s="17" t="s">
        <v>830</v>
      </c>
      <c r="H13" s="17">
        <v>9.873160572E9</v>
      </c>
      <c r="I13" s="51" t="s">
        <v>832</v>
      </c>
      <c r="J13" s="49"/>
      <c r="K13" s="49"/>
      <c r="L13" s="49"/>
      <c r="M13" s="49"/>
      <c r="N13" s="49"/>
      <c r="O13" s="49"/>
      <c r="P13" s="49"/>
      <c r="Q13" s="49"/>
      <c r="R13" s="49"/>
      <c r="S13" s="49"/>
      <c r="T13" s="49"/>
      <c r="U13" s="49"/>
      <c r="V13" s="49"/>
      <c r="W13" s="49"/>
      <c r="X13" s="49"/>
      <c r="Y13" s="49"/>
      <c r="Z13" s="49"/>
    </row>
    <row r="14">
      <c r="A14" s="58">
        <v>13.0</v>
      </c>
      <c r="B14" s="58" t="s">
        <v>843</v>
      </c>
      <c r="C14" s="58" t="s">
        <v>844</v>
      </c>
      <c r="D14" s="58" t="s">
        <v>845</v>
      </c>
      <c r="E14" s="58" t="s">
        <v>846</v>
      </c>
      <c r="F14" s="58" t="s">
        <v>681</v>
      </c>
      <c r="G14" s="58" t="s">
        <v>848</v>
      </c>
      <c r="H14" s="58">
        <v>9.047456026E9</v>
      </c>
      <c r="I14" s="59" t="s">
        <v>850</v>
      </c>
      <c r="J14" s="49"/>
      <c r="K14" s="49"/>
      <c r="L14" s="49"/>
      <c r="M14" s="49"/>
      <c r="N14" s="49"/>
      <c r="O14" s="49"/>
      <c r="P14" s="49"/>
      <c r="Q14" s="49"/>
      <c r="R14" s="49"/>
      <c r="S14" s="49"/>
      <c r="T14" s="49"/>
      <c r="U14" s="49"/>
      <c r="V14" s="49"/>
      <c r="W14" s="49"/>
      <c r="X14" s="49"/>
      <c r="Y14" s="49"/>
      <c r="Z14" s="49"/>
    </row>
    <row r="15">
      <c r="A15" s="58">
        <v>14.0</v>
      </c>
      <c r="B15" s="58" t="s">
        <v>865</v>
      </c>
      <c r="C15" s="58" t="s">
        <v>844</v>
      </c>
      <c r="D15" s="58" t="s">
        <v>845</v>
      </c>
      <c r="E15" s="58" t="s">
        <v>846</v>
      </c>
      <c r="F15" s="58" t="s">
        <v>681</v>
      </c>
      <c r="G15" s="58" t="s">
        <v>848</v>
      </c>
      <c r="H15" s="58">
        <v>9.047456026E9</v>
      </c>
      <c r="I15" s="60"/>
      <c r="J15" s="49"/>
      <c r="K15" s="49"/>
      <c r="L15" s="49"/>
      <c r="M15" s="49"/>
      <c r="N15" s="49"/>
      <c r="O15" s="49"/>
      <c r="P15" s="49"/>
      <c r="Q15" s="49"/>
      <c r="R15" s="49"/>
      <c r="S15" s="49"/>
      <c r="T15" s="49"/>
      <c r="U15" s="49"/>
      <c r="V15" s="49"/>
      <c r="W15" s="49"/>
      <c r="X15" s="49"/>
      <c r="Y15" s="49"/>
      <c r="Z15" s="49"/>
    </row>
    <row r="16">
      <c r="A16" s="17">
        <v>15.0</v>
      </c>
      <c r="B16" s="17" t="s">
        <v>875</v>
      </c>
      <c r="C16" s="17" t="s">
        <v>877</v>
      </c>
      <c r="D16" s="17" t="s">
        <v>878</v>
      </c>
      <c r="E16" s="17" t="s">
        <v>880</v>
      </c>
      <c r="F16" s="17" t="s">
        <v>536</v>
      </c>
      <c r="G16" s="17" t="s">
        <v>881</v>
      </c>
      <c r="H16" s="17">
        <v>7.597145489E9</v>
      </c>
      <c r="I16" s="51" t="s">
        <v>883</v>
      </c>
      <c r="J16" s="49"/>
      <c r="K16" s="49"/>
      <c r="L16" s="49"/>
      <c r="M16" s="49"/>
      <c r="N16" s="49"/>
      <c r="O16" s="49"/>
      <c r="P16" s="49"/>
      <c r="Q16" s="49"/>
      <c r="R16" s="49"/>
      <c r="S16" s="49"/>
      <c r="T16" s="49"/>
      <c r="U16" s="49"/>
      <c r="V16" s="49"/>
      <c r="W16" s="49"/>
      <c r="X16" s="49"/>
      <c r="Y16" s="49"/>
      <c r="Z16" s="49"/>
    </row>
    <row r="17">
      <c r="A17" s="17">
        <v>16.0</v>
      </c>
      <c r="B17" s="17" t="s">
        <v>892</v>
      </c>
      <c r="C17" s="17" t="s">
        <v>533</v>
      </c>
      <c r="D17" s="17" t="s">
        <v>622</v>
      </c>
      <c r="E17" s="17" t="s">
        <v>895</v>
      </c>
      <c r="F17" s="17" t="s">
        <v>681</v>
      </c>
      <c r="G17" s="17" t="s">
        <v>897</v>
      </c>
      <c r="H17" s="17">
        <v>8.102908107E9</v>
      </c>
      <c r="I17" s="51" t="s">
        <v>898</v>
      </c>
      <c r="J17" s="49"/>
      <c r="K17" s="49"/>
      <c r="L17" s="49"/>
      <c r="M17" s="49"/>
      <c r="N17" s="49"/>
      <c r="O17" s="49"/>
      <c r="P17" s="49"/>
      <c r="Q17" s="49"/>
      <c r="R17" s="49"/>
      <c r="S17" s="49"/>
      <c r="T17" s="49"/>
      <c r="U17" s="49"/>
      <c r="V17" s="49"/>
      <c r="W17" s="49"/>
      <c r="X17" s="49"/>
      <c r="Y17" s="49"/>
      <c r="Z17" s="49"/>
    </row>
    <row r="18">
      <c r="A18" s="17">
        <v>17.0</v>
      </c>
      <c r="B18" s="17" t="s">
        <v>907</v>
      </c>
      <c r="C18" s="17" t="s">
        <v>533</v>
      </c>
      <c r="D18" s="17" t="s">
        <v>622</v>
      </c>
      <c r="E18" s="17" t="s">
        <v>909</v>
      </c>
      <c r="F18" s="17" t="s">
        <v>681</v>
      </c>
      <c r="G18" s="17" t="s">
        <v>911</v>
      </c>
      <c r="H18" s="17">
        <v>9.794143181E9</v>
      </c>
      <c r="I18" s="51" t="s">
        <v>912</v>
      </c>
      <c r="J18" s="49"/>
      <c r="K18" s="49"/>
      <c r="L18" s="49"/>
      <c r="M18" s="49"/>
      <c r="N18" s="49"/>
      <c r="O18" s="49"/>
      <c r="P18" s="49"/>
      <c r="Q18" s="49"/>
      <c r="R18" s="49"/>
      <c r="S18" s="49"/>
      <c r="T18" s="49"/>
      <c r="U18" s="49"/>
      <c r="V18" s="49"/>
      <c r="W18" s="49"/>
      <c r="X18" s="49"/>
      <c r="Y18" s="49"/>
      <c r="Z18" s="49"/>
    </row>
    <row r="19">
      <c r="A19" s="17">
        <v>18.0</v>
      </c>
      <c r="B19" s="17" t="s">
        <v>923</v>
      </c>
      <c r="C19" s="17" t="s">
        <v>533</v>
      </c>
      <c r="D19" s="17" t="s">
        <v>925</v>
      </c>
      <c r="E19" s="17" t="s">
        <v>926</v>
      </c>
      <c r="F19" s="17" t="s">
        <v>536</v>
      </c>
      <c r="G19" s="17" t="s">
        <v>928</v>
      </c>
      <c r="H19" s="17">
        <v>8.958658022E9</v>
      </c>
      <c r="I19" s="51" t="s">
        <v>930</v>
      </c>
      <c r="J19" s="49"/>
      <c r="K19" s="49"/>
      <c r="L19" s="49"/>
      <c r="M19" s="49"/>
      <c r="N19" s="49"/>
      <c r="O19" s="49"/>
      <c r="P19" s="49"/>
      <c r="Q19" s="49"/>
      <c r="R19" s="49"/>
      <c r="S19" s="49"/>
      <c r="T19" s="49"/>
      <c r="U19" s="49"/>
      <c r="V19" s="49"/>
      <c r="W19" s="49"/>
      <c r="X19" s="49"/>
      <c r="Y19" s="49"/>
      <c r="Z19" s="49"/>
    </row>
    <row r="20">
      <c r="A20" s="17">
        <v>19.0</v>
      </c>
      <c r="B20" s="17" t="s">
        <v>942</v>
      </c>
      <c r="C20" s="17" t="s">
        <v>533</v>
      </c>
      <c r="D20" s="17" t="s">
        <v>565</v>
      </c>
      <c r="E20" s="17" t="s">
        <v>943</v>
      </c>
      <c r="F20" s="17" t="s">
        <v>536</v>
      </c>
      <c r="G20" s="17" t="s">
        <v>945</v>
      </c>
      <c r="H20" s="17">
        <v>9.717533146E9</v>
      </c>
      <c r="I20" s="51" t="s">
        <v>947</v>
      </c>
      <c r="J20" s="49"/>
      <c r="K20" s="49"/>
      <c r="L20" s="49"/>
      <c r="M20" s="49"/>
      <c r="N20" s="49"/>
      <c r="O20" s="49"/>
      <c r="P20" s="49"/>
      <c r="Q20" s="49"/>
      <c r="R20" s="49"/>
      <c r="S20" s="49"/>
      <c r="T20" s="49"/>
      <c r="U20" s="49"/>
      <c r="V20" s="49"/>
      <c r="W20" s="49"/>
      <c r="X20" s="49"/>
      <c r="Y20" s="49"/>
      <c r="Z20" s="49"/>
    </row>
    <row r="21">
      <c r="A21" s="17">
        <v>20.0</v>
      </c>
      <c r="B21" s="17" t="s">
        <v>958</v>
      </c>
      <c r="C21" s="17" t="s">
        <v>533</v>
      </c>
      <c r="D21" s="17" t="s">
        <v>622</v>
      </c>
      <c r="E21" s="17" t="s">
        <v>960</v>
      </c>
      <c r="F21" s="17" t="s">
        <v>536</v>
      </c>
      <c r="G21" s="17" t="s">
        <v>963</v>
      </c>
      <c r="H21" s="17">
        <v>7.906488361E9</v>
      </c>
      <c r="I21" s="51" t="s">
        <v>965</v>
      </c>
      <c r="J21" s="49"/>
      <c r="K21" s="49"/>
      <c r="L21" s="49"/>
      <c r="M21" s="49"/>
      <c r="N21" s="49"/>
      <c r="O21" s="49"/>
      <c r="P21" s="49"/>
      <c r="Q21" s="49"/>
      <c r="R21" s="49"/>
      <c r="S21" s="49"/>
      <c r="T21" s="49"/>
      <c r="U21" s="49"/>
      <c r="V21" s="49"/>
      <c r="W21" s="49"/>
      <c r="X21" s="49"/>
      <c r="Y21" s="49"/>
      <c r="Z21" s="49"/>
    </row>
    <row r="22">
      <c r="A22" s="17">
        <v>21.0</v>
      </c>
      <c r="B22" s="17" t="s">
        <v>980</v>
      </c>
      <c r="C22" s="17" t="s">
        <v>533</v>
      </c>
      <c r="D22" s="17" t="s">
        <v>622</v>
      </c>
      <c r="E22" s="17" t="s">
        <v>983</v>
      </c>
      <c r="F22" s="17" t="s">
        <v>536</v>
      </c>
      <c r="G22" s="17" t="s">
        <v>985</v>
      </c>
      <c r="H22" s="17">
        <v>8.130712795E9</v>
      </c>
      <c r="I22" s="51" t="s">
        <v>986</v>
      </c>
      <c r="J22" s="49"/>
      <c r="K22" s="49"/>
      <c r="L22" s="49"/>
      <c r="M22" s="49"/>
      <c r="N22" s="49"/>
      <c r="O22" s="49"/>
      <c r="P22" s="49"/>
      <c r="Q22" s="49"/>
      <c r="R22" s="49"/>
      <c r="S22" s="49"/>
      <c r="T22" s="49"/>
      <c r="U22" s="49"/>
      <c r="V22" s="49"/>
      <c r="W22" s="49"/>
      <c r="X22" s="49"/>
      <c r="Y22" s="49"/>
      <c r="Z22" s="49"/>
    </row>
    <row r="23">
      <c r="A23" s="17">
        <v>22.0</v>
      </c>
      <c r="B23" s="17" t="s">
        <v>1004</v>
      </c>
      <c r="C23" s="17" t="s">
        <v>533</v>
      </c>
      <c r="D23" s="17" t="s">
        <v>565</v>
      </c>
      <c r="E23" s="17" t="s">
        <v>1007</v>
      </c>
      <c r="F23" s="17" t="s">
        <v>536</v>
      </c>
      <c r="G23" s="17" t="s">
        <v>1012</v>
      </c>
      <c r="H23" s="17">
        <v>9.267911603E9</v>
      </c>
      <c r="I23" s="51" t="s">
        <v>1015</v>
      </c>
      <c r="J23" s="49"/>
      <c r="K23" s="49"/>
      <c r="L23" s="49"/>
      <c r="M23" s="49"/>
      <c r="N23" s="49"/>
      <c r="O23" s="49"/>
      <c r="P23" s="49"/>
      <c r="Q23" s="49"/>
      <c r="R23" s="49"/>
      <c r="S23" s="49"/>
      <c r="T23" s="49"/>
      <c r="U23" s="49"/>
      <c r="V23" s="49"/>
      <c r="W23" s="49"/>
      <c r="X23" s="49"/>
      <c r="Y23" s="49"/>
      <c r="Z23" s="49"/>
    </row>
    <row r="24">
      <c r="A24" s="17">
        <v>23.0</v>
      </c>
      <c r="B24" s="17" t="s">
        <v>1040</v>
      </c>
      <c r="C24" s="17" t="s">
        <v>533</v>
      </c>
      <c r="D24" s="17" t="s">
        <v>565</v>
      </c>
      <c r="E24" s="17" t="s">
        <v>1043</v>
      </c>
      <c r="F24" s="17" t="s">
        <v>681</v>
      </c>
      <c r="G24" s="17" t="s">
        <v>1045</v>
      </c>
      <c r="H24" s="17">
        <v>9.411048018E9</v>
      </c>
      <c r="I24" s="51" t="s">
        <v>1048</v>
      </c>
      <c r="J24" s="49"/>
      <c r="K24" s="49"/>
      <c r="L24" s="49"/>
      <c r="M24" s="49"/>
      <c r="N24" s="49"/>
      <c r="O24" s="49"/>
      <c r="P24" s="49"/>
      <c r="Q24" s="49"/>
      <c r="R24" s="49"/>
      <c r="S24" s="49"/>
      <c r="T24" s="49"/>
      <c r="U24" s="49"/>
      <c r="V24" s="49"/>
      <c r="W24" s="49"/>
      <c r="X24" s="49"/>
      <c r="Y24" s="49"/>
      <c r="Z24" s="49"/>
    </row>
    <row r="25">
      <c r="A25" s="17">
        <v>24.0</v>
      </c>
      <c r="B25" s="17" t="s">
        <v>1061</v>
      </c>
      <c r="C25" s="17" t="s">
        <v>533</v>
      </c>
      <c r="D25" s="17" t="s">
        <v>565</v>
      </c>
      <c r="E25" s="17" t="s">
        <v>1062</v>
      </c>
      <c r="F25" s="17" t="s">
        <v>681</v>
      </c>
      <c r="G25" s="17" t="s">
        <v>1064</v>
      </c>
      <c r="H25" s="17">
        <v>8.923484333E9</v>
      </c>
      <c r="I25" s="51" t="s">
        <v>1067</v>
      </c>
      <c r="J25" s="49"/>
      <c r="K25" s="49"/>
      <c r="L25" s="49"/>
      <c r="M25" s="49"/>
      <c r="N25" s="49"/>
      <c r="O25" s="49"/>
      <c r="P25" s="49"/>
      <c r="Q25" s="49"/>
      <c r="R25" s="49"/>
      <c r="S25" s="49"/>
      <c r="T25" s="49"/>
      <c r="U25" s="49"/>
      <c r="V25" s="49"/>
      <c r="W25" s="49"/>
      <c r="X25" s="49"/>
      <c r="Y25" s="49"/>
      <c r="Z25" s="49"/>
    </row>
    <row r="26">
      <c r="A26" s="17">
        <v>25.0</v>
      </c>
      <c r="B26" s="17" t="s">
        <v>1083</v>
      </c>
      <c r="C26" s="17" t="s">
        <v>533</v>
      </c>
      <c r="D26" s="17" t="s">
        <v>1084</v>
      </c>
      <c r="E26" s="66" t="s">
        <v>1085</v>
      </c>
      <c r="F26" s="17" t="s">
        <v>536</v>
      </c>
      <c r="G26" s="17" t="s">
        <v>1097</v>
      </c>
      <c r="H26" s="17">
        <v>7.217011103E9</v>
      </c>
      <c r="I26" s="51" t="s">
        <v>1085</v>
      </c>
      <c r="J26" s="49"/>
      <c r="K26" s="49"/>
      <c r="L26" s="49"/>
      <c r="M26" s="49"/>
      <c r="N26" s="49"/>
      <c r="O26" s="49"/>
      <c r="P26" s="49"/>
      <c r="Q26" s="49"/>
      <c r="R26" s="49"/>
      <c r="S26" s="49"/>
      <c r="T26" s="49"/>
      <c r="U26" s="49"/>
      <c r="V26" s="49"/>
      <c r="W26" s="49"/>
      <c r="X26" s="49"/>
      <c r="Y26" s="49"/>
      <c r="Z26" s="49"/>
    </row>
    <row r="27">
      <c r="A27" s="17">
        <v>26.0</v>
      </c>
      <c r="B27" s="17" t="s">
        <v>1104</v>
      </c>
      <c r="C27" s="17" t="s">
        <v>533</v>
      </c>
      <c r="D27" s="17" t="s">
        <v>1084</v>
      </c>
      <c r="E27" s="17" t="s">
        <v>1108</v>
      </c>
      <c r="F27" s="17" t="s">
        <v>536</v>
      </c>
      <c r="G27" s="17" t="s">
        <v>1111</v>
      </c>
      <c r="H27" s="17">
        <v>9.760615477E9</v>
      </c>
      <c r="I27" s="51" t="s">
        <v>1112</v>
      </c>
      <c r="J27" s="49"/>
      <c r="K27" s="49"/>
      <c r="L27" s="49"/>
      <c r="M27" s="49"/>
      <c r="N27" s="49"/>
      <c r="O27" s="49"/>
      <c r="P27" s="49"/>
      <c r="Q27" s="49"/>
      <c r="R27" s="49"/>
      <c r="S27" s="49"/>
      <c r="T27" s="49"/>
      <c r="U27" s="49"/>
      <c r="V27" s="49"/>
      <c r="W27" s="49"/>
      <c r="X27" s="49"/>
      <c r="Y27" s="49"/>
      <c r="Z27" s="49"/>
    </row>
    <row r="28">
      <c r="A28" s="17">
        <v>27.0</v>
      </c>
      <c r="B28" s="17" t="s">
        <v>1124</v>
      </c>
      <c r="C28" s="17" t="s">
        <v>1125</v>
      </c>
      <c r="D28" s="17" t="s">
        <v>1126</v>
      </c>
      <c r="E28" s="17" t="s">
        <v>1129</v>
      </c>
      <c r="F28" s="17" t="s">
        <v>536</v>
      </c>
      <c r="G28" s="17" t="s">
        <v>1130</v>
      </c>
      <c r="H28" s="17">
        <v>9.878353939E9</v>
      </c>
      <c r="I28" s="51" t="s">
        <v>1134</v>
      </c>
      <c r="J28" s="49"/>
      <c r="K28" s="49"/>
      <c r="L28" s="49"/>
      <c r="M28" s="49"/>
      <c r="N28" s="49"/>
      <c r="O28" s="49"/>
      <c r="P28" s="49"/>
      <c r="Q28" s="49"/>
      <c r="R28" s="49"/>
      <c r="S28" s="49"/>
      <c r="T28" s="49"/>
      <c r="U28" s="49"/>
      <c r="V28" s="49"/>
      <c r="W28" s="49"/>
      <c r="X28" s="49"/>
      <c r="Y28" s="49"/>
      <c r="Z28" s="49"/>
    </row>
    <row r="29">
      <c r="A29" s="17">
        <v>28.0</v>
      </c>
      <c r="B29" s="17" t="s">
        <v>1145</v>
      </c>
      <c r="C29" s="17" t="s">
        <v>533</v>
      </c>
      <c r="D29" s="17" t="s">
        <v>534</v>
      </c>
      <c r="E29" s="17" t="s">
        <v>1148</v>
      </c>
      <c r="F29" s="17" t="s">
        <v>681</v>
      </c>
      <c r="G29" s="17" t="s">
        <v>1152</v>
      </c>
      <c r="H29" s="17">
        <v>6.201107324E9</v>
      </c>
      <c r="I29" s="51" t="s">
        <v>1155</v>
      </c>
      <c r="J29" s="49"/>
      <c r="K29" s="49"/>
      <c r="L29" s="49"/>
      <c r="M29" s="49"/>
      <c r="N29" s="49"/>
      <c r="O29" s="49"/>
      <c r="P29" s="49"/>
      <c r="Q29" s="49"/>
      <c r="R29" s="49"/>
      <c r="S29" s="49"/>
      <c r="T29" s="49"/>
      <c r="U29" s="49"/>
      <c r="V29" s="49"/>
      <c r="W29" s="49"/>
      <c r="X29" s="49"/>
      <c r="Y29" s="49"/>
      <c r="Z29" s="49"/>
    </row>
    <row r="30">
      <c r="A30" s="17">
        <v>29.0</v>
      </c>
      <c r="B30" s="17" t="s">
        <v>1169</v>
      </c>
      <c r="C30" s="17" t="s">
        <v>1170</v>
      </c>
      <c r="D30" s="17" t="s">
        <v>1172</v>
      </c>
      <c r="E30" s="17" t="s">
        <v>1173</v>
      </c>
      <c r="F30" s="17" t="s">
        <v>681</v>
      </c>
      <c r="G30" s="17" t="s">
        <v>1174</v>
      </c>
      <c r="H30" s="17">
        <v>6.203700551E9</v>
      </c>
      <c r="I30" s="51" t="s">
        <v>1175</v>
      </c>
      <c r="J30" s="49"/>
      <c r="K30" s="49"/>
      <c r="L30" s="49"/>
      <c r="M30" s="49"/>
      <c r="N30" s="49"/>
      <c r="O30" s="49"/>
      <c r="P30" s="49"/>
      <c r="Q30" s="49"/>
      <c r="R30" s="49"/>
      <c r="S30" s="49"/>
      <c r="T30" s="49"/>
      <c r="U30" s="49"/>
      <c r="V30" s="49"/>
      <c r="W30" s="49"/>
      <c r="X30" s="49"/>
      <c r="Y30" s="49"/>
      <c r="Z30" s="49"/>
    </row>
    <row r="31">
      <c r="A31" s="58">
        <v>30.0</v>
      </c>
      <c r="B31" s="58" t="s">
        <v>1188</v>
      </c>
      <c r="C31" s="58" t="s">
        <v>1189</v>
      </c>
      <c r="D31" s="58" t="s">
        <v>1192</v>
      </c>
      <c r="E31" s="58" t="s">
        <v>1193</v>
      </c>
      <c r="F31" s="58" t="s">
        <v>536</v>
      </c>
      <c r="G31" s="58" t="s">
        <v>1195</v>
      </c>
      <c r="H31" s="58">
        <v>9.709343619E9</v>
      </c>
      <c r="I31" s="59" t="s">
        <v>1197</v>
      </c>
      <c r="J31" s="49"/>
      <c r="K31" s="49"/>
      <c r="L31" s="49"/>
      <c r="M31" s="49"/>
      <c r="N31" s="49"/>
      <c r="O31" s="49"/>
      <c r="P31" s="49"/>
      <c r="Q31" s="49"/>
      <c r="R31" s="49"/>
      <c r="S31" s="49"/>
      <c r="T31" s="49"/>
      <c r="U31" s="49"/>
      <c r="V31" s="49"/>
      <c r="W31" s="49"/>
      <c r="X31" s="49"/>
      <c r="Y31" s="49"/>
      <c r="Z31" s="49"/>
    </row>
    <row r="32">
      <c r="A32" s="58">
        <v>31.0</v>
      </c>
      <c r="B32" s="58" t="s">
        <v>1206</v>
      </c>
      <c r="C32" s="58" t="s">
        <v>1189</v>
      </c>
      <c r="D32" s="58" t="s">
        <v>1192</v>
      </c>
      <c r="E32" s="58" t="s">
        <v>1193</v>
      </c>
      <c r="F32" s="58" t="s">
        <v>536</v>
      </c>
      <c r="G32" s="58" t="s">
        <v>1195</v>
      </c>
      <c r="H32" s="58">
        <v>9.709343619E9</v>
      </c>
      <c r="I32" s="60"/>
      <c r="J32" s="49"/>
      <c r="K32" s="49"/>
      <c r="L32" s="49"/>
      <c r="M32" s="49"/>
      <c r="N32" s="49"/>
      <c r="O32" s="49"/>
      <c r="P32" s="49"/>
      <c r="Q32" s="49"/>
      <c r="R32" s="49"/>
      <c r="S32" s="49"/>
      <c r="T32" s="49"/>
      <c r="U32" s="49"/>
      <c r="V32" s="49"/>
      <c r="W32" s="49"/>
      <c r="X32" s="49"/>
      <c r="Y32" s="49"/>
      <c r="Z32" s="49"/>
    </row>
    <row r="33">
      <c r="A33" s="17">
        <v>32.0</v>
      </c>
      <c r="B33" s="17" t="s">
        <v>1210</v>
      </c>
      <c r="C33" s="17" t="s">
        <v>533</v>
      </c>
      <c r="D33" s="17" t="s">
        <v>622</v>
      </c>
      <c r="E33" s="17" t="s">
        <v>1212</v>
      </c>
      <c r="F33" s="17" t="s">
        <v>536</v>
      </c>
      <c r="G33" s="17" t="s">
        <v>1213</v>
      </c>
      <c r="H33" s="17">
        <v>8.447762324E9</v>
      </c>
      <c r="I33" s="51" t="s">
        <v>1214</v>
      </c>
      <c r="J33" s="49"/>
      <c r="K33" s="49"/>
      <c r="L33" s="49"/>
      <c r="M33" s="49"/>
      <c r="N33" s="49"/>
      <c r="O33" s="49"/>
      <c r="P33" s="49"/>
      <c r="Q33" s="49"/>
      <c r="R33" s="49"/>
      <c r="S33" s="49"/>
      <c r="T33" s="49"/>
      <c r="U33" s="49"/>
      <c r="V33" s="49"/>
      <c r="W33" s="49"/>
      <c r="X33" s="49"/>
      <c r="Y33" s="49"/>
      <c r="Z33" s="49"/>
    </row>
    <row r="34">
      <c r="A34" s="17">
        <v>33.0</v>
      </c>
      <c r="B34" s="17" t="s">
        <v>1222</v>
      </c>
      <c r="C34" s="17" t="s">
        <v>1224</v>
      </c>
      <c r="D34" s="17" t="s">
        <v>1226</v>
      </c>
      <c r="E34" s="17" t="s">
        <v>1227</v>
      </c>
      <c r="F34" s="17" t="s">
        <v>681</v>
      </c>
      <c r="G34" s="17" t="s">
        <v>1228</v>
      </c>
      <c r="H34" s="17">
        <v>9.864541799E9</v>
      </c>
      <c r="I34" s="51" t="s">
        <v>1230</v>
      </c>
      <c r="J34" s="49"/>
      <c r="K34" s="49"/>
      <c r="L34" s="49"/>
      <c r="M34" s="49"/>
      <c r="N34" s="49"/>
      <c r="O34" s="49"/>
      <c r="P34" s="49"/>
      <c r="Q34" s="49"/>
      <c r="R34" s="49"/>
      <c r="S34" s="49"/>
      <c r="T34" s="49"/>
      <c r="U34" s="49"/>
      <c r="V34" s="49"/>
      <c r="W34" s="49"/>
      <c r="X34" s="49"/>
      <c r="Y34" s="49"/>
      <c r="Z34" s="49"/>
    </row>
    <row r="35">
      <c r="A35" s="58">
        <v>34.0</v>
      </c>
      <c r="B35" s="58" t="s">
        <v>1241</v>
      </c>
      <c r="C35" s="58" t="s">
        <v>533</v>
      </c>
      <c r="D35" s="58" t="s">
        <v>1084</v>
      </c>
      <c r="E35" s="58" t="s">
        <v>1243</v>
      </c>
      <c r="F35" s="58" t="s">
        <v>625</v>
      </c>
      <c r="G35" s="58" t="s">
        <v>1245</v>
      </c>
      <c r="H35" s="58">
        <v>7.70182816E9</v>
      </c>
      <c r="I35" s="59" t="s">
        <v>1247</v>
      </c>
      <c r="J35" s="49"/>
      <c r="K35" s="49"/>
      <c r="L35" s="49"/>
      <c r="M35" s="49"/>
      <c r="N35" s="49"/>
      <c r="O35" s="49"/>
      <c r="P35" s="49"/>
      <c r="Q35" s="49"/>
      <c r="R35" s="49"/>
      <c r="S35" s="49"/>
      <c r="T35" s="49"/>
      <c r="U35" s="49"/>
      <c r="V35" s="49"/>
      <c r="W35" s="49"/>
      <c r="X35" s="49"/>
      <c r="Y35" s="49"/>
      <c r="Z35" s="49"/>
    </row>
    <row r="36">
      <c r="A36" s="58">
        <v>35.0</v>
      </c>
      <c r="B36" s="58" t="s">
        <v>1262</v>
      </c>
      <c r="C36" s="58" t="s">
        <v>533</v>
      </c>
      <c r="D36" s="58" t="s">
        <v>1084</v>
      </c>
      <c r="E36" s="58" t="s">
        <v>1243</v>
      </c>
      <c r="F36" s="58" t="s">
        <v>625</v>
      </c>
      <c r="G36" s="58" t="s">
        <v>1245</v>
      </c>
      <c r="H36" s="58">
        <v>7.70182816E9</v>
      </c>
      <c r="I36" s="60"/>
      <c r="J36" s="49"/>
      <c r="K36" s="49"/>
      <c r="L36" s="49"/>
      <c r="M36" s="49"/>
      <c r="N36" s="49"/>
      <c r="O36" s="49"/>
      <c r="P36" s="49"/>
      <c r="Q36" s="49"/>
      <c r="R36" s="49"/>
      <c r="S36" s="49"/>
      <c r="T36" s="49"/>
      <c r="U36" s="49"/>
      <c r="V36" s="49"/>
      <c r="W36" s="49"/>
      <c r="X36" s="49"/>
      <c r="Y36" s="49"/>
      <c r="Z36" s="49"/>
    </row>
    <row r="37">
      <c r="A37" s="17">
        <v>36.0</v>
      </c>
      <c r="B37" s="17" t="s">
        <v>1271</v>
      </c>
      <c r="C37" s="17" t="s">
        <v>533</v>
      </c>
      <c r="D37" s="17" t="s">
        <v>804</v>
      </c>
      <c r="E37" s="17" t="s">
        <v>1273</v>
      </c>
      <c r="F37" s="17" t="s">
        <v>536</v>
      </c>
      <c r="G37" s="17" t="s">
        <v>1275</v>
      </c>
      <c r="H37" s="17">
        <v>7.017180843E9</v>
      </c>
      <c r="I37" s="51" t="s">
        <v>1279</v>
      </c>
      <c r="J37" s="49"/>
      <c r="K37" s="49"/>
      <c r="L37" s="49"/>
      <c r="M37" s="49"/>
      <c r="N37" s="49"/>
      <c r="O37" s="49"/>
      <c r="P37" s="49"/>
      <c r="Q37" s="49"/>
      <c r="R37" s="49"/>
      <c r="S37" s="49"/>
      <c r="T37" s="49"/>
      <c r="U37" s="49"/>
      <c r="V37" s="49"/>
      <c r="W37" s="49"/>
      <c r="X37" s="49"/>
      <c r="Y37" s="49"/>
      <c r="Z37" s="49"/>
    </row>
    <row r="38">
      <c r="A38" s="17">
        <v>37.0</v>
      </c>
      <c r="B38" s="17" t="s">
        <v>1289</v>
      </c>
      <c r="C38" s="17" t="s">
        <v>533</v>
      </c>
      <c r="D38" s="17" t="s">
        <v>804</v>
      </c>
      <c r="E38" s="17" t="s">
        <v>1293</v>
      </c>
      <c r="F38" s="17" t="s">
        <v>625</v>
      </c>
      <c r="G38" s="17" t="s">
        <v>1294</v>
      </c>
      <c r="H38" s="17">
        <v>8.120538564E9</v>
      </c>
      <c r="I38" s="51" t="s">
        <v>1295</v>
      </c>
      <c r="J38" s="49"/>
      <c r="K38" s="49"/>
      <c r="L38" s="49"/>
      <c r="M38" s="49"/>
      <c r="N38" s="49"/>
      <c r="O38" s="49"/>
      <c r="P38" s="49"/>
      <c r="Q38" s="49"/>
      <c r="R38" s="49"/>
      <c r="S38" s="49"/>
      <c r="T38" s="49"/>
      <c r="U38" s="49"/>
      <c r="V38" s="49"/>
      <c r="W38" s="49"/>
      <c r="X38" s="49"/>
      <c r="Y38" s="49"/>
      <c r="Z38" s="49"/>
    </row>
    <row r="39">
      <c r="A39" s="17">
        <v>38.0</v>
      </c>
      <c r="B39" s="17" t="s">
        <v>1303</v>
      </c>
      <c r="C39" s="17" t="s">
        <v>533</v>
      </c>
      <c r="D39" s="17" t="s">
        <v>804</v>
      </c>
      <c r="E39" s="17" t="s">
        <v>1305</v>
      </c>
      <c r="F39" s="17" t="s">
        <v>625</v>
      </c>
      <c r="G39" s="17" t="s">
        <v>1307</v>
      </c>
      <c r="H39" s="17">
        <v>9.721220077E9</v>
      </c>
      <c r="I39" s="51" t="s">
        <v>1308</v>
      </c>
      <c r="J39" s="49"/>
      <c r="K39" s="49"/>
      <c r="L39" s="49"/>
      <c r="M39" s="49"/>
      <c r="N39" s="49"/>
      <c r="O39" s="49"/>
      <c r="P39" s="49"/>
      <c r="Q39" s="49"/>
      <c r="R39" s="49"/>
      <c r="S39" s="49"/>
      <c r="T39" s="49"/>
      <c r="U39" s="49"/>
      <c r="V39" s="49"/>
      <c r="W39" s="49"/>
      <c r="X39" s="49"/>
      <c r="Y39" s="49"/>
      <c r="Z39" s="49"/>
    </row>
    <row r="40">
      <c r="A40" s="17">
        <v>39.0</v>
      </c>
      <c r="B40" s="17" t="s">
        <v>1316</v>
      </c>
      <c r="C40" s="17" t="s">
        <v>706</v>
      </c>
      <c r="D40" s="17" t="s">
        <v>710</v>
      </c>
      <c r="E40" s="17" t="s">
        <v>1318</v>
      </c>
      <c r="F40" s="17" t="s">
        <v>536</v>
      </c>
      <c r="G40" s="17" t="s">
        <v>1320</v>
      </c>
      <c r="H40" s="17">
        <v>8.878868783E9</v>
      </c>
      <c r="I40" s="51" t="s">
        <v>1322</v>
      </c>
      <c r="J40" s="49"/>
      <c r="K40" s="49"/>
      <c r="L40" s="49"/>
      <c r="M40" s="49"/>
      <c r="N40" s="49"/>
      <c r="O40" s="49"/>
      <c r="P40" s="49"/>
      <c r="Q40" s="49"/>
      <c r="R40" s="49"/>
      <c r="S40" s="49"/>
      <c r="T40" s="49"/>
      <c r="U40" s="49"/>
      <c r="V40" s="49"/>
      <c r="W40" s="49"/>
      <c r="X40" s="49"/>
      <c r="Y40" s="49"/>
      <c r="Z40" s="49"/>
    </row>
    <row r="41">
      <c r="A41" s="17">
        <v>40.0</v>
      </c>
      <c r="B41" s="17" t="s">
        <v>1335</v>
      </c>
      <c r="C41" s="17" t="s">
        <v>844</v>
      </c>
      <c r="D41" s="17" t="s">
        <v>1336</v>
      </c>
      <c r="E41" s="17" t="s">
        <v>1337</v>
      </c>
      <c r="F41" s="17" t="s">
        <v>625</v>
      </c>
      <c r="G41" s="17" t="s">
        <v>1338</v>
      </c>
      <c r="H41" s="17">
        <v>7.70870898E9</v>
      </c>
      <c r="I41" s="51" t="s">
        <v>1339</v>
      </c>
      <c r="J41" s="49"/>
      <c r="K41" s="49"/>
      <c r="L41" s="49"/>
      <c r="M41" s="49"/>
      <c r="N41" s="49"/>
      <c r="O41" s="49"/>
      <c r="P41" s="49"/>
      <c r="Q41" s="49"/>
      <c r="R41" s="49"/>
      <c r="S41" s="49"/>
      <c r="T41" s="49"/>
      <c r="U41" s="49"/>
      <c r="V41" s="49"/>
      <c r="W41" s="49"/>
      <c r="X41" s="49"/>
      <c r="Y41" s="49"/>
      <c r="Z41" s="49"/>
    </row>
    <row r="42">
      <c r="A42" s="17">
        <v>41.0</v>
      </c>
      <c r="B42" s="17" t="s">
        <v>1350</v>
      </c>
      <c r="C42" s="17" t="s">
        <v>826</v>
      </c>
      <c r="D42" s="17" t="s">
        <v>1351</v>
      </c>
      <c r="E42" s="17" t="s">
        <v>1352</v>
      </c>
      <c r="F42" s="17" t="s">
        <v>625</v>
      </c>
      <c r="G42" s="17" t="s">
        <v>1355</v>
      </c>
      <c r="H42" s="17">
        <v>7.296990997E9</v>
      </c>
      <c r="I42" s="51" t="s">
        <v>1356</v>
      </c>
      <c r="J42" s="49"/>
      <c r="K42" s="49"/>
      <c r="L42" s="49"/>
      <c r="M42" s="49"/>
      <c r="N42" s="49"/>
      <c r="O42" s="49"/>
      <c r="P42" s="49"/>
      <c r="Q42" s="49"/>
      <c r="R42" s="49"/>
      <c r="S42" s="49"/>
      <c r="T42" s="49"/>
      <c r="U42" s="49"/>
      <c r="V42" s="49"/>
      <c r="W42" s="49"/>
      <c r="X42" s="49"/>
      <c r="Y42" s="49"/>
      <c r="Z42" s="49"/>
    </row>
    <row r="43">
      <c r="A43" s="58">
        <v>42.0</v>
      </c>
      <c r="B43" s="58" t="s">
        <v>1366</v>
      </c>
      <c r="C43" s="58" t="s">
        <v>533</v>
      </c>
      <c r="D43" s="58" t="s">
        <v>622</v>
      </c>
      <c r="E43" s="58" t="s">
        <v>1367</v>
      </c>
      <c r="F43" s="58" t="s">
        <v>536</v>
      </c>
      <c r="G43" s="58" t="s">
        <v>812</v>
      </c>
      <c r="H43" s="58">
        <v>9.999971805E9</v>
      </c>
      <c r="I43" s="78" t="s">
        <v>1368</v>
      </c>
      <c r="J43" s="49"/>
      <c r="K43" s="49"/>
      <c r="L43" s="49"/>
      <c r="M43" s="49"/>
      <c r="N43" s="49"/>
      <c r="O43" s="49"/>
      <c r="P43" s="49"/>
      <c r="Q43" s="49"/>
      <c r="R43" s="49"/>
      <c r="S43" s="49"/>
      <c r="T43" s="49"/>
      <c r="U43" s="49"/>
      <c r="V43" s="49"/>
      <c r="W43" s="49"/>
      <c r="X43" s="49"/>
      <c r="Y43" s="49"/>
      <c r="Z43" s="49"/>
    </row>
    <row r="44">
      <c r="A44" s="58">
        <v>43.0</v>
      </c>
      <c r="B44" s="58" t="s">
        <v>1374</v>
      </c>
      <c r="C44" s="58" t="s">
        <v>533</v>
      </c>
      <c r="D44" s="58" t="s">
        <v>622</v>
      </c>
      <c r="E44" s="58" t="s">
        <v>1367</v>
      </c>
      <c r="F44" s="58" t="s">
        <v>536</v>
      </c>
      <c r="G44" s="58" t="s">
        <v>812</v>
      </c>
      <c r="H44" s="58">
        <v>9.999971805E9</v>
      </c>
      <c r="I44" s="60"/>
      <c r="J44" s="49"/>
      <c r="K44" s="49"/>
      <c r="L44" s="49"/>
      <c r="M44" s="49"/>
      <c r="N44" s="49"/>
      <c r="O44" s="49"/>
      <c r="P44" s="49"/>
      <c r="Q44" s="49"/>
      <c r="R44" s="49"/>
      <c r="S44" s="49"/>
      <c r="T44" s="49"/>
      <c r="U44" s="49"/>
      <c r="V44" s="49"/>
      <c r="W44" s="49"/>
      <c r="X44" s="49"/>
      <c r="Y44" s="49"/>
      <c r="Z44" s="49"/>
    </row>
    <row r="45">
      <c r="A45" s="17">
        <v>44.0</v>
      </c>
      <c r="B45" s="17" t="s">
        <v>1384</v>
      </c>
      <c r="C45" s="17" t="s">
        <v>533</v>
      </c>
      <c r="D45" s="17" t="s">
        <v>622</v>
      </c>
      <c r="E45" s="17" t="s">
        <v>1388</v>
      </c>
      <c r="F45" s="17" t="s">
        <v>681</v>
      </c>
      <c r="G45" s="17" t="s">
        <v>1390</v>
      </c>
      <c r="H45" s="17">
        <v>9.140542963E9</v>
      </c>
      <c r="I45" s="51" t="s">
        <v>1392</v>
      </c>
      <c r="J45" s="49"/>
      <c r="K45" s="49"/>
      <c r="L45" s="49"/>
      <c r="M45" s="49"/>
      <c r="N45" s="49"/>
      <c r="O45" s="49"/>
      <c r="P45" s="49"/>
      <c r="Q45" s="49"/>
      <c r="R45" s="49"/>
      <c r="S45" s="49"/>
      <c r="T45" s="49"/>
      <c r="U45" s="49"/>
      <c r="V45" s="49"/>
      <c r="W45" s="49"/>
      <c r="X45" s="49"/>
      <c r="Y45" s="49"/>
      <c r="Z45" s="49"/>
    </row>
    <row r="46">
      <c r="A46" s="17">
        <v>45.0</v>
      </c>
      <c r="B46" s="17" t="s">
        <v>1404</v>
      </c>
      <c r="C46" s="17" t="s">
        <v>533</v>
      </c>
      <c r="D46" s="17" t="s">
        <v>565</v>
      </c>
      <c r="E46" s="17" t="s">
        <v>1408</v>
      </c>
      <c r="F46" s="17" t="s">
        <v>536</v>
      </c>
      <c r="G46" s="17" t="s">
        <v>1411</v>
      </c>
      <c r="H46" s="17">
        <v>9.718635515E9</v>
      </c>
      <c r="I46" s="17" t="s">
        <v>1412</v>
      </c>
      <c r="J46" s="49"/>
      <c r="K46" s="49"/>
      <c r="L46" s="49"/>
      <c r="M46" s="49"/>
      <c r="N46" s="49"/>
      <c r="O46" s="49"/>
      <c r="P46" s="49"/>
      <c r="Q46" s="49"/>
      <c r="R46" s="49"/>
      <c r="S46" s="49"/>
      <c r="T46" s="49"/>
      <c r="U46" s="49"/>
      <c r="V46" s="49"/>
      <c r="W46" s="49"/>
      <c r="X46" s="49"/>
      <c r="Y46" s="49"/>
      <c r="Z46" s="49"/>
    </row>
    <row r="47">
      <c r="A47" s="17">
        <v>46.0</v>
      </c>
      <c r="B47" s="17" t="s">
        <v>1415</v>
      </c>
      <c r="C47" s="17" t="s">
        <v>533</v>
      </c>
      <c r="D47" s="17" t="s">
        <v>1416</v>
      </c>
      <c r="E47" s="17" t="s">
        <v>1417</v>
      </c>
      <c r="F47" s="17" t="s">
        <v>625</v>
      </c>
      <c r="G47" s="17" t="s">
        <v>1418</v>
      </c>
      <c r="H47" s="17">
        <v>8.2995719E9</v>
      </c>
      <c r="I47" s="51" t="s">
        <v>1420</v>
      </c>
      <c r="J47" s="49"/>
      <c r="K47" s="49"/>
      <c r="L47" s="49"/>
      <c r="M47" s="49"/>
      <c r="N47" s="49"/>
      <c r="O47" s="49"/>
      <c r="P47" s="49"/>
      <c r="Q47" s="49"/>
      <c r="R47" s="49"/>
      <c r="S47" s="49"/>
      <c r="T47" s="49"/>
      <c r="U47" s="49"/>
      <c r="V47" s="49"/>
      <c r="W47" s="49"/>
      <c r="X47" s="49"/>
      <c r="Y47" s="49"/>
      <c r="Z47" s="49"/>
    </row>
    <row r="48">
      <c r="A48" s="17">
        <v>47.0</v>
      </c>
      <c r="B48" s="17" t="s">
        <v>1428</v>
      </c>
      <c r="C48" s="17" t="s">
        <v>844</v>
      </c>
      <c r="D48" s="17" t="s">
        <v>1431</v>
      </c>
      <c r="E48" s="17" t="s">
        <v>1433</v>
      </c>
      <c r="F48" s="17" t="s">
        <v>681</v>
      </c>
      <c r="G48" s="17" t="s">
        <v>1436</v>
      </c>
      <c r="H48" s="17">
        <v>7.845878331E9</v>
      </c>
      <c r="I48" s="17" t="s">
        <v>1438</v>
      </c>
      <c r="J48" s="49"/>
      <c r="K48" s="49"/>
      <c r="L48" s="49"/>
      <c r="M48" s="49"/>
      <c r="N48" s="49"/>
      <c r="O48" s="49"/>
      <c r="P48" s="49"/>
      <c r="Q48" s="49"/>
      <c r="R48" s="49"/>
      <c r="S48" s="49"/>
      <c r="T48" s="49"/>
      <c r="U48" s="49"/>
      <c r="V48" s="49"/>
      <c r="W48" s="49"/>
      <c r="X48" s="49"/>
      <c r="Y48" s="49"/>
      <c r="Z48" s="49"/>
    </row>
    <row r="49">
      <c r="A49" s="17">
        <v>48.0</v>
      </c>
      <c r="B49" s="17" t="s">
        <v>1443</v>
      </c>
      <c r="C49" s="17" t="s">
        <v>706</v>
      </c>
      <c r="D49" s="17" t="s">
        <v>710</v>
      </c>
      <c r="E49" s="17" t="s">
        <v>1445</v>
      </c>
      <c r="F49" s="17" t="s">
        <v>536</v>
      </c>
      <c r="G49" s="17" t="s">
        <v>1447</v>
      </c>
      <c r="H49" s="17">
        <v>6.260846121E9</v>
      </c>
      <c r="I49" s="51" t="s">
        <v>1448</v>
      </c>
      <c r="J49" s="49"/>
      <c r="K49" s="49"/>
      <c r="L49" s="49"/>
      <c r="M49" s="49"/>
      <c r="N49" s="49"/>
      <c r="O49" s="49"/>
      <c r="P49" s="49"/>
      <c r="Q49" s="49"/>
      <c r="R49" s="49"/>
      <c r="S49" s="49"/>
      <c r="T49" s="49"/>
      <c r="U49" s="49"/>
      <c r="V49" s="49"/>
      <c r="W49" s="49"/>
      <c r="X49" s="49"/>
      <c r="Y49" s="49"/>
      <c r="Z49" s="49"/>
    </row>
    <row r="50">
      <c r="A50" s="17">
        <v>49.0</v>
      </c>
      <c r="B50" s="17" t="s">
        <v>1456</v>
      </c>
      <c r="C50" s="17" t="s">
        <v>826</v>
      </c>
      <c r="D50" s="17" t="s">
        <v>1457</v>
      </c>
      <c r="E50" s="17" t="s">
        <v>1458</v>
      </c>
      <c r="F50" s="17" t="s">
        <v>681</v>
      </c>
      <c r="G50" s="17" t="s">
        <v>1460</v>
      </c>
      <c r="H50" s="17">
        <v>9.504006318E9</v>
      </c>
      <c r="I50" s="51" t="s">
        <v>1461</v>
      </c>
      <c r="J50" s="49"/>
      <c r="K50" s="49"/>
      <c r="L50" s="49"/>
      <c r="M50" s="49"/>
      <c r="N50" s="49"/>
      <c r="O50" s="49"/>
      <c r="P50" s="49"/>
      <c r="Q50" s="49"/>
      <c r="R50" s="49"/>
      <c r="S50" s="49"/>
      <c r="T50" s="49"/>
      <c r="U50" s="49"/>
      <c r="V50" s="49"/>
      <c r="W50" s="49"/>
      <c r="X50" s="49"/>
      <c r="Y50" s="49"/>
      <c r="Z50" s="49"/>
    </row>
    <row r="51">
      <c r="A51" s="17">
        <v>50.0</v>
      </c>
      <c r="B51" s="17" t="s">
        <v>1465</v>
      </c>
      <c r="C51" s="17" t="s">
        <v>533</v>
      </c>
      <c r="D51" s="17" t="s">
        <v>622</v>
      </c>
      <c r="E51" s="17" t="s">
        <v>1466</v>
      </c>
      <c r="F51" s="17" t="s">
        <v>536</v>
      </c>
      <c r="G51" s="17" t="s">
        <v>1467</v>
      </c>
      <c r="H51" s="17">
        <v>7.838650386E9</v>
      </c>
      <c r="I51" s="51" t="s">
        <v>1468</v>
      </c>
      <c r="J51" s="49"/>
      <c r="K51" s="49"/>
      <c r="L51" s="49"/>
      <c r="M51" s="49"/>
      <c r="N51" s="49"/>
      <c r="O51" s="49"/>
      <c r="P51" s="49"/>
      <c r="Q51" s="49"/>
      <c r="R51" s="49"/>
      <c r="S51" s="49"/>
      <c r="T51" s="49"/>
      <c r="U51" s="49"/>
      <c r="V51" s="49"/>
      <c r="W51" s="49"/>
      <c r="X51" s="49"/>
      <c r="Y51" s="49"/>
      <c r="Z51" s="49"/>
    </row>
    <row r="52">
      <c r="A52" s="17">
        <v>51.0</v>
      </c>
      <c r="B52" s="17" t="s">
        <v>1471</v>
      </c>
      <c r="C52" s="17" t="s">
        <v>533</v>
      </c>
      <c r="D52" s="17" t="s">
        <v>622</v>
      </c>
      <c r="E52" s="17" t="s">
        <v>1473</v>
      </c>
      <c r="F52" s="17" t="s">
        <v>625</v>
      </c>
      <c r="G52" s="17" t="s">
        <v>1474</v>
      </c>
      <c r="H52" s="17">
        <v>9.810781842E9</v>
      </c>
      <c r="I52" s="51" t="s">
        <v>1476</v>
      </c>
      <c r="J52" s="49"/>
      <c r="K52" s="49"/>
      <c r="L52" s="49"/>
      <c r="M52" s="49"/>
      <c r="N52" s="49"/>
      <c r="O52" s="49"/>
      <c r="P52" s="49"/>
      <c r="Q52" s="49"/>
      <c r="R52" s="49"/>
      <c r="S52" s="49"/>
      <c r="T52" s="49"/>
      <c r="U52" s="49"/>
      <c r="V52" s="49"/>
      <c r="W52" s="49"/>
      <c r="X52" s="49"/>
      <c r="Y52" s="49"/>
      <c r="Z52" s="49"/>
    </row>
    <row r="53">
      <c r="A53" s="17">
        <v>52.0</v>
      </c>
      <c r="B53" s="17" t="s">
        <v>1478</v>
      </c>
      <c r="C53" s="17" t="s">
        <v>533</v>
      </c>
      <c r="D53" s="17" t="s">
        <v>565</v>
      </c>
      <c r="E53" s="17" t="s">
        <v>1479</v>
      </c>
      <c r="F53" s="17" t="s">
        <v>625</v>
      </c>
      <c r="G53" s="17" t="s">
        <v>1480</v>
      </c>
      <c r="H53" s="17">
        <v>7.011648922E9</v>
      </c>
      <c r="I53" s="51" t="s">
        <v>1481</v>
      </c>
      <c r="J53" s="49"/>
      <c r="K53" s="49"/>
      <c r="L53" s="49"/>
      <c r="M53" s="49"/>
      <c r="N53" s="49"/>
      <c r="O53" s="49"/>
      <c r="P53" s="49"/>
      <c r="Q53" s="49"/>
      <c r="R53" s="49"/>
      <c r="S53" s="49"/>
      <c r="T53" s="49"/>
      <c r="U53" s="49"/>
      <c r="V53" s="49"/>
      <c r="W53" s="49"/>
      <c r="X53" s="49"/>
      <c r="Y53" s="49"/>
      <c r="Z53" s="49"/>
    </row>
    <row r="54">
      <c r="A54" s="17">
        <v>53.0</v>
      </c>
      <c r="B54" s="17" t="s">
        <v>1484</v>
      </c>
      <c r="C54" s="17" t="s">
        <v>533</v>
      </c>
      <c r="D54" s="17" t="s">
        <v>1486</v>
      </c>
      <c r="E54" s="17" t="s">
        <v>1487</v>
      </c>
      <c r="F54" s="17" t="s">
        <v>536</v>
      </c>
      <c r="G54" s="17" t="s">
        <v>1488</v>
      </c>
      <c r="H54" s="17">
        <v>9.12568104E9</v>
      </c>
      <c r="I54" s="51" t="s">
        <v>1489</v>
      </c>
      <c r="J54" s="49"/>
      <c r="K54" s="49"/>
      <c r="L54" s="49"/>
      <c r="M54" s="49"/>
      <c r="N54" s="49"/>
      <c r="O54" s="49"/>
      <c r="P54" s="49"/>
      <c r="Q54" s="49"/>
      <c r="R54" s="49"/>
      <c r="S54" s="49"/>
      <c r="T54" s="49"/>
      <c r="U54" s="49"/>
      <c r="V54" s="49"/>
      <c r="W54" s="49"/>
      <c r="X54" s="49"/>
      <c r="Y54" s="49"/>
      <c r="Z54" s="49"/>
    </row>
    <row r="55">
      <c r="A55" s="17">
        <v>54.0</v>
      </c>
      <c r="B55" s="17" t="s">
        <v>1493</v>
      </c>
      <c r="C55" s="17" t="s">
        <v>533</v>
      </c>
      <c r="D55" s="17" t="s">
        <v>1084</v>
      </c>
      <c r="E55" s="17" t="s">
        <v>1495</v>
      </c>
      <c r="F55" s="17" t="s">
        <v>536</v>
      </c>
      <c r="G55" s="17" t="s">
        <v>1496</v>
      </c>
      <c r="H55" s="17">
        <v>7.310561115E9</v>
      </c>
      <c r="I55" s="51" t="s">
        <v>1497</v>
      </c>
      <c r="J55" s="49"/>
      <c r="K55" s="49"/>
      <c r="L55" s="49"/>
      <c r="M55" s="49"/>
      <c r="N55" s="49"/>
      <c r="O55" s="49"/>
      <c r="P55" s="49"/>
      <c r="Q55" s="49"/>
      <c r="R55" s="49"/>
      <c r="S55" s="49"/>
      <c r="T55" s="49"/>
      <c r="U55" s="49"/>
      <c r="V55" s="49"/>
      <c r="W55" s="49"/>
      <c r="X55" s="49"/>
      <c r="Y55" s="49"/>
      <c r="Z55" s="49"/>
    </row>
    <row r="56">
      <c r="A56" s="17">
        <v>55.0</v>
      </c>
      <c r="B56" s="17" t="s">
        <v>1500</v>
      </c>
      <c r="C56" s="17" t="s">
        <v>533</v>
      </c>
      <c r="D56" s="17" t="s">
        <v>534</v>
      </c>
      <c r="E56" s="17" t="s">
        <v>1502</v>
      </c>
      <c r="F56" s="17" t="s">
        <v>681</v>
      </c>
      <c r="G56" s="17" t="s">
        <v>1504</v>
      </c>
      <c r="H56" s="17">
        <v>8.299447793E9</v>
      </c>
      <c r="I56" s="51" t="s">
        <v>1505</v>
      </c>
      <c r="J56" s="49"/>
      <c r="K56" s="49"/>
      <c r="L56" s="49"/>
      <c r="M56" s="49"/>
      <c r="N56" s="49"/>
      <c r="O56" s="49"/>
      <c r="P56" s="49"/>
      <c r="Q56" s="49"/>
      <c r="R56" s="49"/>
      <c r="S56" s="49"/>
      <c r="T56" s="49"/>
      <c r="U56" s="49"/>
      <c r="V56" s="49"/>
      <c r="W56" s="49"/>
      <c r="X56" s="49"/>
      <c r="Y56" s="49"/>
      <c r="Z56" s="49"/>
    </row>
    <row r="57">
      <c r="A57" s="93">
        <v>56.0</v>
      </c>
      <c r="B57" s="93" t="s">
        <v>1509</v>
      </c>
      <c r="C57" s="93" t="s">
        <v>533</v>
      </c>
      <c r="D57" s="93" t="s">
        <v>565</v>
      </c>
      <c r="E57" s="93" t="s">
        <v>1510</v>
      </c>
      <c r="F57" s="93" t="s">
        <v>681</v>
      </c>
      <c r="G57" s="93" t="s">
        <v>1511</v>
      </c>
      <c r="H57" s="93">
        <v>9.711515272E9</v>
      </c>
      <c r="I57" s="95" t="s">
        <v>1512</v>
      </c>
      <c r="J57" s="49"/>
      <c r="K57" s="49"/>
      <c r="L57" s="49"/>
      <c r="M57" s="49"/>
      <c r="N57" s="49"/>
      <c r="O57" s="49"/>
      <c r="P57" s="49"/>
      <c r="Q57" s="49"/>
      <c r="R57" s="49"/>
      <c r="S57" s="49"/>
      <c r="T57" s="49"/>
      <c r="U57" s="49"/>
      <c r="V57" s="49"/>
      <c r="W57" s="49"/>
      <c r="X57" s="49"/>
      <c r="Y57" s="49"/>
      <c r="Z57" s="49"/>
    </row>
    <row r="58">
      <c r="A58" s="93">
        <v>57.0</v>
      </c>
      <c r="B58" s="93" t="s">
        <v>1519</v>
      </c>
      <c r="C58" s="93" t="s">
        <v>533</v>
      </c>
      <c r="D58" s="93" t="s">
        <v>565</v>
      </c>
      <c r="E58" s="93" t="s">
        <v>1510</v>
      </c>
      <c r="F58" s="93" t="s">
        <v>681</v>
      </c>
      <c r="G58" s="93" t="s">
        <v>1511</v>
      </c>
      <c r="H58" s="93">
        <v>9.711515272E9</v>
      </c>
      <c r="I58" s="60"/>
      <c r="J58" s="49"/>
      <c r="K58" s="49"/>
      <c r="L58" s="49"/>
      <c r="M58" s="49"/>
      <c r="N58" s="49"/>
      <c r="O58" s="49"/>
      <c r="P58" s="49"/>
      <c r="Q58" s="49"/>
      <c r="R58" s="49"/>
      <c r="S58" s="49"/>
      <c r="T58" s="49"/>
      <c r="U58" s="49"/>
      <c r="V58" s="49"/>
      <c r="W58" s="49"/>
      <c r="X58" s="49"/>
      <c r="Y58" s="49"/>
      <c r="Z58" s="49"/>
    </row>
    <row r="59">
      <c r="A59" s="17">
        <v>58.0</v>
      </c>
      <c r="B59" s="17" t="s">
        <v>1523</v>
      </c>
      <c r="C59" s="17" t="s">
        <v>533</v>
      </c>
      <c r="D59" s="17" t="s">
        <v>622</v>
      </c>
      <c r="E59" s="17" t="s">
        <v>1524</v>
      </c>
      <c r="F59" s="17" t="s">
        <v>625</v>
      </c>
      <c r="G59" s="17" t="s">
        <v>1525</v>
      </c>
      <c r="H59" s="17">
        <v>9.324226388E9</v>
      </c>
      <c r="I59" s="51" t="s">
        <v>1527</v>
      </c>
      <c r="J59" s="49"/>
      <c r="K59" s="49"/>
      <c r="L59" s="49"/>
      <c r="M59" s="49"/>
      <c r="N59" s="49"/>
      <c r="O59" s="49"/>
      <c r="P59" s="49"/>
      <c r="Q59" s="49"/>
      <c r="R59" s="49"/>
      <c r="S59" s="49"/>
      <c r="T59" s="49"/>
      <c r="U59" s="49"/>
      <c r="V59" s="49"/>
      <c r="W59" s="49"/>
      <c r="X59" s="49"/>
      <c r="Y59" s="49"/>
      <c r="Z59" s="49"/>
    </row>
    <row r="60">
      <c r="A60" s="17">
        <v>59.0</v>
      </c>
      <c r="B60" s="17" t="s">
        <v>1530</v>
      </c>
      <c r="C60" s="17" t="s">
        <v>533</v>
      </c>
      <c r="D60" s="17" t="s">
        <v>565</v>
      </c>
      <c r="E60" s="17" t="s">
        <v>1531</v>
      </c>
      <c r="F60" s="17" t="s">
        <v>681</v>
      </c>
      <c r="G60" s="17" t="s">
        <v>1532</v>
      </c>
      <c r="H60" s="17">
        <v>7.817988738E9</v>
      </c>
      <c r="I60" s="51" t="s">
        <v>1533</v>
      </c>
      <c r="J60" s="49"/>
      <c r="K60" s="49"/>
      <c r="L60" s="49"/>
      <c r="M60" s="49"/>
      <c r="N60" s="49"/>
      <c r="O60" s="49"/>
      <c r="P60" s="49"/>
      <c r="Q60" s="49"/>
      <c r="R60" s="49"/>
      <c r="S60" s="49"/>
      <c r="T60" s="49"/>
      <c r="U60" s="49"/>
      <c r="V60" s="49"/>
      <c r="W60" s="49"/>
      <c r="X60" s="49"/>
      <c r="Y60" s="49"/>
      <c r="Z60" s="49"/>
    </row>
    <row r="61">
      <c r="A61" s="17">
        <v>60.0</v>
      </c>
      <c r="B61" s="17" t="s">
        <v>1534</v>
      </c>
      <c r="C61" s="17" t="s">
        <v>533</v>
      </c>
      <c r="D61" s="17" t="s">
        <v>804</v>
      </c>
      <c r="E61" s="17" t="s">
        <v>1536</v>
      </c>
      <c r="F61" s="17" t="s">
        <v>625</v>
      </c>
      <c r="G61" s="17" t="s">
        <v>1538</v>
      </c>
      <c r="H61" s="17">
        <v>7.393034753E9</v>
      </c>
      <c r="I61" s="51" t="s">
        <v>1539</v>
      </c>
      <c r="J61" s="49"/>
      <c r="K61" s="49"/>
      <c r="L61" s="49"/>
      <c r="M61" s="49"/>
      <c r="N61" s="49"/>
      <c r="O61" s="49"/>
      <c r="P61" s="49"/>
      <c r="Q61" s="49"/>
      <c r="R61" s="49"/>
      <c r="S61" s="49"/>
      <c r="T61" s="49"/>
      <c r="U61" s="49"/>
      <c r="V61" s="49"/>
      <c r="W61" s="49"/>
      <c r="X61" s="49"/>
      <c r="Y61" s="49"/>
      <c r="Z61" s="49"/>
    </row>
    <row r="62">
      <c r="A62" s="101"/>
      <c r="B62" s="102"/>
      <c r="C62" s="3"/>
      <c r="D62" s="3"/>
      <c r="E62" s="3"/>
      <c r="F62" s="3"/>
      <c r="G62" s="3"/>
      <c r="H62" s="5"/>
      <c r="I62" s="101"/>
      <c r="J62" s="49"/>
      <c r="K62" s="49"/>
      <c r="L62" s="49"/>
      <c r="M62" s="49"/>
      <c r="N62" s="49"/>
      <c r="O62" s="49"/>
      <c r="P62" s="49"/>
      <c r="Q62" s="49"/>
      <c r="R62" s="49"/>
      <c r="S62" s="49"/>
      <c r="T62" s="49"/>
      <c r="U62" s="49"/>
      <c r="V62" s="49"/>
      <c r="W62" s="49"/>
      <c r="X62" s="49"/>
      <c r="Y62" s="49"/>
      <c r="Z62" s="49"/>
    </row>
    <row r="63">
      <c r="A63" s="101"/>
      <c r="B63" s="105" t="s">
        <v>1552</v>
      </c>
      <c r="C63" s="106" t="s">
        <v>1554</v>
      </c>
      <c r="D63" s="3"/>
      <c r="E63" s="3"/>
      <c r="F63" s="3"/>
      <c r="G63" s="107"/>
      <c r="H63" s="108"/>
      <c r="I63" s="101"/>
      <c r="J63" s="49"/>
      <c r="K63" s="49"/>
      <c r="L63" s="49"/>
      <c r="M63" s="49"/>
      <c r="N63" s="49"/>
      <c r="O63" s="49"/>
      <c r="P63" s="49"/>
      <c r="Q63" s="49"/>
      <c r="R63" s="49"/>
      <c r="S63" s="49"/>
      <c r="T63" s="49"/>
      <c r="U63" s="49"/>
      <c r="V63" s="49"/>
      <c r="W63" s="49"/>
      <c r="X63" s="49"/>
      <c r="Y63" s="49"/>
      <c r="Z63" s="49"/>
    </row>
    <row r="64">
      <c r="A64" s="101"/>
      <c r="B64" s="105" t="s">
        <v>1552</v>
      </c>
      <c r="C64" s="109" t="s">
        <v>1561</v>
      </c>
      <c r="D64" s="3"/>
      <c r="E64" s="3"/>
      <c r="F64" s="3"/>
      <c r="G64" s="3"/>
      <c r="H64" s="5"/>
      <c r="I64" s="101"/>
      <c r="J64" s="49"/>
      <c r="K64" s="49"/>
      <c r="L64" s="49"/>
      <c r="M64" s="49"/>
      <c r="N64" s="49"/>
      <c r="O64" s="49"/>
      <c r="P64" s="49"/>
      <c r="Q64" s="49"/>
      <c r="R64" s="49"/>
      <c r="S64" s="49"/>
      <c r="T64" s="49"/>
      <c r="U64" s="49"/>
      <c r="V64" s="49"/>
      <c r="W64" s="49"/>
      <c r="X64" s="49"/>
      <c r="Y64" s="49"/>
      <c r="Z64" s="49"/>
    </row>
    <row r="65">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row>
    <row r="280">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row>
    <row r="28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row>
    <row r="282">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row>
    <row r="283">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row>
    <row r="284">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row>
    <row r="285">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row>
    <row r="286">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row>
    <row r="287">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row>
    <row r="288">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row>
    <row r="289">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row>
    <row r="290">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row>
    <row r="29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row>
    <row r="292">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row>
    <row r="293">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row>
    <row r="294">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row>
    <row r="295">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row>
    <row r="296">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row>
    <row r="297">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row>
    <row r="298">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row>
    <row r="299">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row>
    <row r="300">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row>
    <row r="30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row>
    <row r="302">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row>
    <row r="303">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row>
    <row r="304">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row>
    <row r="305">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row>
    <row r="306">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row>
    <row r="307">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row>
    <row r="308">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row>
    <row r="309">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row>
    <row r="310">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row>
    <row r="31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row>
    <row r="312">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row>
    <row r="31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row>
    <row r="314">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row>
    <row r="315">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row>
    <row r="316">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row>
    <row r="317">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row>
    <row r="318">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row>
    <row r="319">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row>
    <row r="320">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row>
    <row r="32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row>
    <row r="322">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row>
    <row r="323">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row>
    <row r="324">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row>
    <row r="325">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row>
    <row r="326">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row>
    <row r="327">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row>
    <row r="328">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row>
    <row r="329">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row>
    <row r="330">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row>
    <row r="33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row>
    <row r="332">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row>
    <row r="33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row>
    <row r="334">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row>
    <row r="335">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row>
    <row r="336">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row>
    <row r="337">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row>
    <row r="338">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row>
    <row r="339">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row>
    <row r="340">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row>
    <row r="34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row>
    <row r="342">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row>
    <row r="343">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row>
    <row r="344">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row>
    <row r="345">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row>
    <row r="346">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row>
    <row r="347">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row>
    <row r="348">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row>
    <row r="349">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row>
    <row r="350">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row>
    <row r="35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row>
    <row r="352">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row>
    <row r="35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row>
    <row r="354">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row>
    <row r="355">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row>
    <row r="356">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row>
    <row r="357">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row>
    <row r="358">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row>
    <row r="359">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row>
    <row r="360">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row>
    <row r="36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row>
    <row r="362">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row>
    <row r="363">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row>
    <row r="364">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row>
    <row r="365">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row>
    <row r="366">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row>
    <row r="367">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row>
    <row r="368">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row>
    <row r="369">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row>
    <row r="370">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row>
    <row r="37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row>
    <row r="372">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row>
    <row r="373">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row>
    <row r="374">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row>
    <row r="375">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row>
    <row r="376">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row>
    <row r="377">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row>
    <row r="378">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row>
    <row r="379">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row>
    <row r="380">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row>
    <row r="38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row>
    <row r="382">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row>
    <row r="383">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row>
    <row r="384">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row>
    <row r="385">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row>
    <row r="386">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row>
    <row r="387">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row>
    <row r="388">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row>
    <row r="389">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row>
    <row r="390">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row>
    <row r="39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row>
    <row r="392">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row>
    <row r="393">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row>
    <row r="394">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row>
    <row r="395">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row>
    <row r="396">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row>
    <row r="397">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row>
    <row r="398">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row>
    <row r="399">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row>
    <row r="400">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row>
    <row r="40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row>
    <row r="402">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row>
    <row r="403">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row>
    <row r="404">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row>
    <row r="405">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row>
    <row r="406">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row>
    <row r="407">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row>
    <row r="408">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row>
    <row r="409">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row>
    <row r="410">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row>
    <row r="41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row>
    <row r="412">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row>
    <row r="413">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row>
    <row r="414">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row>
    <row r="415">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row>
    <row r="416">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row>
    <row r="417">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row>
    <row r="418">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row>
    <row r="419">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row>
    <row r="420">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row>
    <row r="42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row>
    <row r="422">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row>
    <row r="423">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row>
    <row r="424">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row>
    <row r="425">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row>
    <row r="426">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row>
    <row r="427">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row>
    <row r="428">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row>
    <row r="429">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row>
    <row r="430">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row>
    <row r="43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row>
    <row r="432">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row>
    <row r="433">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row>
    <row r="434">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row>
    <row r="435">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row>
    <row r="436">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row>
    <row r="437">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row>
    <row r="438">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row>
    <row r="439">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row>
    <row r="440">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row>
    <row r="44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row>
    <row r="442">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row>
    <row r="443">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row>
    <row r="444">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row>
    <row r="445">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row>
    <row r="446">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row>
    <row r="447">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row>
    <row r="448">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row>
    <row r="449">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row>
    <row r="450">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row>
    <row r="45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row>
    <row r="452">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row>
    <row r="453">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row>
    <row r="454">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row>
    <row r="455">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row>
    <row r="456">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row>
    <row r="457">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row>
    <row r="458">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row>
    <row r="459">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row>
    <row r="460">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row>
    <row r="46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row>
    <row r="462">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row>
    <row r="463">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row>
    <row r="464">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row>
    <row r="465">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row>
    <row r="466">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row>
    <row r="467">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row>
    <row r="468">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row>
    <row r="469">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row>
    <row r="470">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row>
    <row r="47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row>
    <row r="472">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row>
    <row r="473">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row>
    <row r="474">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row>
    <row r="475">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row>
    <row r="476">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row>
    <row r="477">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row>
    <row r="478">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row>
    <row r="479">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row>
    <row r="480">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row>
    <row r="48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row>
    <row r="482">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row>
    <row r="483">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row>
    <row r="484">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row>
    <row r="485">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row>
    <row r="486">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row>
    <row r="487">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row>
    <row r="488">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row>
    <row r="489">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row>
    <row r="490">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row>
    <row r="49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row>
    <row r="492">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row>
    <row r="493">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row>
    <row r="494">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row>
    <row r="495">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row>
    <row r="496">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row>
    <row r="497">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row>
    <row r="498">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row>
    <row r="499">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row>
    <row r="500">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row>
    <row r="50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row>
    <row r="502">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row>
    <row r="503">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row>
    <row r="504">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row>
    <row r="505">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row>
    <row r="506">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row>
    <row r="507">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row>
    <row r="508">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row>
    <row r="509">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row>
    <row r="510">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row>
    <row r="51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row>
    <row r="512">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row>
    <row r="513">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row>
    <row r="514">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row>
    <row r="515">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row>
    <row r="516">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row>
    <row r="517">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row>
    <row r="518">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row>
    <row r="519">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row>
    <row r="520">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row>
    <row r="52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row>
    <row r="522">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row>
    <row r="523">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row>
    <row r="524">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row>
    <row r="525">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row>
    <row r="526">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row>
    <row r="527">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row>
    <row r="528">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row>
    <row r="529">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row>
    <row r="530">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row>
    <row r="53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row>
    <row r="532">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row>
    <row r="533">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row>
    <row r="534">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row>
    <row r="535">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row>
    <row r="536">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row>
    <row r="537">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row>
    <row r="538">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row>
    <row r="539">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row>
    <row r="540">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row>
    <row r="54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row>
    <row r="542">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row>
    <row r="543">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row>
    <row r="544">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row>
    <row r="545">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row>
    <row r="546">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row>
    <row r="547">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row>
    <row r="548">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row>
    <row r="549">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row>
    <row r="550">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row>
    <row r="55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row>
    <row r="552">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row>
    <row r="553">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row>
    <row r="554">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row>
    <row r="555">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row>
    <row r="556">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row>
    <row r="557">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row>
    <row r="558">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row>
    <row r="559">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row>
    <row r="560">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row>
    <row r="56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row>
    <row r="562">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row>
    <row r="563">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row>
    <row r="564">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row>
    <row r="565">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row>
    <row r="566">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row>
    <row r="567">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row>
    <row r="568">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row>
    <row r="569">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row>
    <row r="570">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row>
    <row r="57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row>
    <row r="572">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row>
    <row r="573">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row>
    <row r="574">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row>
    <row r="575">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row>
    <row r="576">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row>
    <row r="577">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row>
    <row r="578">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row>
    <row r="579">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row>
    <row r="580">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row>
    <row r="58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row>
    <row r="582">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row>
    <row r="583">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row>
    <row r="584">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row>
    <row r="585">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row>
    <row r="586">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row>
    <row r="587">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row>
    <row r="588">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row>
    <row r="589">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row>
    <row r="590">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row>
    <row r="59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row>
    <row r="592">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row>
    <row r="593">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row>
    <row r="594">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row>
    <row r="595">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row>
    <row r="596">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row>
    <row r="597">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row>
    <row r="598">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row>
    <row r="599">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row>
    <row r="600">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row>
    <row r="60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row>
    <row r="602">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row>
    <row r="603">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row>
    <row r="604">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row>
    <row r="605">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row>
    <row r="606">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row>
    <row r="607">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row>
    <row r="608">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row>
    <row r="609">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row>
    <row r="610">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row>
    <row r="61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row>
    <row r="612">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row>
    <row r="613">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row>
    <row r="614">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row>
    <row r="615">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row>
    <row r="616">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row>
    <row r="617">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row>
    <row r="618">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row>
    <row r="619">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row>
    <row r="620">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row>
    <row r="62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row>
    <row r="622">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row>
    <row r="623">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row>
    <row r="624">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row>
    <row r="625">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row>
    <row r="626">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row>
    <row r="627">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row>
    <row r="628">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row>
    <row r="629">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row>
    <row r="630">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row>
    <row r="63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row>
    <row r="632">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row>
    <row r="633">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row>
    <row r="634">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row>
    <row r="635">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row>
    <row r="636">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row>
    <row r="637">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row>
    <row r="638">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row>
    <row r="639">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row>
    <row r="640">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row>
    <row r="64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row>
    <row r="642">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row>
    <row r="643">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row>
    <row r="644">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row>
    <row r="645">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row>
    <row r="646">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row>
    <row r="647">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row>
    <row r="648">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row>
    <row r="649">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row>
    <row r="650">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row>
    <row r="65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row>
    <row r="652">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row>
    <row r="653">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row>
    <row r="654">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row>
    <row r="655">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row>
    <row r="656">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row>
    <row r="657">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row>
    <row r="658">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row>
    <row r="659">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row>
    <row r="660">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row>
    <row r="66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row>
    <row r="662">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row>
    <row r="663">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row>
    <row r="664">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row>
    <row r="665">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row>
    <row r="666">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row>
    <row r="667">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row>
    <row r="668">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row>
    <row r="669">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row>
    <row r="670">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row>
    <row r="67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row>
    <row r="672">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row>
    <row r="673">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row>
    <row r="674">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row>
    <row r="675">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row>
    <row r="676">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row>
    <row r="677">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row>
    <row r="678">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row>
    <row r="679">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row>
    <row r="680">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row>
    <row r="68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row>
    <row r="682">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row>
    <row r="683">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row>
    <row r="684">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row>
    <row r="685">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row>
    <row r="686">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row>
    <row r="687">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row>
    <row r="688">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row>
    <row r="689">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row>
    <row r="690">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row>
    <row r="69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row>
    <row r="692">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row>
    <row r="693">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row>
    <row r="694">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row>
    <row r="695">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row>
    <row r="696">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row>
    <row r="697">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row>
    <row r="698">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row>
    <row r="699">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row>
    <row r="700">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row>
    <row r="70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row>
    <row r="702">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row>
    <row r="703">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row>
    <row r="704">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row>
    <row r="705">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row>
    <row r="706">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row>
    <row r="707">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row>
    <row r="708">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row>
    <row r="709">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row>
    <row r="710">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row>
    <row r="71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row>
    <row r="712">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row>
    <row r="713">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row>
    <row r="714">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row>
    <row r="715">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row>
    <row r="716">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row>
    <row r="717">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row>
    <row r="718">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row>
    <row r="719">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row>
    <row r="720">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row>
    <row r="72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row>
    <row r="722">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row>
    <row r="723">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row>
    <row r="724">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row>
    <row r="725">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row>
    <row r="726">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row>
    <row r="727">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row>
    <row r="728">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row>
    <row r="729">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row>
    <row r="730">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row>
    <row r="73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row>
    <row r="732">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row>
    <row r="733">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row>
    <row r="734">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row>
    <row r="735">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row>
    <row r="736">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row>
    <row r="737">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row>
    <row r="738">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row>
    <row r="739">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row>
    <row r="740">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row>
    <row r="74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row>
    <row r="742">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row>
    <row r="743">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row>
    <row r="744">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row>
    <row r="745">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row>
    <row r="746">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row>
    <row r="747">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row>
    <row r="748">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row>
    <row r="749">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row>
    <row r="750">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row>
    <row r="75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row>
    <row r="752">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row>
    <row r="753">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row>
    <row r="754">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row>
    <row r="755">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row>
    <row r="756">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row>
    <row r="757">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row>
    <row r="758">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row>
    <row r="759">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row>
    <row r="760">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row>
    <row r="76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row>
    <row r="762">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row>
    <row r="763">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row>
    <row r="764">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row>
    <row r="765">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row>
    <row r="766">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row>
    <row r="767">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row>
    <row r="768">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row>
    <row r="769">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row>
    <row r="770">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row>
    <row r="77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row>
    <row r="772">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row>
    <row r="773">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row>
    <row r="774">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row>
    <row r="775">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row>
    <row r="776">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row>
    <row r="777">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row>
    <row r="778">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row>
    <row r="779">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row>
    <row r="780">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row>
    <row r="78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row>
    <row r="782">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row>
    <row r="783">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row>
    <row r="784">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row>
    <row r="785">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row>
    <row r="786">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row>
    <row r="787">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row>
    <row r="788">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row>
    <row r="789">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row>
    <row r="790">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row>
    <row r="79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row>
    <row r="792">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row>
    <row r="793">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row>
    <row r="794">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row>
    <row r="795">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row>
    <row r="796">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row>
    <row r="797">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row>
    <row r="798">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row>
    <row r="799">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row>
    <row r="800">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row>
    <row r="80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row>
    <row r="802">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row>
    <row r="803">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row>
    <row r="804">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row>
    <row r="805">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row>
    <row r="806">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row>
    <row r="807">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row>
    <row r="808">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row>
    <row r="809">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row>
    <row r="810">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row>
    <row r="81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row>
    <row r="812">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row>
    <row r="813">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row>
    <row r="814">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row>
    <row r="815">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row>
    <row r="816">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row>
    <row r="817">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row>
    <row r="818">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row>
    <row r="819">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row>
    <row r="820">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row>
    <row r="82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row>
    <row r="822">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row>
    <row r="823">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row>
    <row r="824">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row>
    <row r="825">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row>
    <row r="826">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row>
    <row r="827">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row>
    <row r="828">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row>
    <row r="829">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row>
    <row r="830">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row>
    <row r="83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row>
    <row r="832">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row>
    <row r="833">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row>
    <row r="834">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row>
    <row r="835">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row>
    <row r="836">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row>
    <row r="837">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row>
    <row r="838">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row>
    <row r="839">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row>
    <row r="840">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row>
    <row r="84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row>
    <row r="842">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row>
    <row r="843">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row>
    <row r="844">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row>
    <row r="845">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row>
    <row r="846">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row>
    <row r="847">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row>
    <row r="848">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row>
    <row r="849">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row>
    <row r="850">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row>
    <row r="85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row>
    <row r="852">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row>
    <row r="853">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row>
    <row r="854">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row>
    <row r="855">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row>
    <row r="856">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row>
    <row r="857">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row>
    <row r="858">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row>
    <row r="859">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row>
    <row r="860">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row>
    <row r="86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row>
    <row r="862">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row>
    <row r="863">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row>
    <row r="864">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row>
    <row r="865">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row>
    <row r="866">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row>
    <row r="867">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row>
    <row r="868">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row>
    <row r="869">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row>
    <row r="870">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row>
    <row r="87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row>
    <row r="872">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row>
    <row r="873">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row>
    <row r="874">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row>
    <row r="875">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row>
    <row r="876">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row>
    <row r="877">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row>
    <row r="878">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row>
    <row r="879">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row>
    <row r="880">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row>
    <row r="88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row>
    <row r="882">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row>
    <row r="883">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row>
    <row r="884">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row>
    <row r="885">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row>
    <row r="886">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row>
    <row r="887">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row>
    <row r="888">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row>
    <row r="889">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row>
    <row r="890">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row>
    <row r="89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row>
    <row r="892">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row>
    <row r="893">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row>
    <row r="894">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row>
    <row r="895">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row>
    <row r="896">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row>
    <row r="897">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row>
    <row r="898">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row>
    <row r="899">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row>
    <row r="900">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row>
    <row r="90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row>
    <row r="902">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row>
    <row r="903">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row>
    <row r="904">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row>
    <row r="905">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row>
    <row r="906">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row>
    <row r="907">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row>
    <row r="908">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row>
    <row r="909">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row>
    <row r="910">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row>
    <row r="91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row>
    <row r="912">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row>
    <row r="913">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row>
    <row r="914">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row>
    <row r="915">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row>
    <row r="916">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row>
    <row r="917">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row>
    <row r="918">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row>
    <row r="919">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row>
    <row r="920">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row>
    <row r="92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row>
    <row r="922">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row>
    <row r="923">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row>
    <row r="924">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row>
    <row r="925">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row>
    <row r="926">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row>
    <row r="927">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row>
    <row r="928">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row>
    <row r="929">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row>
    <row r="930">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row>
    <row r="93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row>
    <row r="932">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row>
    <row r="933">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row>
    <row r="934">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row>
    <row r="935">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row>
    <row r="936">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row>
    <row r="937">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row>
    <row r="938">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row>
    <row r="939">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row>
    <row r="940">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row>
    <row r="94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row>
    <row r="942">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row>
    <row r="943">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row>
    <row r="944">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row>
    <row r="945">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row>
    <row r="946">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row>
    <row r="947">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row>
    <row r="948">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row>
    <row r="949">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row>
    <row r="950">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row>
    <row r="95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row>
    <row r="952">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row>
    <row r="953">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row>
    <row r="954">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row>
    <row r="955">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row>
    <row r="956">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row>
    <row r="957">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row>
    <row r="958">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row>
    <row r="959">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row>
    <row r="960">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row>
    <row r="96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row>
    <row r="962">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row>
    <row r="963">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row>
    <row r="964">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row>
    <row r="965">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row>
    <row r="966">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row>
    <row r="967">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row>
    <row r="968">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row>
    <row r="969">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row>
    <row r="970">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row>
    <row r="97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row>
    <row r="972">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row>
    <row r="973">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row>
    <row r="974">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row>
    <row r="975">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row>
    <row r="976">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row>
    <row r="977">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row>
    <row r="978">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row>
    <row r="979">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row>
    <row r="980">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row>
    <row r="98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row>
    <row r="982">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row>
    <row r="983">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row>
    <row r="984">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row>
    <row r="985">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row>
    <row r="986">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row>
    <row r="987">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row>
    <row r="988">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row>
    <row r="989">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row>
    <row r="990">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row>
    <row r="99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row>
    <row r="992">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row>
    <row r="993">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row>
    <row r="994">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row>
    <row r="995">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row>
    <row r="996">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row>
    <row r="997">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row>
    <row r="998">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row>
    <row r="999">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row>
    <row r="1000">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row>
  </sheetData>
  <mergeCells count="8">
    <mergeCell ref="I14:I15"/>
    <mergeCell ref="I31:I32"/>
    <mergeCell ref="I35:I36"/>
    <mergeCell ref="I43:I44"/>
    <mergeCell ref="I57:I58"/>
    <mergeCell ref="B62:H62"/>
    <mergeCell ref="C63:G63"/>
    <mergeCell ref="C64:H64"/>
  </mergeCell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6"/>
    <hyperlink r:id="rId15" ref="I17"/>
    <hyperlink r:id="rId16" ref="I18"/>
    <hyperlink r:id="rId17" ref="I19"/>
    <hyperlink r:id="rId18" ref="I20"/>
    <hyperlink r:id="rId19" ref="I21"/>
    <hyperlink r:id="rId20" ref="I22"/>
    <hyperlink r:id="rId21" ref="I23"/>
    <hyperlink r:id="rId22" ref="I24"/>
    <hyperlink r:id="rId23" ref="I25"/>
    <hyperlink r:id="rId24" ref="E26"/>
    <hyperlink r:id="rId25" ref="I26"/>
    <hyperlink r:id="rId26" ref="I27"/>
    <hyperlink r:id="rId27" ref="I28"/>
    <hyperlink r:id="rId28" ref="I29"/>
    <hyperlink r:id="rId29" ref="I30"/>
    <hyperlink r:id="rId30" ref="I31"/>
    <hyperlink r:id="rId31" ref="I33"/>
    <hyperlink r:id="rId32" ref="I34"/>
    <hyperlink r:id="rId33" ref="I35"/>
    <hyperlink r:id="rId34" ref="I37"/>
    <hyperlink r:id="rId35" ref="I38"/>
    <hyperlink r:id="rId36" ref="I39"/>
    <hyperlink r:id="rId37" ref="I40"/>
    <hyperlink r:id="rId38" ref="I41"/>
    <hyperlink r:id="rId39" ref="I42"/>
    <hyperlink r:id="rId40" ref="I45"/>
    <hyperlink r:id="rId41" ref="I47"/>
    <hyperlink r:id="rId42" ref="I49"/>
    <hyperlink r:id="rId43" ref="I50"/>
    <hyperlink r:id="rId44" ref="I51"/>
    <hyperlink r:id="rId45" ref="I52"/>
    <hyperlink r:id="rId46" ref="I53"/>
    <hyperlink r:id="rId47" ref="I54"/>
    <hyperlink r:id="rId48" ref="I55"/>
    <hyperlink r:id="rId49" ref="I56"/>
    <hyperlink r:id="rId50" ref="I57"/>
    <hyperlink r:id="rId51" ref="I59"/>
    <hyperlink r:id="rId52" ref="I60"/>
    <hyperlink r:id="rId53" ref="I61"/>
  </hyperlinks>
  <drawing r:id="rId5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25.38"/>
    <col customWidth="1" min="3" max="3" width="21.88"/>
    <col customWidth="1" min="4" max="4" width="20.38"/>
    <col customWidth="1" min="5" max="5" width="23.63"/>
    <col customWidth="1" min="6" max="6" width="18.63"/>
    <col customWidth="1" min="7" max="7" width="27.88"/>
  </cols>
  <sheetData>
    <row r="1">
      <c r="A1" s="98" t="s">
        <v>1535</v>
      </c>
      <c r="B1" s="3"/>
      <c r="C1" s="3"/>
      <c r="D1" s="3"/>
      <c r="E1" s="3"/>
      <c r="F1" s="3"/>
      <c r="G1" s="3"/>
      <c r="H1" s="3"/>
      <c r="I1" s="5"/>
    </row>
    <row r="2">
      <c r="A2" s="99" t="s">
        <v>1537</v>
      </c>
      <c r="B2" s="99" t="s">
        <v>1540</v>
      </c>
      <c r="C2" s="99" t="s">
        <v>1541</v>
      </c>
      <c r="D2" s="99" t="s">
        <v>1542</v>
      </c>
      <c r="E2" s="99" t="s">
        <v>1543</v>
      </c>
      <c r="F2" s="99" t="s">
        <v>1544</v>
      </c>
      <c r="G2" s="99" t="s">
        <v>1545</v>
      </c>
      <c r="H2" s="99" t="s">
        <v>253</v>
      </c>
      <c r="I2" s="100" t="s">
        <v>1546</v>
      </c>
    </row>
    <row r="3">
      <c r="A3" s="10">
        <v>1.0</v>
      </c>
      <c r="B3" s="10" t="s">
        <v>1547</v>
      </c>
      <c r="C3" s="71">
        <v>11.0</v>
      </c>
      <c r="D3" s="71">
        <v>4.0</v>
      </c>
      <c r="E3" s="10" t="s">
        <v>1548</v>
      </c>
      <c r="F3" s="10" t="s">
        <v>1549</v>
      </c>
      <c r="G3" s="10" t="s">
        <v>1550</v>
      </c>
      <c r="H3" s="10" t="s">
        <v>1551</v>
      </c>
      <c r="I3" s="103">
        <v>595000.0</v>
      </c>
    </row>
    <row r="4">
      <c r="A4" s="10">
        <v>2.0</v>
      </c>
      <c r="B4" s="10" t="s">
        <v>1547</v>
      </c>
      <c r="C4" s="104"/>
      <c r="D4" s="104"/>
      <c r="E4" s="10" t="s">
        <v>1553</v>
      </c>
      <c r="F4" s="10" t="s">
        <v>1550</v>
      </c>
      <c r="G4" s="10" t="s">
        <v>1555</v>
      </c>
      <c r="H4" s="10" t="s">
        <v>1551</v>
      </c>
      <c r="I4" s="103">
        <v>468000.0</v>
      </c>
    </row>
    <row r="5">
      <c r="A5" s="10">
        <v>3.0</v>
      </c>
      <c r="B5" s="10" t="s">
        <v>1547</v>
      </c>
      <c r="C5" s="104"/>
      <c r="D5" s="104"/>
      <c r="E5" s="10" t="s">
        <v>1556</v>
      </c>
      <c r="F5" s="10" t="s">
        <v>1557</v>
      </c>
      <c r="G5" s="10" t="s">
        <v>1550</v>
      </c>
      <c r="H5" s="10" t="s">
        <v>1551</v>
      </c>
      <c r="I5" s="103">
        <v>468000.0</v>
      </c>
    </row>
    <row r="6">
      <c r="A6" s="10">
        <v>4.0</v>
      </c>
      <c r="B6" s="10" t="s">
        <v>1547</v>
      </c>
      <c r="C6" s="60"/>
      <c r="D6" s="60"/>
      <c r="E6" s="10" t="s">
        <v>1558</v>
      </c>
      <c r="F6" s="10" t="s">
        <v>1559</v>
      </c>
      <c r="G6" s="10" t="s">
        <v>1560</v>
      </c>
      <c r="H6" s="10" t="s">
        <v>1551</v>
      </c>
      <c r="I6" s="103">
        <v>527000.0</v>
      </c>
    </row>
    <row r="7">
      <c r="A7" s="10">
        <v>5.0</v>
      </c>
      <c r="B7" s="10" t="s">
        <v>1547</v>
      </c>
      <c r="C7" s="71">
        <v>9.0</v>
      </c>
      <c r="D7" s="71">
        <v>4.0</v>
      </c>
      <c r="E7" s="10" t="s">
        <v>1562</v>
      </c>
      <c r="F7" s="10" t="s">
        <v>1563</v>
      </c>
      <c r="G7" s="10" t="s">
        <v>1564</v>
      </c>
      <c r="H7" s="10" t="s">
        <v>1565</v>
      </c>
      <c r="I7" s="103">
        <v>400000.0</v>
      </c>
    </row>
    <row r="8">
      <c r="A8" s="10">
        <v>6.0</v>
      </c>
      <c r="B8" s="10" t="s">
        <v>1547</v>
      </c>
      <c r="C8" s="104"/>
      <c r="D8" s="104"/>
      <c r="E8" s="10" t="s">
        <v>1566</v>
      </c>
      <c r="F8" s="10" t="s">
        <v>1567</v>
      </c>
      <c r="G8" s="10" t="s">
        <v>1568</v>
      </c>
      <c r="H8" s="10" t="s">
        <v>1565</v>
      </c>
      <c r="I8" s="103">
        <v>493000.0</v>
      </c>
    </row>
    <row r="9">
      <c r="A9" s="10">
        <v>7.0</v>
      </c>
      <c r="B9" s="10" t="s">
        <v>1547</v>
      </c>
      <c r="C9" s="104"/>
      <c r="D9" s="104"/>
      <c r="E9" s="10" t="s">
        <v>1569</v>
      </c>
      <c r="F9" s="10" t="s">
        <v>1570</v>
      </c>
      <c r="G9" s="10" t="s">
        <v>1550</v>
      </c>
      <c r="H9" s="10" t="s">
        <v>1565</v>
      </c>
      <c r="I9" s="103">
        <v>510000.0</v>
      </c>
    </row>
    <row r="10">
      <c r="A10" s="10">
        <v>8.0</v>
      </c>
      <c r="B10" s="10" t="s">
        <v>1547</v>
      </c>
      <c r="C10" s="60"/>
      <c r="D10" s="60"/>
      <c r="E10" s="10" t="s">
        <v>1571</v>
      </c>
      <c r="F10" s="10" t="s">
        <v>1572</v>
      </c>
      <c r="G10" s="10" t="s">
        <v>1550</v>
      </c>
      <c r="H10" s="10" t="s">
        <v>1565</v>
      </c>
      <c r="I10" s="103">
        <v>497000.0</v>
      </c>
    </row>
    <row r="11">
      <c r="A11" s="10">
        <v>9.0</v>
      </c>
      <c r="B11" s="10" t="s">
        <v>1573</v>
      </c>
      <c r="C11" s="10">
        <v>33.0</v>
      </c>
      <c r="D11" s="10">
        <v>1.0</v>
      </c>
      <c r="E11" s="10" t="s">
        <v>1574</v>
      </c>
      <c r="F11" s="10" t="s">
        <v>1185</v>
      </c>
      <c r="G11" s="10" t="s">
        <v>1575</v>
      </c>
      <c r="H11" s="10" t="s">
        <v>1576</v>
      </c>
      <c r="I11" s="103">
        <v>1050000.0</v>
      </c>
    </row>
    <row r="12">
      <c r="A12" s="10">
        <v>10.0</v>
      </c>
      <c r="B12" s="10" t="s">
        <v>1577</v>
      </c>
      <c r="C12" s="10">
        <v>35.0</v>
      </c>
      <c r="D12" s="10">
        <v>1.0</v>
      </c>
      <c r="E12" s="10" t="s">
        <v>1578</v>
      </c>
      <c r="F12" s="10" t="s">
        <v>1579</v>
      </c>
      <c r="G12" s="10" t="s">
        <v>1575</v>
      </c>
      <c r="H12" s="10" t="s">
        <v>1580</v>
      </c>
      <c r="I12" s="103">
        <v>1000000.0</v>
      </c>
    </row>
    <row r="13">
      <c r="A13" s="10">
        <v>11.0</v>
      </c>
      <c r="B13" s="10" t="s">
        <v>1581</v>
      </c>
      <c r="C13" s="71">
        <v>46.0</v>
      </c>
      <c r="D13" s="71">
        <v>3.0</v>
      </c>
      <c r="E13" s="10" t="s">
        <v>1582</v>
      </c>
      <c r="F13" s="10" t="s">
        <v>1583</v>
      </c>
      <c r="G13" s="10" t="s">
        <v>1584</v>
      </c>
      <c r="H13" s="10" t="s">
        <v>1585</v>
      </c>
      <c r="I13" s="103">
        <v>1440000.0</v>
      </c>
    </row>
    <row r="14">
      <c r="A14" s="10">
        <v>12.0</v>
      </c>
      <c r="B14" s="10" t="s">
        <v>1581</v>
      </c>
      <c r="C14" s="104"/>
      <c r="D14" s="104"/>
      <c r="E14" s="10" t="s">
        <v>1586</v>
      </c>
      <c r="F14" s="10" t="s">
        <v>1587</v>
      </c>
      <c r="G14" s="10" t="s">
        <v>1588</v>
      </c>
      <c r="H14" s="10" t="s">
        <v>1585</v>
      </c>
      <c r="I14" s="103">
        <v>1480000.0</v>
      </c>
    </row>
    <row r="15">
      <c r="A15" s="10">
        <v>13.0</v>
      </c>
      <c r="B15" s="10" t="s">
        <v>1581</v>
      </c>
      <c r="C15" s="60"/>
      <c r="D15" s="60"/>
      <c r="E15" s="10" t="s">
        <v>1589</v>
      </c>
      <c r="F15" s="10" t="s">
        <v>1590</v>
      </c>
      <c r="G15" s="10" t="s">
        <v>49</v>
      </c>
      <c r="H15" s="10" t="s">
        <v>1585</v>
      </c>
      <c r="I15" s="103">
        <v>1200000.0</v>
      </c>
    </row>
    <row r="16">
      <c r="A16" s="10">
        <v>14.0</v>
      </c>
      <c r="B16" s="10" t="s">
        <v>1591</v>
      </c>
      <c r="C16" s="71">
        <v>111.0</v>
      </c>
      <c r="D16" s="71">
        <v>2.0</v>
      </c>
      <c r="E16" s="10" t="s">
        <v>1592</v>
      </c>
      <c r="F16" s="10" t="s">
        <v>1593</v>
      </c>
      <c r="G16" s="10" t="s">
        <v>1594</v>
      </c>
      <c r="H16" s="10" t="s">
        <v>1595</v>
      </c>
      <c r="I16" s="103">
        <v>1500000.0</v>
      </c>
    </row>
    <row r="17">
      <c r="A17" s="10">
        <v>15.0</v>
      </c>
      <c r="B17" s="10" t="s">
        <v>1591</v>
      </c>
      <c r="C17" s="60"/>
      <c r="D17" s="60"/>
      <c r="E17" s="10" t="s">
        <v>1596</v>
      </c>
      <c r="F17" s="10" t="s">
        <v>1597</v>
      </c>
      <c r="G17" s="10" t="s">
        <v>1598</v>
      </c>
      <c r="H17" s="10" t="s">
        <v>1595</v>
      </c>
      <c r="I17" s="103">
        <v>600000.0</v>
      </c>
    </row>
    <row r="18">
      <c r="A18" s="10">
        <v>16.0</v>
      </c>
      <c r="B18" s="10" t="s">
        <v>1599</v>
      </c>
      <c r="C18" s="10">
        <v>60.0</v>
      </c>
      <c r="D18" s="12" t="s">
        <v>1600</v>
      </c>
      <c r="E18" s="3"/>
      <c r="F18" s="3"/>
      <c r="G18" s="5"/>
      <c r="H18" s="10">
        <v>0.0</v>
      </c>
      <c r="I18" s="103">
        <v>0.0</v>
      </c>
    </row>
    <row r="19">
      <c r="A19" s="110"/>
      <c r="B19" s="111" t="s">
        <v>1601</v>
      </c>
      <c r="C19" s="3"/>
      <c r="D19" s="3"/>
      <c r="E19" s="3"/>
      <c r="F19" s="3"/>
      <c r="G19" s="3"/>
      <c r="H19" s="5"/>
      <c r="I19" s="112">
        <f>SUM(I3:I17)</f>
        <v>12228000</v>
      </c>
    </row>
  </sheetData>
  <mergeCells count="11">
    <mergeCell ref="C16:C17"/>
    <mergeCell ref="D16:D17"/>
    <mergeCell ref="D18:G18"/>
    <mergeCell ref="B19:H19"/>
    <mergeCell ref="A1:I1"/>
    <mergeCell ref="C3:C6"/>
    <mergeCell ref="D3:D6"/>
    <mergeCell ref="C7:C10"/>
    <mergeCell ref="D7:D10"/>
    <mergeCell ref="C13:C15"/>
    <mergeCell ref="D13:D1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20.63"/>
    <col customWidth="1" min="3" max="3" width="21.13"/>
    <col customWidth="1" min="4" max="4" width="21.0"/>
    <col customWidth="1" min="5" max="5" width="39.88"/>
    <col customWidth="1" min="11" max="11" width="50.63"/>
    <col customWidth="1" min="12" max="12" width="22.88"/>
  </cols>
  <sheetData>
    <row r="1">
      <c r="A1" s="113" t="s">
        <v>1602</v>
      </c>
      <c r="B1" s="3"/>
      <c r="C1" s="3"/>
      <c r="D1" s="3"/>
      <c r="E1" s="3"/>
      <c r="F1" s="3"/>
      <c r="G1" s="3"/>
      <c r="H1" s="3"/>
      <c r="I1" s="3"/>
      <c r="J1" s="3"/>
      <c r="K1" s="5"/>
      <c r="L1" s="110"/>
    </row>
    <row r="2">
      <c r="A2" s="114" t="s">
        <v>1603</v>
      </c>
      <c r="B2" s="3"/>
      <c r="C2" s="3"/>
      <c r="D2" s="3"/>
      <c r="E2" s="3"/>
      <c r="F2" s="3"/>
      <c r="G2" s="3"/>
      <c r="H2" s="3"/>
      <c r="I2" s="3"/>
      <c r="J2" s="3"/>
      <c r="K2" s="5"/>
      <c r="L2" s="110"/>
    </row>
    <row r="3">
      <c r="A3" s="115" t="s">
        <v>1604</v>
      </c>
      <c r="B3" s="3"/>
      <c r="C3" s="3"/>
      <c r="D3" s="3"/>
      <c r="E3" s="3"/>
      <c r="F3" s="3"/>
      <c r="G3" s="3"/>
      <c r="H3" s="3"/>
      <c r="I3" s="5"/>
      <c r="J3" s="115" t="s">
        <v>1605</v>
      </c>
      <c r="K3" s="5"/>
      <c r="L3" s="110"/>
    </row>
    <row r="4">
      <c r="A4" s="115" t="s">
        <v>1606</v>
      </c>
      <c r="B4" s="3"/>
      <c r="C4" s="3"/>
      <c r="D4" s="3"/>
      <c r="E4" s="3"/>
      <c r="F4" s="3"/>
      <c r="G4" s="3"/>
      <c r="H4" s="3"/>
      <c r="I4" s="3"/>
      <c r="J4" s="3"/>
      <c r="K4" s="5"/>
      <c r="L4" s="110"/>
    </row>
    <row r="5">
      <c r="A5" s="116" t="s">
        <v>1607</v>
      </c>
      <c r="B5" s="116" t="s">
        <v>1608</v>
      </c>
      <c r="C5" s="116" t="s">
        <v>1609</v>
      </c>
      <c r="D5" s="116" t="s">
        <v>1610</v>
      </c>
      <c r="E5" s="116" t="s">
        <v>1611</v>
      </c>
      <c r="F5" s="116" t="s">
        <v>1612</v>
      </c>
      <c r="G5" s="11" t="s">
        <v>1613</v>
      </c>
      <c r="H5" s="11" t="s">
        <v>1614</v>
      </c>
      <c r="I5" s="110"/>
      <c r="J5" s="110"/>
      <c r="K5" s="110"/>
      <c r="L5" s="110"/>
    </row>
    <row r="6">
      <c r="A6" s="110">
        <v>7.0</v>
      </c>
      <c r="B6" s="110">
        <v>7.0</v>
      </c>
      <c r="C6" s="110">
        <v>8.0</v>
      </c>
      <c r="D6" s="110">
        <v>0.0</v>
      </c>
      <c r="E6" s="110">
        <v>0.0</v>
      </c>
      <c r="F6" s="110">
        <v>3.0</v>
      </c>
      <c r="G6" s="110">
        <v>2.0</v>
      </c>
      <c r="H6" s="110">
        <v>3.0</v>
      </c>
      <c r="I6" s="110"/>
      <c r="J6" s="110"/>
      <c r="K6" s="110"/>
      <c r="L6" s="110"/>
    </row>
    <row r="7">
      <c r="A7" s="117" t="s">
        <v>1615</v>
      </c>
      <c r="B7" s="3"/>
      <c r="C7" s="3"/>
      <c r="D7" s="3"/>
      <c r="E7" s="3"/>
      <c r="F7" s="3"/>
      <c r="G7" s="3"/>
      <c r="H7" s="3"/>
      <c r="I7" s="3"/>
      <c r="J7" s="3"/>
      <c r="K7" s="5"/>
      <c r="L7" s="110"/>
    </row>
    <row r="8">
      <c r="A8" s="11" t="s">
        <v>1616</v>
      </c>
      <c r="B8" s="11" t="s">
        <v>1617</v>
      </c>
      <c r="C8" s="11" t="s">
        <v>1618</v>
      </c>
      <c r="D8" s="11" t="s">
        <v>1619</v>
      </c>
      <c r="E8" s="11" t="s">
        <v>1620</v>
      </c>
      <c r="F8" s="11" t="s">
        <v>1621</v>
      </c>
      <c r="G8" s="11" t="s">
        <v>1622</v>
      </c>
      <c r="H8" s="11" t="s">
        <v>1623</v>
      </c>
      <c r="I8" s="11" t="s">
        <v>1624</v>
      </c>
      <c r="J8" s="11" t="s">
        <v>1625</v>
      </c>
      <c r="K8" s="118" t="s">
        <v>1626</v>
      </c>
      <c r="L8" s="110"/>
    </row>
    <row r="9">
      <c r="A9" s="110">
        <v>1.0</v>
      </c>
      <c r="B9" s="119">
        <v>2.01811025513E11</v>
      </c>
      <c r="C9" s="110" t="s">
        <v>1627</v>
      </c>
      <c r="D9" s="44" t="s">
        <v>1628</v>
      </c>
      <c r="E9" s="44" t="s">
        <v>1629</v>
      </c>
      <c r="F9" s="17" t="s">
        <v>1628</v>
      </c>
      <c r="G9" s="120">
        <v>43350.0</v>
      </c>
      <c r="H9" s="121">
        <v>45294.0</v>
      </c>
      <c r="I9" s="110">
        <v>518076.0</v>
      </c>
      <c r="J9" s="110"/>
      <c r="K9" s="110"/>
      <c r="L9" s="122" t="s">
        <v>1630</v>
      </c>
    </row>
    <row r="10">
      <c r="A10" s="110">
        <v>2.0</v>
      </c>
      <c r="B10" s="119">
        <v>2.02111033458E11</v>
      </c>
      <c r="C10" s="110" t="s">
        <v>1627</v>
      </c>
      <c r="D10" s="44" t="s">
        <v>1631</v>
      </c>
      <c r="E10" s="44" t="s">
        <v>1632</v>
      </c>
      <c r="F10" s="17" t="s">
        <v>1633</v>
      </c>
      <c r="G10" s="44" t="s">
        <v>1634</v>
      </c>
      <c r="H10" s="110" t="s">
        <v>896</v>
      </c>
      <c r="I10" s="110">
        <v>505650.0</v>
      </c>
      <c r="J10" s="110"/>
      <c r="K10" s="110"/>
      <c r="L10" s="122" t="s">
        <v>1635</v>
      </c>
    </row>
    <row r="11">
      <c r="A11" s="110">
        <v>3.0</v>
      </c>
      <c r="B11" s="119">
        <v>2.02211011253E11</v>
      </c>
      <c r="C11" s="110" t="s">
        <v>1636</v>
      </c>
      <c r="D11" s="44" t="s">
        <v>1637</v>
      </c>
      <c r="E11" s="44" t="s">
        <v>1638</v>
      </c>
      <c r="F11" s="17" t="s">
        <v>1639</v>
      </c>
      <c r="G11" s="120">
        <v>44595.0</v>
      </c>
      <c r="H11" s="123" t="s">
        <v>1640</v>
      </c>
      <c r="I11" s="110"/>
      <c r="J11" s="110"/>
      <c r="K11" s="110"/>
      <c r="L11" s="122" t="s">
        <v>1641</v>
      </c>
    </row>
    <row r="12">
      <c r="A12" s="110">
        <v>4.0</v>
      </c>
      <c r="B12" s="119">
        <v>2.02111057454E11</v>
      </c>
      <c r="C12" s="124" t="s">
        <v>1627</v>
      </c>
      <c r="D12" s="124" t="s">
        <v>1642</v>
      </c>
      <c r="E12" s="44" t="s">
        <v>1643</v>
      </c>
      <c r="F12" s="17" t="s">
        <v>1644</v>
      </c>
      <c r="G12" s="120">
        <v>44719.0</v>
      </c>
      <c r="H12" s="110" t="s">
        <v>1645</v>
      </c>
      <c r="I12" s="110">
        <v>552893.0</v>
      </c>
      <c r="J12" s="110"/>
      <c r="K12" s="110"/>
      <c r="L12" s="122" t="s">
        <v>1646</v>
      </c>
    </row>
    <row r="13">
      <c r="A13" s="110">
        <v>5.0</v>
      </c>
      <c r="B13" s="119">
        <v>2.02211011254E11</v>
      </c>
      <c r="C13" s="124" t="s">
        <v>1636</v>
      </c>
      <c r="D13" s="44" t="s">
        <v>1647</v>
      </c>
      <c r="E13" s="44" t="s">
        <v>1648</v>
      </c>
      <c r="F13" s="17" t="s">
        <v>1639</v>
      </c>
      <c r="G13" s="120">
        <v>44595.0</v>
      </c>
      <c r="H13" s="123" t="s">
        <v>1640</v>
      </c>
      <c r="I13" s="110"/>
      <c r="J13" s="110"/>
      <c r="K13" s="110"/>
      <c r="L13" s="122" t="s">
        <v>1649</v>
      </c>
    </row>
    <row r="14">
      <c r="A14" s="110">
        <v>6.0</v>
      </c>
      <c r="B14" s="119">
        <v>2.02211011255E11</v>
      </c>
      <c r="C14" s="124" t="s">
        <v>1636</v>
      </c>
      <c r="D14" s="44" t="s">
        <v>1650</v>
      </c>
      <c r="E14" s="44" t="s">
        <v>1651</v>
      </c>
      <c r="F14" s="17" t="s">
        <v>1652</v>
      </c>
      <c r="G14" s="120">
        <v>44595.0</v>
      </c>
      <c r="H14" s="123" t="s">
        <v>1640</v>
      </c>
      <c r="I14" s="110"/>
      <c r="J14" s="110"/>
      <c r="K14" s="110"/>
      <c r="L14" s="122" t="s">
        <v>1653</v>
      </c>
    </row>
    <row r="15">
      <c r="A15" s="110">
        <v>7.0</v>
      </c>
      <c r="B15" s="119">
        <v>2.02211011992E11</v>
      </c>
      <c r="C15" s="124" t="s">
        <v>1654</v>
      </c>
      <c r="D15" s="44" t="s">
        <v>1655</v>
      </c>
      <c r="E15" s="44" t="s">
        <v>1656</v>
      </c>
      <c r="F15" s="17" t="s">
        <v>1657</v>
      </c>
      <c r="G15" s="120">
        <v>44684.0</v>
      </c>
      <c r="H15" s="123" t="s">
        <v>1640</v>
      </c>
      <c r="I15" s="110"/>
      <c r="J15" s="110"/>
      <c r="K15" s="110"/>
      <c r="L15" s="122" t="s">
        <v>1658</v>
      </c>
    </row>
    <row r="16">
      <c r="A16" s="110">
        <v>8.0</v>
      </c>
      <c r="B16" s="119">
        <v>2.02211011989E11</v>
      </c>
      <c r="C16" s="110" t="s">
        <v>1636</v>
      </c>
      <c r="D16" s="44" t="s">
        <v>1659</v>
      </c>
      <c r="E16" s="44" t="s">
        <v>1660</v>
      </c>
      <c r="F16" s="17" t="s">
        <v>1661</v>
      </c>
      <c r="G16" s="120">
        <v>44684.0</v>
      </c>
      <c r="H16" s="123" t="s">
        <v>1640</v>
      </c>
      <c r="I16" s="110"/>
      <c r="J16" s="110"/>
      <c r="K16" s="110"/>
      <c r="L16" s="122" t="s">
        <v>1662</v>
      </c>
    </row>
    <row r="17">
      <c r="A17" s="110">
        <v>9.0</v>
      </c>
      <c r="B17" s="119">
        <v>2.02211011991E11</v>
      </c>
      <c r="C17" s="110" t="s">
        <v>1636</v>
      </c>
      <c r="D17" s="44" t="s">
        <v>1642</v>
      </c>
      <c r="E17" s="44" t="s">
        <v>1663</v>
      </c>
      <c r="F17" s="17" t="s">
        <v>1664</v>
      </c>
      <c r="G17" s="120">
        <v>44684.0</v>
      </c>
      <c r="H17" s="123" t="s">
        <v>1640</v>
      </c>
      <c r="I17" s="110"/>
      <c r="J17" s="110"/>
      <c r="K17" s="110"/>
      <c r="L17" s="122" t="s">
        <v>1665</v>
      </c>
    </row>
    <row r="18">
      <c r="A18" s="110">
        <v>10.0</v>
      </c>
      <c r="B18" s="119">
        <v>2.0221101199E11</v>
      </c>
      <c r="C18" s="110" t="s">
        <v>1636</v>
      </c>
      <c r="D18" s="44" t="s">
        <v>1642</v>
      </c>
      <c r="E18" s="44" t="s">
        <v>1666</v>
      </c>
      <c r="F18" s="17" t="s">
        <v>1664</v>
      </c>
      <c r="G18" s="120">
        <v>44684.0</v>
      </c>
      <c r="H18" s="123" t="s">
        <v>1640</v>
      </c>
      <c r="I18" s="110"/>
      <c r="J18" s="110"/>
      <c r="K18" s="110"/>
      <c r="L18" s="122" t="s">
        <v>1667</v>
      </c>
    </row>
    <row r="19">
      <c r="A19" s="110">
        <v>11.0</v>
      </c>
      <c r="B19" s="119">
        <v>2.02211013351E11</v>
      </c>
      <c r="C19" s="110" t="s">
        <v>1636</v>
      </c>
      <c r="D19" s="44" t="s">
        <v>1668</v>
      </c>
      <c r="E19" s="44" t="s">
        <v>1669</v>
      </c>
      <c r="F19" s="17" t="s">
        <v>1670</v>
      </c>
      <c r="G19" s="120">
        <v>44868.0</v>
      </c>
      <c r="H19" s="123" t="s">
        <v>1671</v>
      </c>
      <c r="I19" s="110"/>
      <c r="J19" s="110"/>
      <c r="K19" s="110"/>
      <c r="L19" s="122" t="s">
        <v>1672</v>
      </c>
    </row>
    <row r="20">
      <c r="A20" s="110">
        <v>12.0</v>
      </c>
      <c r="B20" s="119">
        <v>2.02311018759E11</v>
      </c>
      <c r="C20" s="110" t="s">
        <v>1636</v>
      </c>
      <c r="D20" s="44" t="s">
        <v>1673</v>
      </c>
      <c r="E20" s="44" t="s">
        <v>1674</v>
      </c>
      <c r="F20" s="44" t="s">
        <v>1675</v>
      </c>
      <c r="G20" s="120" t="s">
        <v>1676</v>
      </c>
      <c r="H20" s="123" t="s">
        <v>1677</v>
      </c>
      <c r="I20" s="110"/>
      <c r="J20" s="110"/>
      <c r="K20" s="110"/>
      <c r="L20" s="122" t="s">
        <v>1678</v>
      </c>
    </row>
    <row r="21">
      <c r="A21" s="110">
        <v>13.0</v>
      </c>
      <c r="B21" s="125">
        <v>2.02311008482E11</v>
      </c>
      <c r="C21" s="110" t="s">
        <v>1636</v>
      </c>
      <c r="D21" s="44" t="s">
        <v>1679</v>
      </c>
      <c r="E21" s="17" t="s">
        <v>1680</v>
      </c>
      <c r="F21" s="17" t="s">
        <v>1681</v>
      </c>
      <c r="G21" s="123" t="s">
        <v>1682</v>
      </c>
      <c r="H21" s="123" t="s">
        <v>1683</v>
      </c>
      <c r="I21" s="110"/>
      <c r="J21" s="110"/>
      <c r="K21" s="110"/>
      <c r="L21" s="122" t="s">
        <v>1684</v>
      </c>
    </row>
    <row r="22">
      <c r="A22" s="110">
        <v>14.0</v>
      </c>
      <c r="B22" s="125">
        <v>2.02311008481E11</v>
      </c>
      <c r="C22" s="110" t="s">
        <v>1636</v>
      </c>
      <c r="D22" s="44" t="s">
        <v>1685</v>
      </c>
      <c r="E22" s="17" t="s">
        <v>1686</v>
      </c>
      <c r="F22" s="17" t="s">
        <v>1687</v>
      </c>
      <c r="G22" s="123" t="s">
        <v>1682</v>
      </c>
      <c r="H22" s="123" t="s">
        <v>1688</v>
      </c>
      <c r="I22" s="110"/>
      <c r="J22" s="110"/>
      <c r="K22" s="110"/>
      <c r="L22" s="122" t="s">
        <v>1689</v>
      </c>
    </row>
    <row r="23">
      <c r="A23" s="110">
        <v>15.0</v>
      </c>
      <c r="B23" s="125">
        <v>2.02311008483E11</v>
      </c>
      <c r="C23" s="110" t="s">
        <v>1636</v>
      </c>
      <c r="D23" s="44" t="s">
        <v>1690</v>
      </c>
      <c r="E23" s="17" t="s">
        <v>1691</v>
      </c>
      <c r="F23" s="17" t="s">
        <v>1692</v>
      </c>
      <c r="G23" s="123" t="s">
        <v>1682</v>
      </c>
      <c r="H23" s="123" t="s">
        <v>1688</v>
      </c>
      <c r="I23" s="110"/>
      <c r="J23" s="110"/>
      <c r="K23" s="110"/>
      <c r="L23" s="122" t="s">
        <v>1693</v>
      </c>
    </row>
    <row r="24">
      <c r="A24" s="110">
        <v>16.0</v>
      </c>
      <c r="B24" s="125">
        <v>2.02311008484E11</v>
      </c>
      <c r="C24" s="110" t="s">
        <v>1636</v>
      </c>
      <c r="D24" s="44" t="s">
        <v>1694</v>
      </c>
      <c r="E24" s="17" t="s">
        <v>1695</v>
      </c>
      <c r="F24" s="17" t="s">
        <v>1696</v>
      </c>
      <c r="G24" s="123" t="s">
        <v>1682</v>
      </c>
      <c r="H24" s="123" t="s">
        <v>1688</v>
      </c>
      <c r="I24" s="110"/>
      <c r="J24" s="110"/>
      <c r="K24" s="110"/>
      <c r="L24" s="122" t="s">
        <v>1697</v>
      </c>
    </row>
    <row r="25">
      <c r="A25" s="110">
        <v>17.0</v>
      </c>
      <c r="B25" s="125">
        <v>2.02311008495E11</v>
      </c>
      <c r="C25" s="110" t="s">
        <v>1636</v>
      </c>
      <c r="D25" s="44" t="s">
        <v>1698</v>
      </c>
      <c r="E25" s="17" t="s">
        <v>1699</v>
      </c>
      <c r="F25" s="17" t="s">
        <v>1700</v>
      </c>
      <c r="G25" s="123" t="s">
        <v>1682</v>
      </c>
      <c r="H25" s="123" t="s">
        <v>1688</v>
      </c>
      <c r="I25" s="110"/>
      <c r="J25" s="110"/>
      <c r="K25" s="110"/>
      <c r="L25" s="122" t="s">
        <v>1701</v>
      </c>
    </row>
    <row r="26">
      <c r="A26" s="110">
        <v>18.0</v>
      </c>
      <c r="B26" s="125">
        <v>2.02311008494E11</v>
      </c>
      <c r="C26" s="110" t="s">
        <v>1636</v>
      </c>
      <c r="D26" s="44" t="s">
        <v>1702</v>
      </c>
      <c r="E26" s="17" t="s">
        <v>1703</v>
      </c>
      <c r="F26" s="17" t="s">
        <v>1704</v>
      </c>
      <c r="G26" s="123" t="s">
        <v>1682</v>
      </c>
      <c r="H26" s="126" t="s">
        <v>1705</v>
      </c>
      <c r="I26" s="110"/>
      <c r="J26" s="110"/>
      <c r="K26" s="110"/>
      <c r="L26" s="122" t="s">
        <v>1706</v>
      </c>
    </row>
    <row r="27">
      <c r="A27" s="110">
        <v>19.0</v>
      </c>
      <c r="B27" s="125">
        <v>2.02311008497E11</v>
      </c>
      <c r="C27" s="110" t="s">
        <v>1636</v>
      </c>
      <c r="D27" s="44" t="s">
        <v>1707</v>
      </c>
      <c r="E27" s="17" t="s">
        <v>1708</v>
      </c>
      <c r="F27" s="17" t="s">
        <v>1709</v>
      </c>
      <c r="G27" s="123" t="s">
        <v>1682</v>
      </c>
      <c r="H27" s="126" t="s">
        <v>1705</v>
      </c>
      <c r="I27" s="110"/>
      <c r="J27" s="110"/>
      <c r="K27" s="110"/>
      <c r="L27" s="122" t="s">
        <v>1710</v>
      </c>
    </row>
    <row r="28">
      <c r="A28" s="110">
        <v>20.0</v>
      </c>
      <c r="B28" s="125">
        <v>2.02311008492E11</v>
      </c>
      <c r="C28" s="110" t="s">
        <v>1636</v>
      </c>
      <c r="D28" s="44" t="s">
        <v>1711</v>
      </c>
      <c r="E28" s="17" t="s">
        <v>1712</v>
      </c>
      <c r="F28" s="17" t="s">
        <v>1713</v>
      </c>
      <c r="G28" s="123" t="s">
        <v>1682</v>
      </c>
      <c r="H28" s="126" t="s">
        <v>1705</v>
      </c>
      <c r="I28" s="110"/>
      <c r="J28" s="110"/>
      <c r="K28" s="110"/>
      <c r="L28" s="122" t="s">
        <v>1714</v>
      </c>
    </row>
    <row r="29">
      <c r="A29" s="110">
        <v>21.0</v>
      </c>
      <c r="B29" s="125">
        <v>2.02311008496E11</v>
      </c>
      <c r="C29" s="110" t="s">
        <v>1636</v>
      </c>
      <c r="D29" s="44" t="s">
        <v>1715</v>
      </c>
      <c r="E29" s="17" t="s">
        <v>1716</v>
      </c>
      <c r="F29" s="17" t="s">
        <v>1717</v>
      </c>
      <c r="G29" s="123" t="s">
        <v>1682</v>
      </c>
      <c r="H29" s="126" t="s">
        <v>1688</v>
      </c>
      <c r="I29" s="110"/>
      <c r="J29" s="110"/>
      <c r="K29" s="110"/>
      <c r="L29" s="122" t="s">
        <v>1718</v>
      </c>
    </row>
    <row r="30">
      <c r="A30" s="110">
        <v>22.0</v>
      </c>
      <c r="B30" s="125">
        <v>2.02311008498E11</v>
      </c>
      <c r="C30" s="110" t="s">
        <v>1636</v>
      </c>
      <c r="D30" s="44" t="s">
        <v>1719</v>
      </c>
      <c r="E30" s="17" t="s">
        <v>1720</v>
      </c>
      <c r="F30" s="17" t="s">
        <v>1721</v>
      </c>
      <c r="G30" s="123" t="s">
        <v>1682</v>
      </c>
      <c r="H30" s="126" t="s">
        <v>1683</v>
      </c>
      <c r="I30" s="110"/>
      <c r="J30" s="110"/>
      <c r="K30" s="110"/>
      <c r="L30" s="122" t="s">
        <v>1722</v>
      </c>
    </row>
    <row r="31">
      <c r="A31" s="110">
        <v>23.0</v>
      </c>
      <c r="B31" s="125">
        <v>2.02311008689E11</v>
      </c>
      <c r="C31" s="110" t="s">
        <v>1636</v>
      </c>
      <c r="D31" s="44" t="s">
        <v>1723</v>
      </c>
      <c r="E31" s="17" t="s">
        <v>1724</v>
      </c>
      <c r="F31" s="17" t="s">
        <v>1725</v>
      </c>
      <c r="G31" s="123" t="s">
        <v>1682</v>
      </c>
      <c r="H31" s="126" t="s">
        <v>1688</v>
      </c>
      <c r="I31" s="110"/>
      <c r="J31" s="110"/>
      <c r="K31" s="110"/>
      <c r="L31" s="122" t="s">
        <v>1722</v>
      </c>
    </row>
    <row r="32">
      <c r="A32" s="110">
        <v>24.0</v>
      </c>
      <c r="B32" s="125">
        <v>2.02411003219E11</v>
      </c>
      <c r="C32" s="110" t="s">
        <v>1636</v>
      </c>
      <c r="D32" s="44" t="s">
        <v>1726</v>
      </c>
      <c r="E32" s="17" t="s">
        <v>1727</v>
      </c>
      <c r="F32" s="17" t="s">
        <v>1728</v>
      </c>
      <c r="G32" s="127" t="s">
        <v>879</v>
      </c>
      <c r="H32" s="126" t="s">
        <v>1729</v>
      </c>
      <c r="I32" s="110"/>
      <c r="J32" s="110"/>
      <c r="K32" s="110"/>
      <c r="L32" s="122" t="s">
        <v>1730</v>
      </c>
    </row>
    <row r="33">
      <c r="A33" s="110">
        <v>25.0</v>
      </c>
      <c r="B33" s="17" t="s">
        <v>1731</v>
      </c>
      <c r="C33" s="110" t="s">
        <v>1636</v>
      </c>
      <c r="D33" s="44" t="s">
        <v>1732</v>
      </c>
      <c r="E33" s="17" t="s">
        <v>1733</v>
      </c>
      <c r="F33" s="17" t="s">
        <v>1734</v>
      </c>
      <c r="G33" s="110" t="s">
        <v>1735</v>
      </c>
      <c r="H33" s="126">
        <v>45543.0</v>
      </c>
      <c r="I33" s="110"/>
      <c r="J33" s="110"/>
      <c r="K33" s="110"/>
      <c r="L33" s="122" t="s">
        <v>1736</v>
      </c>
    </row>
  </sheetData>
  <mergeCells count="6">
    <mergeCell ref="A1:K1"/>
    <mergeCell ref="A2:K2"/>
    <mergeCell ref="A3:I3"/>
    <mergeCell ref="J3:K3"/>
    <mergeCell ref="A4:K4"/>
    <mergeCell ref="A7:K7"/>
  </mergeCells>
  <hyperlinks>
    <hyperlink r:id="rId1" ref="L9"/>
    <hyperlink r:id="rId2" ref="L10"/>
    <hyperlink r:id="rId3" ref="L11"/>
    <hyperlink r:id="rId4" ref="L12"/>
    <hyperlink r:id="rId5" ref="L13"/>
    <hyperlink r:id="rId6" ref="L14"/>
    <hyperlink r:id="rId7" ref="L15"/>
    <hyperlink r:id="rId8" ref="L16"/>
    <hyperlink r:id="rId9" ref="L17"/>
    <hyperlink r:id="rId10" ref="L18"/>
    <hyperlink r:id="rId11" ref="L19"/>
    <hyperlink r:id="rId12" ref="L20"/>
    <hyperlink r:id="rId13" ref="L21"/>
    <hyperlink r:id="rId14" ref="L22"/>
    <hyperlink r:id="rId15" ref="L23"/>
    <hyperlink r:id="rId16" ref="L24"/>
    <hyperlink r:id="rId17" ref="L25"/>
    <hyperlink r:id="rId18" ref="L26"/>
    <hyperlink r:id="rId19" ref="L27"/>
    <hyperlink r:id="rId20" ref="L28"/>
    <hyperlink r:id="rId21" ref="L29"/>
    <hyperlink r:id="rId22" ref="L30"/>
    <hyperlink r:id="rId23" ref="L31"/>
    <hyperlink r:id="rId24" ref="L32"/>
    <hyperlink r:id="rId25" ref="L33"/>
  </hyperlinks>
  <drawing r:id="rId2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22.63"/>
    <col customWidth="1" min="3" max="3" width="27.63"/>
    <col customWidth="1" min="5" max="5" width="40.63"/>
  </cols>
  <sheetData>
    <row r="1">
      <c r="A1" s="128" t="s">
        <v>99</v>
      </c>
      <c r="B1" s="3"/>
      <c r="C1" s="3"/>
      <c r="D1" s="3"/>
      <c r="E1" s="5"/>
    </row>
    <row r="2">
      <c r="A2" s="129" t="s">
        <v>1737</v>
      </c>
      <c r="B2" s="3"/>
      <c r="C2" s="3"/>
      <c r="D2" s="3"/>
      <c r="E2" s="5"/>
    </row>
    <row r="3">
      <c r="A3" s="130" t="s">
        <v>1738</v>
      </c>
      <c r="B3" s="131" t="s">
        <v>1739</v>
      </c>
      <c r="C3" s="131" t="s">
        <v>1740</v>
      </c>
      <c r="D3" s="131" t="s">
        <v>1741</v>
      </c>
      <c r="E3" s="131" t="s">
        <v>32</v>
      </c>
    </row>
    <row r="4">
      <c r="A4" s="17">
        <v>1.0</v>
      </c>
      <c r="B4" s="17" t="s">
        <v>1742</v>
      </c>
      <c r="C4" s="70" t="s">
        <v>1743</v>
      </c>
      <c r="D4" s="17">
        <v>7.541806922E9</v>
      </c>
      <c r="E4" s="17" t="s">
        <v>1744</v>
      </c>
    </row>
    <row r="5">
      <c r="A5" s="17">
        <v>2.0</v>
      </c>
      <c r="B5" s="17" t="s">
        <v>1745</v>
      </c>
      <c r="C5" s="17" t="s">
        <v>1746</v>
      </c>
      <c r="D5" s="17">
        <v>9.310250008E9</v>
      </c>
      <c r="E5" s="17" t="s">
        <v>1747</v>
      </c>
    </row>
    <row r="6">
      <c r="A6" s="17">
        <v>3.0</v>
      </c>
      <c r="B6" s="17" t="s">
        <v>1748</v>
      </c>
      <c r="C6" s="17" t="s">
        <v>1749</v>
      </c>
      <c r="D6" s="17">
        <v>9.599890808E9</v>
      </c>
      <c r="E6" s="17" t="s">
        <v>1750</v>
      </c>
    </row>
    <row r="7">
      <c r="A7" s="17">
        <v>4.0</v>
      </c>
      <c r="B7" s="17" t="s">
        <v>1751</v>
      </c>
      <c r="C7" s="17" t="s">
        <v>1752</v>
      </c>
      <c r="D7" s="17">
        <v>8.884651709E9</v>
      </c>
      <c r="E7" s="17" t="s">
        <v>1753</v>
      </c>
    </row>
    <row r="8">
      <c r="A8" s="17">
        <v>5.0</v>
      </c>
      <c r="B8" s="17" t="s">
        <v>1754</v>
      </c>
      <c r="C8" s="17" t="s">
        <v>1755</v>
      </c>
      <c r="D8" s="17">
        <v>9.779246979E9</v>
      </c>
      <c r="E8" s="17" t="s">
        <v>1756</v>
      </c>
    </row>
    <row r="9">
      <c r="A9" s="17">
        <v>6.0</v>
      </c>
      <c r="B9" s="17" t="s">
        <v>1757</v>
      </c>
      <c r="C9" s="17" t="s">
        <v>1758</v>
      </c>
      <c r="D9" s="17">
        <v>8.8513783E9</v>
      </c>
      <c r="E9" s="17" t="s">
        <v>1759</v>
      </c>
    </row>
    <row r="10">
      <c r="A10" s="17">
        <v>7.0</v>
      </c>
      <c r="B10" s="17" t="s">
        <v>1760</v>
      </c>
      <c r="C10" s="17" t="s">
        <v>1761</v>
      </c>
      <c r="D10" s="17">
        <v>8.934866754E9</v>
      </c>
      <c r="E10" s="17" t="s">
        <v>1762</v>
      </c>
    </row>
    <row r="11">
      <c r="A11" s="132">
        <v>8.0</v>
      </c>
      <c r="B11" s="132" t="s">
        <v>1763</v>
      </c>
      <c r="C11" s="132" t="s">
        <v>1764</v>
      </c>
      <c r="D11" s="132">
        <v>9.81805682E9</v>
      </c>
      <c r="E11" s="132" t="s">
        <v>1765</v>
      </c>
    </row>
    <row r="12">
      <c r="A12" s="132">
        <v>9.0</v>
      </c>
      <c r="B12" s="132" t="s">
        <v>1766</v>
      </c>
      <c r="C12" s="132" t="s">
        <v>1767</v>
      </c>
      <c r="D12" s="132">
        <v>9.71850382E9</v>
      </c>
      <c r="E12" s="132" t="s">
        <v>1768</v>
      </c>
    </row>
    <row r="13">
      <c r="A13" s="132">
        <v>10.0</v>
      </c>
      <c r="B13" s="132" t="s">
        <v>1769</v>
      </c>
      <c r="C13" s="132" t="s">
        <v>1770</v>
      </c>
      <c r="D13" s="132">
        <v>9.599936114E9</v>
      </c>
      <c r="E13" s="132" t="s">
        <v>1771</v>
      </c>
    </row>
    <row r="14">
      <c r="A14" s="132">
        <v>11.0</v>
      </c>
      <c r="B14" s="132" t="s">
        <v>1772</v>
      </c>
      <c r="C14" s="132" t="s">
        <v>1773</v>
      </c>
      <c r="D14" s="132">
        <v>9.910043776E9</v>
      </c>
      <c r="E14" s="132" t="s">
        <v>1774</v>
      </c>
    </row>
    <row r="15">
      <c r="A15" s="132">
        <v>12.0</v>
      </c>
      <c r="B15" s="132" t="s">
        <v>1775</v>
      </c>
      <c r="C15" s="132" t="s">
        <v>1776</v>
      </c>
      <c r="D15" s="132">
        <v>9.711350633E9</v>
      </c>
      <c r="E15" s="132" t="s">
        <v>1777</v>
      </c>
    </row>
    <row r="16">
      <c r="A16" s="132">
        <v>13.0</v>
      </c>
      <c r="B16" s="132" t="s">
        <v>1778</v>
      </c>
      <c r="C16" s="132" t="s">
        <v>1779</v>
      </c>
      <c r="D16" s="132">
        <v>9.953359227E9</v>
      </c>
      <c r="E16" s="132" t="s">
        <v>1780</v>
      </c>
    </row>
    <row r="17">
      <c r="A17" s="132">
        <v>14.0</v>
      </c>
      <c r="B17" s="132" t="s">
        <v>1781</v>
      </c>
      <c r="C17" s="132" t="s">
        <v>1782</v>
      </c>
      <c r="D17" s="132">
        <v>9.818658897E9</v>
      </c>
      <c r="E17" s="132" t="s">
        <v>1783</v>
      </c>
    </row>
    <row r="18">
      <c r="A18" s="132">
        <v>15.0</v>
      </c>
      <c r="B18" s="132" t="s">
        <v>1784</v>
      </c>
      <c r="C18" s="132" t="s">
        <v>1785</v>
      </c>
      <c r="D18" s="132">
        <v>9.810228202E9</v>
      </c>
      <c r="E18" s="132" t="s">
        <v>1786</v>
      </c>
    </row>
    <row r="19">
      <c r="A19" s="132">
        <v>16.0</v>
      </c>
      <c r="B19" s="132" t="s">
        <v>1787</v>
      </c>
      <c r="C19" s="132" t="s">
        <v>1788</v>
      </c>
      <c r="D19" s="132">
        <v>9.811593059E9</v>
      </c>
      <c r="E19" s="132" t="s">
        <v>1789</v>
      </c>
    </row>
    <row r="20">
      <c r="A20" s="132">
        <v>17.0</v>
      </c>
      <c r="B20" s="132" t="s">
        <v>1790</v>
      </c>
      <c r="C20" s="132" t="s">
        <v>1791</v>
      </c>
      <c r="D20" s="132">
        <v>9.910627125E9</v>
      </c>
      <c r="E20" s="132" t="s">
        <v>1792</v>
      </c>
    </row>
    <row r="21">
      <c r="A21" s="132">
        <v>18.0</v>
      </c>
      <c r="B21" s="132" t="s">
        <v>1793</v>
      </c>
      <c r="C21" s="132" t="s">
        <v>1794</v>
      </c>
      <c r="D21" s="132">
        <v>9.667571908E9</v>
      </c>
      <c r="E21" s="132" t="s">
        <v>1795</v>
      </c>
    </row>
    <row r="22">
      <c r="A22" s="132">
        <v>19.0</v>
      </c>
      <c r="B22" s="132" t="s">
        <v>1796</v>
      </c>
      <c r="C22" s="132" t="s">
        <v>1797</v>
      </c>
      <c r="D22" s="132">
        <v>8.800553121E9</v>
      </c>
      <c r="E22" s="132" t="s">
        <v>1798</v>
      </c>
    </row>
    <row r="23">
      <c r="A23" s="132">
        <v>20.0</v>
      </c>
      <c r="B23" s="132" t="s">
        <v>1799</v>
      </c>
      <c r="C23" s="132" t="s">
        <v>1800</v>
      </c>
      <c r="D23" s="132">
        <v>9.412406285E9</v>
      </c>
      <c r="E23" s="132"/>
    </row>
    <row r="24">
      <c r="A24" s="132">
        <v>21.0</v>
      </c>
      <c r="B24" s="132" t="s">
        <v>1801</v>
      </c>
      <c r="C24" s="132" t="s">
        <v>1802</v>
      </c>
      <c r="D24" s="132">
        <v>9.718511462E9</v>
      </c>
      <c r="E24" s="132" t="s">
        <v>1803</v>
      </c>
    </row>
    <row r="25">
      <c r="A25" s="132">
        <v>22.0</v>
      </c>
      <c r="B25" s="132" t="s">
        <v>1804</v>
      </c>
      <c r="C25" s="132" t="s">
        <v>1805</v>
      </c>
      <c r="D25" s="132">
        <v>9.871213721E9</v>
      </c>
      <c r="E25" s="133" t="s">
        <v>1806</v>
      </c>
    </row>
    <row r="26">
      <c r="A26" s="132">
        <v>23.0</v>
      </c>
      <c r="B26" s="132" t="s">
        <v>1807</v>
      </c>
      <c r="C26" s="132" t="s">
        <v>1808</v>
      </c>
      <c r="D26" s="132"/>
      <c r="E26" s="133" t="s">
        <v>1809</v>
      </c>
    </row>
    <row r="27">
      <c r="A27" s="132">
        <v>24.0</v>
      </c>
      <c r="B27" s="132" t="s">
        <v>1810</v>
      </c>
      <c r="C27" s="132" t="s">
        <v>1811</v>
      </c>
      <c r="D27" s="132">
        <v>8.826895147E9</v>
      </c>
      <c r="E27" s="133" t="s">
        <v>1812</v>
      </c>
    </row>
    <row r="28">
      <c r="A28" s="132">
        <v>25.0</v>
      </c>
      <c r="B28" s="132" t="s">
        <v>1813</v>
      </c>
      <c r="C28" s="132" t="s">
        <v>1814</v>
      </c>
      <c r="D28" s="132">
        <v>9.810228202E9</v>
      </c>
      <c r="E28" s="132" t="s">
        <v>1786</v>
      </c>
    </row>
    <row r="29">
      <c r="A29" s="132">
        <v>26.0</v>
      </c>
      <c r="B29" s="132" t="s">
        <v>1815</v>
      </c>
      <c r="C29" s="132" t="s">
        <v>1816</v>
      </c>
      <c r="D29" s="132">
        <v>9.818658897E9</v>
      </c>
      <c r="E29" s="132" t="s">
        <v>1783</v>
      </c>
    </row>
    <row r="30">
      <c r="A30" s="132">
        <v>27.0</v>
      </c>
      <c r="B30" s="132" t="s">
        <v>1817</v>
      </c>
      <c r="C30" s="132" t="s">
        <v>1818</v>
      </c>
      <c r="D30" s="132">
        <v>9.811593059E9</v>
      </c>
      <c r="E30" s="132" t="s">
        <v>1789</v>
      </c>
    </row>
    <row r="31">
      <c r="A31" s="132">
        <v>28.0</v>
      </c>
      <c r="B31" s="132" t="s">
        <v>1819</v>
      </c>
      <c r="C31" s="132" t="s">
        <v>1820</v>
      </c>
      <c r="D31" s="132">
        <v>8.58882645E9</v>
      </c>
      <c r="E31" s="133" t="s">
        <v>1821</v>
      </c>
    </row>
    <row r="32">
      <c r="A32" s="132">
        <v>29.0</v>
      </c>
      <c r="B32" s="132" t="s">
        <v>1822</v>
      </c>
      <c r="C32" s="132" t="s">
        <v>1823</v>
      </c>
      <c r="D32" s="132">
        <v>8.449518514E9</v>
      </c>
      <c r="E32" s="133" t="s">
        <v>1824</v>
      </c>
    </row>
    <row r="33">
      <c r="A33" s="132">
        <v>30.0</v>
      </c>
      <c r="B33" s="132" t="s">
        <v>1825</v>
      </c>
      <c r="C33" s="132" t="s">
        <v>1826</v>
      </c>
      <c r="D33" s="132"/>
      <c r="E33" s="133" t="s">
        <v>1827</v>
      </c>
    </row>
    <row r="34">
      <c r="A34" s="132">
        <v>31.0</v>
      </c>
      <c r="B34" s="132" t="s">
        <v>1828</v>
      </c>
      <c r="C34" s="132" t="s">
        <v>1829</v>
      </c>
      <c r="D34" s="132">
        <v>9.993155575E9</v>
      </c>
      <c r="E34" s="133" t="s">
        <v>1830</v>
      </c>
    </row>
    <row r="35">
      <c r="A35" s="132">
        <v>32.0</v>
      </c>
      <c r="B35" s="132" t="s">
        <v>1831</v>
      </c>
      <c r="C35" s="132" t="s">
        <v>1832</v>
      </c>
      <c r="D35" s="132">
        <v>9.818346488E9</v>
      </c>
      <c r="E35" s="133" t="s">
        <v>197</v>
      </c>
    </row>
    <row r="36">
      <c r="A36" s="132">
        <v>33.0</v>
      </c>
      <c r="B36" s="132" t="s">
        <v>1775</v>
      </c>
      <c r="C36" s="132" t="s">
        <v>1833</v>
      </c>
      <c r="D36" s="132">
        <v>9.711350633E9</v>
      </c>
      <c r="E36" s="133" t="s">
        <v>1777</v>
      </c>
    </row>
    <row r="37">
      <c r="A37" s="132">
        <v>34.0</v>
      </c>
      <c r="B37" s="132" t="s">
        <v>1834</v>
      </c>
      <c r="C37" s="132" t="s">
        <v>1835</v>
      </c>
      <c r="D37" s="132">
        <v>9.873334247E9</v>
      </c>
      <c r="E37" s="133" t="s">
        <v>1836</v>
      </c>
    </row>
    <row r="38">
      <c r="A38" s="132">
        <v>35.0</v>
      </c>
      <c r="B38" s="132" t="s">
        <v>1837</v>
      </c>
      <c r="C38" s="132" t="s">
        <v>1838</v>
      </c>
      <c r="D38" s="134">
        <v>9.798748999E9</v>
      </c>
      <c r="E38" s="133" t="s">
        <v>1839</v>
      </c>
    </row>
    <row r="39">
      <c r="A39" s="132">
        <v>36.0</v>
      </c>
      <c r="B39" s="132" t="s">
        <v>1840</v>
      </c>
      <c r="C39" s="132" t="s">
        <v>1841</v>
      </c>
      <c r="D39" s="132">
        <v>7.251000008E9</v>
      </c>
      <c r="E39" s="133" t="s">
        <v>59</v>
      </c>
    </row>
    <row r="40">
      <c r="A40" s="132">
        <v>37.0</v>
      </c>
      <c r="B40" s="132" t="s">
        <v>1842</v>
      </c>
      <c r="C40" s="132" t="s">
        <v>1843</v>
      </c>
      <c r="D40" s="132">
        <v>8.07699515E9</v>
      </c>
      <c r="E40" s="133" t="s">
        <v>1844</v>
      </c>
    </row>
    <row r="41">
      <c r="A41" s="132">
        <v>38.0</v>
      </c>
      <c r="B41" s="132" t="s">
        <v>1845</v>
      </c>
      <c r="C41" s="132" t="s">
        <v>1846</v>
      </c>
      <c r="D41" s="132">
        <v>8.004797615E9</v>
      </c>
      <c r="E41" s="133" t="s">
        <v>1847</v>
      </c>
    </row>
    <row r="42">
      <c r="A42" s="132">
        <v>39.0</v>
      </c>
      <c r="B42" s="132" t="s">
        <v>1848</v>
      </c>
      <c r="C42" s="132" t="s">
        <v>1849</v>
      </c>
      <c r="D42" s="132">
        <v>9.953629956E9</v>
      </c>
      <c r="E42" s="132"/>
    </row>
    <row r="43">
      <c r="A43" s="132">
        <v>40.0</v>
      </c>
      <c r="B43" s="132" t="s">
        <v>871</v>
      </c>
      <c r="C43" s="132" t="s">
        <v>1850</v>
      </c>
      <c r="D43" s="132">
        <v>8.527745522E9</v>
      </c>
      <c r="E43" s="133" t="s">
        <v>1851</v>
      </c>
    </row>
    <row r="44">
      <c r="A44" s="132">
        <v>41.0</v>
      </c>
      <c r="B44" s="132" t="s">
        <v>1852</v>
      </c>
      <c r="C44" s="132" t="s">
        <v>1853</v>
      </c>
      <c r="D44" s="132">
        <v>9.532476087E9</v>
      </c>
      <c r="E44" s="132"/>
    </row>
    <row r="45">
      <c r="A45" s="132">
        <v>42.0</v>
      </c>
      <c r="B45" s="132" t="s">
        <v>279</v>
      </c>
      <c r="C45" s="132" t="s">
        <v>1854</v>
      </c>
      <c r="D45" s="132">
        <v>9.66737393E9</v>
      </c>
      <c r="E45" s="133" t="s">
        <v>59</v>
      </c>
    </row>
    <row r="46">
      <c r="A46" s="132">
        <v>43.0</v>
      </c>
      <c r="B46" s="132" t="s">
        <v>1855</v>
      </c>
      <c r="C46" s="132" t="s">
        <v>1856</v>
      </c>
      <c r="D46" s="132">
        <v>7.065489757E9</v>
      </c>
      <c r="E46" s="133" t="s">
        <v>1857</v>
      </c>
    </row>
    <row r="47">
      <c r="A47" s="132">
        <v>44.0</v>
      </c>
      <c r="B47" s="132" t="s">
        <v>1858</v>
      </c>
      <c r="C47" s="132" t="s">
        <v>1859</v>
      </c>
      <c r="D47" s="132">
        <v>9.999403939E9</v>
      </c>
      <c r="E47" s="133" t="s">
        <v>1860</v>
      </c>
    </row>
    <row r="48">
      <c r="A48" s="132">
        <v>45.0</v>
      </c>
      <c r="B48" s="132" t="s">
        <v>1861</v>
      </c>
      <c r="C48" s="132" t="s">
        <v>1862</v>
      </c>
      <c r="D48" s="132">
        <v>8.287291277E9</v>
      </c>
      <c r="E48" s="133" t="s">
        <v>1863</v>
      </c>
    </row>
  </sheetData>
  <mergeCells count="2">
    <mergeCell ref="A1:E1"/>
    <mergeCell ref="A2:E2"/>
  </mergeCells>
  <hyperlinks>
    <hyperlink r:id="rId1" ref="E25"/>
    <hyperlink r:id="rId2" ref="E26"/>
    <hyperlink r:id="rId3" ref="E27"/>
    <hyperlink r:id="rId4" ref="E31"/>
    <hyperlink r:id="rId5" ref="E32"/>
    <hyperlink r:id="rId6" ref="E33"/>
    <hyperlink r:id="rId7" ref="E34"/>
    <hyperlink r:id="rId8" ref="E35"/>
    <hyperlink r:id="rId9" ref="E36"/>
    <hyperlink r:id="rId10" ref="E37"/>
    <hyperlink r:id="rId11" ref="E38"/>
    <hyperlink r:id="rId12" ref="E39"/>
    <hyperlink r:id="rId13" ref="E40"/>
    <hyperlink r:id="rId14" ref="E41"/>
    <hyperlink r:id="rId15" ref="E43"/>
    <hyperlink r:id="rId16" ref="E45"/>
    <hyperlink r:id="rId17" ref="E46"/>
    <hyperlink r:id="rId18" ref="E47"/>
    <hyperlink r:id="rId19" ref="E48"/>
  </hyperlinks>
  <drawing r:id="rId2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21.38"/>
    <col customWidth="1" min="3" max="3" width="24.75"/>
    <col customWidth="1" min="5" max="5" width="34.38"/>
    <col customWidth="1" min="6" max="6" width="22.13"/>
    <col customWidth="1" min="7" max="7" width="27.38"/>
    <col customWidth="1" min="8" max="8" width="36.88"/>
    <col customWidth="1" min="9" max="9" width="22.13"/>
  </cols>
  <sheetData>
    <row r="1">
      <c r="A1" s="135" t="s">
        <v>510</v>
      </c>
      <c r="B1" s="135" t="s">
        <v>511</v>
      </c>
      <c r="C1" s="135" t="s">
        <v>512</v>
      </c>
      <c r="D1" s="135" t="s">
        <v>515</v>
      </c>
      <c r="E1" s="135" t="s">
        <v>1864</v>
      </c>
      <c r="F1" s="135" t="s">
        <v>1865</v>
      </c>
      <c r="G1" s="135" t="s">
        <v>516</v>
      </c>
      <c r="H1" s="135" t="s">
        <v>517</v>
      </c>
      <c r="I1" s="135" t="s">
        <v>265</v>
      </c>
    </row>
    <row r="2">
      <c r="A2" s="136" t="s">
        <v>1866</v>
      </c>
      <c r="B2" s="136" t="s">
        <v>533</v>
      </c>
      <c r="C2" s="136" t="s">
        <v>622</v>
      </c>
      <c r="D2" s="136" t="s">
        <v>1867</v>
      </c>
      <c r="E2" s="136" t="s">
        <v>1868</v>
      </c>
      <c r="F2" s="137" t="s">
        <v>1869</v>
      </c>
      <c r="G2" s="136" t="s">
        <v>681</v>
      </c>
      <c r="H2" s="136" t="s">
        <v>1870</v>
      </c>
      <c r="I2" s="136">
        <v>7.905523279E9</v>
      </c>
    </row>
    <row r="3">
      <c r="A3" s="136" t="s">
        <v>1871</v>
      </c>
      <c r="B3" s="136" t="s">
        <v>533</v>
      </c>
      <c r="C3" s="136" t="s">
        <v>804</v>
      </c>
      <c r="D3" s="136" t="s">
        <v>1305</v>
      </c>
      <c r="E3" s="136" t="s">
        <v>1872</v>
      </c>
      <c r="F3" s="137" t="s">
        <v>1873</v>
      </c>
      <c r="G3" s="136" t="s">
        <v>625</v>
      </c>
      <c r="H3" s="136" t="s">
        <v>1307</v>
      </c>
      <c r="I3" s="136">
        <v>9.721220077E9</v>
      </c>
    </row>
    <row r="4">
      <c r="A4" s="136" t="s">
        <v>1874</v>
      </c>
      <c r="B4" s="136" t="s">
        <v>533</v>
      </c>
      <c r="C4" s="136" t="s">
        <v>622</v>
      </c>
      <c r="D4" s="136" t="s">
        <v>1875</v>
      </c>
      <c r="E4" s="136" t="s">
        <v>1876</v>
      </c>
      <c r="F4" s="137" t="s">
        <v>1877</v>
      </c>
      <c r="G4" s="136" t="s">
        <v>681</v>
      </c>
      <c r="H4" s="136" t="s">
        <v>1878</v>
      </c>
      <c r="I4" s="136">
        <v>8.972960066E9</v>
      </c>
    </row>
    <row r="5">
      <c r="A5" s="136" t="s">
        <v>1879</v>
      </c>
      <c r="B5" s="136" t="s">
        <v>533</v>
      </c>
      <c r="C5" s="136" t="s">
        <v>622</v>
      </c>
      <c r="D5" s="136" t="s">
        <v>1880</v>
      </c>
      <c r="E5" s="136" t="s">
        <v>1872</v>
      </c>
      <c r="F5" s="137" t="s">
        <v>1881</v>
      </c>
      <c r="G5" s="136" t="s">
        <v>625</v>
      </c>
      <c r="H5" s="136" t="s">
        <v>1882</v>
      </c>
      <c r="I5" s="136">
        <v>9.653002688E9</v>
      </c>
    </row>
    <row r="6">
      <c r="A6" s="136" t="s">
        <v>1883</v>
      </c>
      <c r="B6" s="136" t="s">
        <v>533</v>
      </c>
      <c r="C6" s="136" t="s">
        <v>622</v>
      </c>
      <c r="D6" s="136" t="s">
        <v>1880</v>
      </c>
      <c r="E6" s="136" t="s">
        <v>1876</v>
      </c>
      <c r="F6" s="137" t="s">
        <v>1884</v>
      </c>
      <c r="G6" s="136" t="s">
        <v>625</v>
      </c>
      <c r="H6" s="136" t="s">
        <v>1882</v>
      </c>
      <c r="I6" s="136">
        <v>9.653002688E9</v>
      </c>
    </row>
    <row r="7">
      <c r="A7" s="136" t="s">
        <v>1885</v>
      </c>
      <c r="B7" s="136" t="s">
        <v>1125</v>
      </c>
      <c r="C7" s="136" t="s">
        <v>1886</v>
      </c>
      <c r="D7" s="136" t="s">
        <v>1887</v>
      </c>
      <c r="E7" s="136" t="s">
        <v>1872</v>
      </c>
      <c r="F7" s="137" t="s">
        <v>1888</v>
      </c>
      <c r="G7" s="136" t="s">
        <v>681</v>
      </c>
      <c r="H7" s="136" t="s">
        <v>1889</v>
      </c>
      <c r="I7" s="136">
        <v>9.760184159E9</v>
      </c>
    </row>
    <row r="8">
      <c r="A8" s="136" t="s">
        <v>1890</v>
      </c>
      <c r="B8" s="136" t="s">
        <v>1125</v>
      </c>
      <c r="C8" s="136" t="s">
        <v>1891</v>
      </c>
      <c r="D8" s="136" t="s">
        <v>1892</v>
      </c>
      <c r="E8" s="136" t="s">
        <v>1872</v>
      </c>
      <c r="F8" s="137" t="s">
        <v>1893</v>
      </c>
      <c r="G8" s="136" t="s">
        <v>681</v>
      </c>
      <c r="H8" s="136" t="s">
        <v>1894</v>
      </c>
      <c r="I8" s="136">
        <v>7.078445166E9</v>
      </c>
    </row>
    <row r="9">
      <c r="A9" s="136" t="s">
        <v>1895</v>
      </c>
      <c r="B9" s="136" t="s">
        <v>533</v>
      </c>
      <c r="C9" s="136" t="s">
        <v>804</v>
      </c>
      <c r="D9" s="136" t="s">
        <v>1896</v>
      </c>
      <c r="E9" s="136" t="s">
        <v>1868</v>
      </c>
      <c r="F9" s="137" t="s">
        <v>1897</v>
      </c>
      <c r="G9" s="136" t="s">
        <v>681</v>
      </c>
      <c r="H9" s="136" t="s">
        <v>1898</v>
      </c>
      <c r="I9" s="136">
        <v>7.897037978E9</v>
      </c>
    </row>
    <row r="10">
      <c r="A10" s="136" t="s">
        <v>1899</v>
      </c>
      <c r="B10" s="136" t="s">
        <v>533</v>
      </c>
      <c r="C10" s="136" t="s">
        <v>622</v>
      </c>
      <c r="D10" s="136" t="s">
        <v>1900</v>
      </c>
      <c r="E10" s="136" t="s">
        <v>1876</v>
      </c>
      <c r="F10" s="137" t="s">
        <v>1901</v>
      </c>
      <c r="G10" s="136" t="s">
        <v>681</v>
      </c>
      <c r="H10" s="136" t="s">
        <v>1902</v>
      </c>
      <c r="I10" s="136">
        <v>9.654905059E9</v>
      </c>
    </row>
    <row r="11">
      <c r="A11" s="136" t="s">
        <v>1903</v>
      </c>
      <c r="B11" s="136" t="s">
        <v>533</v>
      </c>
      <c r="C11" s="136" t="s">
        <v>622</v>
      </c>
      <c r="D11" s="136" t="s">
        <v>302</v>
      </c>
      <c r="E11" s="136" t="s">
        <v>1904</v>
      </c>
      <c r="F11" s="137" t="s">
        <v>1905</v>
      </c>
      <c r="G11" s="136" t="s">
        <v>625</v>
      </c>
      <c r="H11" s="136" t="s">
        <v>1906</v>
      </c>
      <c r="I11" s="136">
        <v>9.910278711E9</v>
      </c>
    </row>
    <row r="12">
      <c r="A12" s="136" t="s">
        <v>1907</v>
      </c>
      <c r="B12" s="136" t="s">
        <v>533</v>
      </c>
      <c r="C12" s="136" t="s">
        <v>1908</v>
      </c>
      <c r="D12" s="136" t="s">
        <v>1909</v>
      </c>
      <c r="E12" s="136" t="s">
        <v>1868</v>
      </c>
      <c r="F12" s="137" t="s">
        <v>1910</v>
      </c>
      <c r="G12" s="136" t="s">
        <v>681</v>
      </c>
      <c r="H12" s="136" t="s">
        <v>1911</v>
      </c>
      <c r="I12" s="136">
        <v>8.601716072E9</v>
      </c>
    </row>
    <row r="13">
      <c r="A13" s="136" t="s">
        <v>1912</v>
      </c>
      <c r="B13" s="136" t="s">
        <v>533</v>
      </c>
      <c r="C13" s="136" t="s">
        <v>622</v>
      </c>
      <c r="D13" s="136" t="s">
        <v>1913</v>
      </c>
      <c r="E13" s="136" t="s">
        <v>1868</v>
      </c>
      <c r="F13" s="137" t="s">
        <v>1914</v>
      </c>
      <c r="G13" s="136" t="s">
        <v>625</v>
      </c>
      <c r="H13" s="136" t="s">
        <v>1915</v>
      </c>
      <c r="I13" s="136">
        <v>9.911837123E9</v>
      </c>
    </row>
    <row r="14">
      <c r="A14" s="136" t="s">
        <v>1916</v>
      </c>
      <c r="B14" s="136" t="s">
        <v>1917</v>
      </c>
      <c r="C14" s="136" t="s">
        <v>1918</v>
      </c>
      <c r="D14" s="136" t="s">
        <v>1919</v>
      </c>
      <c r="E14" s="136" t="s">
        <v>1868</v>
      </c>
      <c r="F14" s="137" t="s">
        <v>1920</v>
      </c>
      <c r="G14" s="136" t="s">
        <v>625</v>
      </c>
      <c r="H14" s="136" t="s">
        <v>1921</v>
      </c>
      <c r="I14" s="136">
        <v>9.009152385E9</v>
      </c>
    </row>
    <row r="15">
      <c r="A15" s="136" t="s">
        <v>1922</v>
      </c>
      <c r="B15" s="136" t="s">
        <v>826</v>
      </c>
      <c r="C15" s="136" t="s">
        <v>1457</v>
      </c>
      <c r="D15" s="136" t="s">
        <v>1923</v>
      </c>
      <c r="E15" s="136" t="s">
        <v>1904</v>
      </c>
      <c r="F15" s="137" t="s">
        <v>1924</v>
      </c>
      <c r="G15" s="136" t="s">
        <v>681</v>
      </c>
      <c r="H15" s="136" t="s">
        <v>1925</v>
      </c>
      <c r="I15" s="136">
        <v>9.318343864E9</v>
      </c>
    </row>
    <row r="16">
      <c r="A16" s="136" t="s">
        <v>1926</v>
      </c>
      <c r="B16" s="136" t="s">
        <v>533</v>
      </c>
      <c r="C16" s="136" t="s">
        <v>622</v>
      </c>
      <c r="D16" s="136" t="s">
        <v>1927</v>
      </c>
      <c r="E16" s="136" t="s">
        <v>1868</v>
      </c>
      <c r="F16" s="137" t="s">
        <v>1928</v>
      </c>
      <c r="G16" s="136" t="s">
        <v>681</v>
      </c>
      <c r="H16" s="136" t="s">
        <v>1929</v>
      </c>
      <c r="I16" s="136">
        <v>8.954552399E9</v>
      </c>
    </row>
    <row r="17">
      <c r="A17" s="136" t="s">
        <v>1930</v>
      </c>
      <c r="B17" s="136" t="s">
        <v>533</v>
      </c>
      <c r="C17" s="136" t="s">
        <v>622</v>
      </c>
      <c r="D17" s="136" t="s">
        <v>1931</v>
      </c>
      <c r="E17" s="136" t="s">
        <v>1868</v>
      </c>
      <c r="F17" s="137" t="s">
        <v>1932</v>
      </c>
      <c r="G17" s="136" t="s">
        <v>681</v>
      </c>
      <c r="H17" s="136" t="s">
        <v>1933</v>
      </c>
      <c r="I17" s="136">
        <v>8.791704601E9</v>
      </c>
    </row>
    <row r="18">
      <c r="A18" s="136" t="s">
        <v>1934</v>
      </c>
      <c r="B18" s="136" t="s">
        <v>533</v>
      </c>
      <c r="C18" s="136" t="s">
        <v>622</v>
      </c>
      <c r="D18" s="136" t="s">
        <v>1935</v>
      </c>
      <c r="E18" s="136" t="s">
        <v>1868</v>
      </c>
      <c r="F18" s="137" t="s">
        <v>1936</v>
      </c>
      <c r="G18" s="136" t="s">
        <v>681</v>
      </c>
      <c r="H18" s="136" t="s">
        <v>1937</v>
      </c>
      <c r="I18" s="136">
        <v>8.102907336E9</v>
      </c>
    </row>
    <row r="19">
      <c r="A19" s="136" t="s">
        <v>1938</v>
      </c>
      <c r="B19" s="136" t="s">
        <v>533</v>
      </c>
      <c r="C19" s="136" t="s">
        <v>622</v>
      </c>
      <c r="D19" s="136" t="s">
        <v>1939</v>
      </c>
      <c r="E19" s="136" t="s">
        <v>1868</v>
      </c>
      <c r="F19" s="137" t="s">
        <v>1940</v>
      </c>
      <c r="G19" s="136" t="s">
        <v>681</v>
      </c>
      <c r="H19" s="136" t="s">
        <v>1941</v>
      </c>
      <c r="I19" s="136">
        <v>8.299162088E9</v>
      </c>
    </row>
    <row r="20">
      <c r="A20" s="136" t="s">
        <v>1942</v>
      </c>
      <c r="B20" s="136" t="s">
        <v>533</v>
      </c>
      <c r="C20" s="136" t="s">
        <v>804</v>
      </c>
      <c r="D20" s="136" t="s">
        <v>1273</v>
      </c>
      <c r="E20" s="136" t="s">
        <v>1868</v>
      </c>
      <c r="F20" s="137" t="s">
        <v>1943</v>
      </c>
      <c r="G20" s="136" t="s">
        <v>536</v>
      </c>
      <c r="H20" s="136" t="s">
        <v>1275</v>
      </c>
      <c r="I20" s="136">
        <v>7.017180843E9</v>
      </c>
    </row>
    <row r="21">
      <c r="A21" s="136" t="s">
        <v>1944</v>
      </c>
      <c r="B21" s="136" t="s">
        <v>533</v>
      </c>
      <c r="C21" s="136" t="s">
        <v>1945</v>
      </c>
      <c r="D21" s="136" t="s">
        <v>1946</v>
      </c>
      <c r="E21" s="136" t="s">
        <v>1904</v>
      </c>
      <c r="F21" s="137" t="s">
        <v>1947</v>
      </c>
      <c r="G21" s="136" t="s">
        <v>625</v>
      </c>
      <c r="H21" s="136" t="s">
        <v>1948</v>
      </c>
      <c r="I21" s="136">
        <v>8.736073563E9</v>
      </c>
    </row>
    <row r="22">
      <c r="A22" s="136" t="s">
        <v>1949</v>
      </c>
      <c r="B22" s="136" t="s">
        <v>1125</v>
      </c>
      <c r="C22" s="136" t="s">
        <v>1126</v>
      </c>
      <c r="D22" s="136" t="s">
        <v>1129</v>
      </c>
      <c r="E22" s="136" t="s">
        <v>1904</v>
      </c>
      <c r="F22" s="137" t="s">
        <v>1950</v>
      </c>
      <c r="G22" s="136" t="s">
        <v>536</v>
      </c>
      <c r="H22" s="136" t="s">
        <v>1130</v>
      </c>
      <c r="I22" s="136">
        <v>9.878353939E9</v>
      </c>
    </row>
    <row r="23">
      <c r="A23" s="136" t="s">
        <v>1951</v>
      </c>
      <c r="B23" s="136" t="s">
        <v>1125</v>
      </c>
      <c r="C23" s="136" t="s">
        <v>1126</v>
      </c>
      <c r="D23" s="136" t="s">
        <v>1129</v>
      </c>
      <c r="E23" s="136" t="s">
        <v>1904</v>
      </c>
      <c r="F23" s="137" t="s">
        <v>1952</v>
      </c>
      <c r="G23" s="136" t="s">
        <v>536</v>
      </c>
      <c r="H23" s="136" t="s">
        <v>1130</v>
      </c>
      <c r="I23" s="136">
        <v>9.878353939E9</v>
      </c>
    </row>
    <row r="24">
      <c r="A24" s="136" t="s">
        <v>1953</v>
      </c>
      <c r="B24" s="136" t="s">
        <v>1170</v>
      </c>
      <c r="C24" s="136" t="s">
        <v>1954</v>
      </c>
      <c r="D24" s="136" t="s">
        <v>1955</v>
      </c>
      <c r="E24" s="136" t="s">
        <v>1876</v>
      </c>
      <c r="F24" s="137" t="s">
        <v>1956</v>
      </c>
      <c r="G24" s="136" t="s">
        <v>681</v>
      </c>
      <c r="H24" s="136" t="s">
        <v>1957</v>
      </c>
      <c r="I24" s="136">
        <v>8.757847667E9</v>
      </c>
    </row>
    <row r="25">
      <c r="A25" s="136" t="s">
        <v>1958</v>
      </c>
      <c r="B25" s="136" t="s">
        <v>1125</v>
      </c>
      <c r="C25" s="136" t="s">
        <v>1126</v>
      </c>
      <c r="D25" s="136" t="s">
        <v>1959</v>
      </c>
      <c r="E25" s="136" t="s">
        <v>1904</v>
      </c>
      <c r="F25" s="137" t="s">
        <v>1960</v>
      </c>
      <c r="G25" s="136" t="s">
        <v>681</v>
      </c>
      <c r="H25" s="136" t="s">
        <v>1961</v>
      </c>
      <c r="I25" s="136">
        <v>7.617631786E9</v>
      </c>
    </row>
    <row r="26">
      <c r="A26" s="136" t="s">
        <v>1962</v>
      </c>
      <c r="B26" s="136" t="s">
        <v>1125</v>
      </c>
      <c r="C26" s="136" t="s">
        <v>1126</v>
      </c>
      <c r="D26" s="136" t="s">
        <v>1963</v>
      </c>
      <c r="E26" s="136" t="s">
        <v>1872</v>
      </c>
      <c r="F26" s="137" t="s">
        <v>1964</v>
      </c>
      <c r="G26" s="136" t="s">
        <v>681</v>
      </c>
      <c r="H26" s="136" t="s">
        <v>1965</v>
      </c>
      <c r="I26" s="136">
        <v>9.105523413E9</v>
      </c>
    </row>
    <row r="27">
      <c r="A27" s="136" t="s">
        <v>1966</v>
      </c>
      <c r="B27" s="136" t="s">
        <v>1125</v>
      </c>
      <c r="C27" s="136" t="s">
        <v>1886</v>
      </c>
      <c r="D27" s="136" t="s">
        <v>1887</v>
      </c>
      <c r="E27" s="136" t="s">
        <v>1868</v>
      </c>
      <c r="F27" s="137" t="s">
        <v>1967</v>
      </c>
      <c r="G27" s="136" t="s">
        <v>681</v>
      </c>
      <c r="H27" s="136" t="s">
        <v>1889</v>
      </c>
      <c r="I27" s="136">
        <v>9.760184159E9</v>
      </c>
    </row>
    <row r="28">
      <c r="A28" s="136" t="s">
        <v>1968</v>
      </c>
      <c r="B28" s="136" t="s">
        <v>533</v>
      </c>
      <c r="C28" s="136" t="s">
        <v>622</v>
      </c>
      <c r="D28" s="136" t="s">
        <v>401</v>
      </c>
      <c r="E28" s="136" t="s">
        <v>1868</v>
      </c>
      <c r="F28" s="137" t="s">
        <v>1969</v>
      </c>
      <c r="G28" s="136" t="s">
        <v>681</v>
      </c>
      <c r="H28" s="136" t="s">
        <v>1970</v>
      </c>
      <c r="I28" s="136">
        <v>7.654025369E9</v>
      </c>
    </row>
    <row r="29">
      <c r="A29" s="136" t="s">
        <v>1971</v>
      </c>
      <c r="B29" s="136" t="s">
        <v>1125</v>
      </c>
      <c r="C29" s="136" t="s">
        <v>1972</v>
      </c>
      <c r="D29" s="136" t="s">
        <v>1973</v>
      </c>
      <c r="E29" s="136" t="s">
        <v>1872</v>
      </c>
      <c r="F29" s="137" t="s">
        <v>1974</v>
      </c>
      <c r="G29" s="136" t="s">
        <v>681</v>
      </c>
      <c r="H29" s="136" t="s">
        <v>1975</v>
      </c>
      <c r="I29" s="136">
        <v>7.248142063E9</v>
      </c>
    </row>
    <row r="30">
      <c r="A30" s="136" t="s">
        <v>1976</v>
      </c>
      <c r="B30" s="136" t="s">
        <v>533</v>
      </c>
      <c r="C30" s="136" t="s">
        <v>622</v>
      </c>
      <c r="D30" s="136" t="s">
        <v>555</v>
      </c>
      <c r="E30" s="136" t="s">
        <v>1868</v>
      </c>
      <c r="F30" s="137" t="s">
        <v>1977</v>
      </c>
      <c r="G30" s="136" t="s">
        <v>681</v>
      </c>
      <c r="H30" s="136" t="s">
        <v>1978</v>
      </c>
      <c r="I30" s="136">
        <v>9.69353731E9</v>
      </c>
    </row>
    <row r="31">
      <c r="A31" s="136" t="s">
        <v>1979</v>
      </c>
      <c r="B31" s="136" t="s">
        <v>533</v>
      </c>
      <c r="C31" s="136" t="s">
        <v>804</v>
      </c>
      <c r="D31" s="136" t="s">
        <v>1980</v>
      </c>
      <c r="E31" s="136" t="s">
        <v>1868</v>
      </c>
      <c r="F31" s="137" t="s">
        <v>1981</v>
      </c>
      <c r="G31" s="136" t="s">
        <v>536</v>
      </c>
      <c r="H31" s="136" t="s">
        <v>1065</v>
      </c>
      <c r="I31" s="136">
        <v>8.299702146E9</v>
      </c>
    </row>
    <row r="32">
      <c r="A32" s="136" t="s">
        <v>1982</v>
      </c>
      <c r="B32" s="136" t="s">
        <v>533</v>
      </c>
      <c r="C32" s="136" t="s">
        <v>1983</v>
      </c>
      <c r="D32" s="136" t="s">
        <v>1984</v>
      </c>
      <c r="E32" s="136" t="s">
        <v>1868</v>
      </c>
      <c r="F32" s="137" t="s">
        <v>1985</v>
      </c>
      <c r="G32" s="136" t="s">
        <v>681</v>
      </c>
      <c r="H32" s="136" t="s">
        <v>1986</v>
      </c>
      <c r="I32" s="136">
        <v>7.417417704E9</v>
      </c>
    </row>
    <row r="33">
      <c r="A33" s="136" t="s">
        <v>1987</v>
      </c>
      <c r="B33" s="136" t="s">
        <v>533</v>
      </c>
      <c r="C33" s="136" t="s">
        <v>1988</v>
      </c>
      <c r="D33" s="136" t="s">
        <v>1989</v>
      </c>
      <c r="E33" s="136" t="s">
        <v>1904</v>
      </c>
      <c r="F33" s="137" t="s">
        <v>1990</v>
      </c>
      <c r="G33" s="136" t="s">
        <v>625</v>
      </c>
      <c r="H33" s="136" t="s">
        <v>1991</v>
      </c>
      <c r="I33" s="136">
        <v>9.532345317E9</v>
      </c>
    </row>
    <row r="34">
      <c r="A34" s="136" t="s">
        <v>1992</v>
      </c>
      <c r="B34" s="136" t="s">
        <v>533</v>
      </c>
      <c r="C34" s="136" t="s">
        <v>565</v>
      </c>
      <c r="D34" s="136" t="s">
        <v>1993</v>
      </c>
      <c r="E34" s="136" t="s">
        <v>1868</v>
      </c>
      <c r="F34" s="137" t="s">
        <v>1994</v>
      </c>
      <c r="G34" s="136" t="s">
        <v>681</v>
      </c>
      <c r="H34" s="136" t="s">
        <v>1995</v>
      </c>
      <c r="I34" s="136">
        <v>7.827286605E9</v>
      </c>
    </row>
    <row r="35">
      <c r="A35" s="136" t="s">
        <v>1996</v>
      </c>
      <c r="B35" s="136" t="s">
        <v>533</v>
      </c>
      <c r="C35" s="136" t="s">
        <v>622</v>
      </c>
      <c r="D35" s="136" t="s">
        <v>1997</v>
      </c>
      <c r="E35" s="136" t="s">
        <v>1868</v>
      </c>
      <c r="F35" s="137" t="s">
        <v>1998</v>
      </c>
      <c r="G35" s="136" t="s">
        <v>625</v>
      </c>
      <c r="H35" s="136" t="s">
        <v>1999</v>
      </c>
      <c r="I35" s="136">
        <v>9.711646018E9</v>
      </c>
    </row>
    <row r="36">
      <c r="A36" s="136" t="s">
        <v>2000</v>
      </c>
      <c r="B36" s="136" t="s">
        <v>533</v>
      </c>
      <c r="C36" s="136" t="s">
        <v>622</v>
      </c>
      <c r="D36" s="136" t="s">
        <v>2001</v>
      </c>
      <c r="E36" s="136" t="s">
        <v>1868</v>
      </c>
      <c r="F36" s="137" t="s">
        <v>2002</v>
      </c>
      <c r="G36" s="136" t="s">
        <v>681</v>
      </c>
      <c r="H36" s="136" t="s">
        <v>2003</v>
      </c>
      <c r="I36" s="136">
        <v>7.321935296E9</v>
      </c>
    </row>
    <row r="37">
      <c r="A37" s="136" t="s">
        <v>2004</v>
      </c>
      <c r="B37" s="136" t="s">
        <v>533</v>
      </c>
      <c r="C37" s="136" t="s">
        <v>622</v>
      </c>
      <c r="D37" s="136" t="s">
        <v>2005</v>
      </c>
      <c r="E37" s="136" t="s">
        <v>1868</v>
      </c>
      <c r="F37" s="137" t="s">
        <v>2006</v>
      </c>
      <c r="G37" s="136" t="s">
        <v>681</v>
      </c>
      <c r="H37" s="136" t="s">
        <v>2007</v>
      </c>
      <c r="I37" s="136">
        <v>9.294981607E9</v>
      </c>
    </row>
    <row r="38">
      <c r="A38" s="136" t="s">
        <v>2008</v>
      </c>
      <c r="B38" s="136" t="s">
        <v>2009</v>
      </c>
      <c r="C38" s="136" t="s">
        <v>2010</v>
      </c>
      <c r="D38" s="136" t="s">
        <v>2011</v>
      </c>
      <c r="E38" s="136" t="s">
        <v>1868</v>
      </c>
      <c r="F38" s="137" t="s">
        <v>2012</v>
      </c>
      <c r="G38" s="136" t="s">
        <v>536</v>
      </c>
      <c r="H38" s="136" t="s">
        <v>2013</v>
      </c>
      <c r="I38" s="136">
        <v>7.838409199E9</v>
      </c>
    </row>
    <row r="39">
      <c r="A39" s="136" t="s">
        <v>2014</v>
      </c>
      <c r="B39" s="136" t="s">
        <v>533</v>
      </c>
      <c r="C39" s="136" t="s">
        <v>2015</v>
      </c>
      <c r="D39" s="136" t="s">
        <v>2016</v>
      </c>
      <c r="E39" s="136" t="s">
        <v>1872</v>
      </c>
      <c r="F39" s="137" t="s">
        <v>2017</v>
      </c>
      <c r="G39" s="136" t="s">
        <v>681</v>
      </c>
      <c r="H39" s="136" t="s">
        <v>2018</v>
      </c>
      <c r="I39" s="136">
        <v>8.192074258E9</v>
      </c>
    </row>
    <row r="40">
      <c r="A40" s="136" t="s">
        <v>2019</v>
      </c>
      <c r="B40" s="136" t="s">
        <v>826</v>
      </c>
      <c r="C40" s="136" t="s">
        <v>2020</v>
      </c>
      <c r="D40" s="136" t="s">
        <v>2021</v>
      </c>
      <c r="E40" s="136" t="s">
        <v>1876</v>
      </c>
      <c r="F40" s="137" t="s">
        <v>2022</v>
      </c>
      <c r="G40" s="136" t="s">
        <v>681</v>
      </c>
      <c r="H40" s="136" t="s">
        <v>2023</v>
      </c>
      <c r="I40" s="136">
        <v>9.958950576E9</v>
      </c>
    </row>
    <row r="41">
      <c r="A41" s="136" t="s">
        <v>2024</v>
      </c>
      <c r="B41" s="136" t="s">
        <v>533</v>
      </c>
      <c r="C41" s="136" t="s">
        <v>2025</v>
      </c>
      <c r="D41" s="136" t="s">
        <v>2026</v>
      </c>
      <c r="E41" s="136" t="s">
        <v>1868</v>
      </c>
      <c r="F41" s="137" t="s">
        <v>2027</v>
      </c>
      <c r="G41" s="136" t="s">
        <v>681</v>
      </c>
      <c r="H41" s="136" t="s">
        <v>2028</v>
      </c>
      <c r="I41" s="136">
        <v>8.299361078E9</v>
      </c>
    </row>
    <row r="42">
      <c r="A42" s="136" t="s">
        <v>2029</v>
      </c>
      <c r="B42" s="136" t="s">
        <v>533</v>
      </c>
      <c r="C42" s="136" t="s">
        <v>804</v>
      </c>
      <c r="D42" s="136" t="s">
        <v>2030</v>
      </c>
      <c r="E42" s="136" t="s">
        <v>1872</v>
      </c>
      <c r="F42" s="137" t="s">
        <v>2031</v>
      </c>
      <c r="G42" s="136" t="s">
        <v>625</v>
      </c>
      <c r="H42" s="136" t="s">
        <v>2032</v>
      </c>
      <c r="I42" s="136">
        <v>9.958513759E9</v>
      </c>
    </row>
    <row r="43">
      <c r="A43" s="136" t="s">
        <v>2033</v>
      </c>
      <c r="B43" s="136" t="s">
        <v>533</v>
      </c>
      <c r="C43" s="136" t="s">
        <v>804</v>
      </c>
      <c r="D43" s="136" t="s">
        <v>1896</v>
      </c>
      <c r="E43" s="136" t="s">
        <v>1868</v>
      </c>
      <c r="F43" s="137" t="s">
        <v>2034</v>
      </c>
      <c r="G43" s="136" t="s">
        <v>681</v>
      </c>
      <c r="H43" s="136" t="s">
        <v>2035</v>
      </c>
      <c r="I43" s="136">
        <v>8.707721548E9</v>
      </c>
    </row>
    <row r="44">
      <c r="A44" s="136" t="s">
        <v>2036</v>
      </c>
      <c r="B44" s="136" t="s">
        <v>826</v>
      </c>
      <c r="C44" s="136" t="s">
        <v>2037</v>
      </c>
      <c r="D44" s="136" t="s">
        <v>2038</v>
      </c>
      <c r="E44" s="136" t="s">
        <v>1904</v>
      </c>
      <c r="F44" s="137" t="s">
        <v>2039</v>
      </c>
      <c r="G44" s="136" t="s">
        <v>625</v>
      </c>
      <c r="H44" s="136" t="s">
        <v>2040</v>
      </c>
      <c r="I44" s="136">
        <v>8.130200741E9</v>
      </c>
    </row>
    <row r="45">
      <c r="A45" s="136" t="s">
        <v>2041</v>
      </c>
      <c r="B45" s="136" t="s">
        <v>533</v>
      </c>
      <c r="C45" s="136" t="s">
        <v>2042</v>
      </c>
      <c r="D45" s="136" t="s">
        <v>2043</v>
      </c>
      <c r="E45" s="136" t="s">
        <v>1876</v>
      </c>
      <c r="F45" s="137" t="s">
        <v>2044</v>
      </c>
      <c r="G45" s="136" t="s">
        <v>536</v>
      </c>
      <c r="H45" s="136" t="s">
        <v>2045</v>
      </c>
      <c r="I45" s="136">
        <v>7.065200447E9</v>
      </c>
    </row>
    <row r="46">
      <c r="A46" s="136" t="s">
        <v>2046</v>
      </c>
      <c r="B46" s="136" t="s">
        <v>533</v>
      </c>
      <c r="C46" s="136" t="s">
        <v>2047</v>
      </c>
      <c r="D46" s="136" t="s">
        <v>2048</v>
      </c>
      <c r="E46" s="136" t="s">
        <v>1868</v>
      </c>
      <c r="F46" s="137" t="s">
        <v>2049</v>
      </c>
      <c r="G46" s="136" t="s">
        <v>625</v>
      </c>
      <c r="H46" s="136" t="s">
        <v>2050</v>
      </c>
      <c r="I46" s="136">
        <v>9.653023189E9</v>
      </c>
    </row>
    <row r="47">
      <c r="A47" s="136" t="s">
        <v>2051</v>
      </c>
      <c r="B47" s="136" t="s">
        <v>533</v>
      </c>
      <c r="C47" s="136" t="s">
        <v>804</v>
      </c>
      <c r="D47" s="136" t="s">
        <v>2052</v>
      </c>
      <c r="E47" s="136" t="s">
        <v>1876</v>
      </c>
      <c r="F47" s="137" t="s">
        <v>2053</v>
      </c>
      <c r="G47" s="136" t="s">
        <v>536</v>
      </c>
      <c r="H47" s="136" t="s">
        <v>2054</v>
      </c>
      <c r="I47" s="136">
        <v>8.707552754E9</v>
      </c>
    </row>
    <row r="48">
      <c r="A48" s="136" t="s">
        <v>2055</v>
      </c>
      <c r="B48" s="136" t="s">
        <v>533</v>
      </c>
      <c r="C48" s="136" t="s">
        <v>622</v>
      </c>
      <c r="D48" s="136" t="s">
        <v>2056</v>
      </c>
      <c r="E48" s="136" t="s">
        <v>1876</v>
      </c>
      <c r="F48" s="137" t="s">
        <v>2057</v>
      </c>
      <c r="G48" s="136" t="s">
        <v>681</v>
      </c>
      <c r="H48" s="136" t="s">
        <v>2058</v>
      </c>
      <c r="I48" s="136">
        <v>8.789172839E9</v>
      </c>
    </row>
    <row r="49">
      <c r="A49" s="136" t="s">
        <v>2059</v>
      </c>
      <c r="B49" s="136" t="s">
        <v>533</v>
      </c>
      <c r="C49" s="136" t="s">
        <v>2060</v>
      </c>
      <c r="D49" s="136" t="s">
        <v>2061</v>
      </c>
      <c r="E49" s="136" t="s">
        <v>1868</v>
      </c>
      <c r="F49" s="137" t="s">
        <v>2062</v>
      </c>
      <c r="G49" s="136" t="s">
        <v>536</v>
      </c>
      <c r="H49" s="136" t="s">
        <v>2063</v>
      </c>
      <c r="I49" s="136">
        <v>9.310644396E9</v>
      </c>
    </row>
    <row r="50">
      <c r="A50" s="136" t="s">
        <v>2064</v>
      </c>
      <c r="B50" s="136" t="s">
        <v>533</v>
      </c>
      <c r="C50" s="136" t="s">
        <v>2065</v>
      </c>
      <c r="D50" s="136" t="s">
        <v>2066</v>
      </c>
      <c r="E50" s="136" t="s">
        <v>1868</v>
      </c>
      <c r="F50" s="137" t="s">
        <v>2067</v>
      </c>
      <c r="G50" s="136" t="s">
        <v>536</v>
      </c>
      <c r="H50" s="136" t="s">
        <v>2068</v>
      </c>
      <c r="I50" s="136">
        <v>6.396654462E9</v>
      </c>
    </row>
    <row r="51">
      <c r="A51" s="136" t="s">
        <v>2069</v>
      </c>
      <c r="B51" s="136" t="s">
        <v>533</v>
      </c>
      <c r="C51" s="136" t="s">
        <v>622</v>
      </c>
      <c r="D51" s="136" t="s">
        <v>2070</v>
      </c>
      <c r="E51" s="136" t="s">
        <v>1876</v>
      </c>
      <c r="F51" s="137" t="s">
        <v>2071</v>
      </c>
      <c r="G51" s="136" t="s">
        <v>625</v>
      </c>
      <c r="H51" s="136" t="s">
        <v>2072</v>
      </c>
      <c r="I51" s="136">
        <v>9.971102196E9</v>
      </c>
    </row>
    <row r="52">
      <c r="A52" s="136" t="s">
        <v>2073</v>
      </c>
      <c r="B52" s="136" t="s">
        <v>533</v>
      </c>
      <c r="C52" s="136" t="s">
        <v>2074</v>
      </c>
      <c r="D52" s="136" t="s">
        <v>2075</v>
      </c>
      <c r="E52" s="136" t="s">
        <v>1872</v>
      </c>
      <c r="F52" s="137" t="s">
        <v>2076</v>
      </c>
      <c r="G52" s="136" t="s">
        <v>536</v>
      </c>
      <c r="H52" s="136" t="s">
        <v>2077</v>
      </c>
      <c r="I52" s="136">
        <v>8.791492216E9</v>
      </c>
    </row>
    <row r="53">
      <c r="A53" s="136" t="s">
        <v>2078</v>
      </c>
      <c r="B53" s="136" t="s">
        <v>533</v>
      </c>
      <c r="C53" s="136" t="s">
        <v>622</v>
      </c>
      <c r="D53" s="136" t="s">
        <v>2079</v>
      </c>
      <c r="E53" s="136" t="s">
        <v>1876</v>
      </c>
      <c r="F53" s="137" t="s">
        <v>2080</v>
      </c>
      <c r="G53" s="136" t="s">
        <v>681</v>
      </c>
      <c r="H53" s="136" t="s">
        <v>2081</v>
      </c>
      <c r="I53" s="136">
        <v>7.76104292E9</v>
      </c>
    </row>
    <row r="54">
      <c r="A54" s="136" t="s">
        <v>2082</v>
      </c>
      <c r="B54" s="136" t="s">
        <v>533</v>
      </c>
      <c r="C54" s="136" t="s">
        <v>804</v>
      </c>
      <c r="D54" s="136" t="s">
        <v>2083</v>
      </c>
      <c r="E54" s="136" t="s">
        <v>1868</v>
      </c>
      <c r="F54" s="137" t="s">
        <v>2084</v>
      </c>
      <c r="G54" s="136" t="s">
        <v>681</v>
      </c>
      <c r="H54" s="136" t="s">
        <v>2085</v>
      </c>
      <c r="I54" s="136">
        <v>6.393957916E9</v>
      </c>
    </row>
    <row r="55">
      <c r="A55" s="136" t="s">
        <v>2086</v>
      </c>
      <c r="B55" s="136" t="s">
        <v>1125</v>
      </c>
      <c r="C55" s="136" t="s">
        <v>1126</v>
      </c>
      <c r="D55" s="136" t="s">
        <v>2087</v>
      </c>
      <c r="E55" s="136" t="s">
        <v>1868</v>
      </c>
      <c r="F55" s="137" t="s">
        <v>2088</v>
      </c>
      <c r="G55" s="136" t="s">
        <v>681</v>
      </c>
      <c r="H55" s="136" t="s">
        <v>2089</v>
      </c>
      <c r="I55" s="136">
        <v>9.528955026E9</v>
      </c>
    </row>
    <row r="56">
      <c r="A56" s="136" t="s">
        <v>2090</v>
      </c>
      <c r="B56" s="136" t="s">
        <v>533</v>
      </c>
      <c r="C56" s="136" t="s">
        <v>622</v>
      </c>
      <c r="D56" s="136" t="s">
        <v>1935</v>
      </c>
      <c r="E56" s="136" t="s">
        <v>1868</v>
      </c>
      <c r="F56" s="137" t="s">
        <v>2091</v>
      </c>
      <c r="G56" s="136" t="s">
        <v>681</v>
      </c>
      <c r="H56" s="136" t="s">
        <v>1937</v>
      </c>
      <c r="I56" s="136">
        <v>8.102907336E9</v>
      </c>
    </row>
    <row r="57">
      <c r="A57" s="136" t="s">
        <v>2092</v>
      </c>
      <c r="B57" s="136" t="s">
        <v>706</v>
      </c>
      <c r="C57" s="136" t="s">
        <v>710</v>
      </c>
      <c r="D57" s="136" t="s">
        <v>1318</v>
      </c>
      <c r="E57" s="136" t="s">
        <v>1876</v>
      </c>
      <c r="F57" s="137" t="s">
        <v>2093</v>
      </c>
      <c r="G57" s="136" t="s">
        <v>536</v>
      </c>
      <c r="H57" s="136" t="s">
        <v>1320</v>
      </c>
      <c r="I57" s="136">
        <v>8.878868783E9</v>
      </c>
    </row>
    <row r="58">
      <c r="A58" s="136" t="s">
        <v>2094</v>
      </c>
      <c r="B58" s="136" t="s">
        <v>533</v>
      </c>
      <c r="C58" s="136" t="s">
        <v>622</v>
      </c>
      <c r="D58" s="136" t="s">
        <v>1388</v>
      </c>
      <c r="E58" s="136" t="s">
        <v>1904</v>
      </c>
      <c r="F58" s="137" t="s">
        <v>2095</v>
      </c>
      <c r="G58" s="136" t="s">
        <v>681</v>
      </c>
      <c r="H58" s="136" t="s">
        <v>1390</v>
      </c>
      <c r="I58" s="136">
        <v>9.140542963E9</v>
      </c>
    </row>
    <row r="59">
      <c r="A59" s="136" t="s">
        <v>2096</v>
      </c>
      <c r="B59" s="136" t="s">
        <v>826</v>
      </c>
      <c r="C59" s="136" t="s">
        <v>1457</v>
      </c>
      <c r="D59" s="136" t="s">
        <v>2097</v>
      </c>
      <c r="E59" s="136" t="s">
        <v>1876</v>
      </c>
      <c r="F59" s="137" t="s">
        <v>2098</v>
      </c>
      <c r="G59" s="136" t="s">
        <v>681</v>
      </c>
      <c r="H59" s="136" t="s">
        <v>2099</v>
      </c>
      <c r="I59" s="136">
        <v>9.310719128E9</v>
      </c>
    </row>
    <row r="60">
      <c r="A60" s="136" t="s">
        <v>2100</v>
      </c>
      <c r="B60" s="136" t="s">
        <v>533</v>
      </c>
      <c r="C60" s="136" t="s">
        <v>2065</v>
      </c>
      <c r="D60" s="136" t="s">
        <v>2101</v>
      </c>
      <c r="E60" s="136" t="s">
        <v>1904</v>
      </c>
      <c r="F60" s="137" t="s">
        <v>2102</v>
      </c>
      <c r="G60" s="136" t="s">
        <v>625</v>
      </c>
      <c r="H60" s="136" t="s">
        <v>2103</v>
      </c>
      <c r="I60" s="136">
        <v>9.990223392E9</v>
      </c>
    </row>
    <row r="61">
      <c r="A61" s="136" t="s">
        <v>2104</v>
      </c>
      <c r="B61" s="136" t="s">
        <v>533</v>
      </c>
      <c r="C61" s="136" t="s">
        <v>565</v>
      </c>
      <c r="D61" s="136" t="s">
        <v>2105</v>
      </c>
      <c r="E61" s="136" t="s">
        <v>1876</v>
      </c>
      <c r="F61" s="137" t="s">
        <v>2106</v>
      </c>
      <c r="G61" s="136" t="s">
        <v>681</v>
      </c>
      <c r="H61" s="136" t="s">
        <v>2107</v>
      </c>
      <c r="I61" s="136">
        <v>9.958574668E9</v>
      </c>
    </row>
    <row r="62">
      <c r="A62" s="136" t="s">
        <v>2108</v>
      </c>
      <c r="B62" s="136" t="s">
        <v>533</v>
      </c>
      <c r="C62" s="136" t="s">
        <v>622</v>
      </c>
      <c r="D62" s="136" t="s">
        <v>2109</v>
      </c>
      <c r="E62" s="136" t="s">
        <v>1876</v>
      </c>
      <c r="F62" s="137" t="s">
        <v>2110</v>
      </c>
      <c r="G62" s="136" t="s">
        <v>681</v>
      </c>
      <c r="H62" s="136" t="s">
        <v>2111</v>
      </c>
      <c r="I62" s="136">
        <v>9.654423859E9</v>
      </c>
    </row>
    <row r="63">
      <c r="A63" s="136" t="s">
        <v>2112</v>
      </c>
      <c r="B63" s="136" t="s">
        <v>533</v>
      </c>
      <c r="C63" s="136" t="s">
        <v>622</v>
      </c>
      <c r="D63" s="136" t="s">
        <v>209</v>
      </c>
      <c r="E63" s="136" t="s">
        <v>1868</v>
      </c>
      <c r="F63" s="137" t="s">
        <v>2113</v>
      </c>
      <c r="G63" s="136" t="s">
        <v>536</v>
      </c>
      <c r="H63" s="136" t="s">
        <v>2114</v>
      </c>
      <c r="I63" s="136">
        <v>8.929724957E9</v>
      </c>
    </row>
    <row r="64">
      <c r="A64" s="136" t="s">
        <v>2115</v>
      </c>
      <c r="B64" s="136" t="s">
        <v>533</v>
      </c>
      <c r="C64" s="136" t="s">
        <v>2116</v>
      </c>
      <c r="D64" s="136" t="s">
        <v>2117</v>
      </c>
      <c r="E64" s="136" t="s">
        <v>1876</v>
      </c>
      <c r="F64" s="137" t="s">
        <v>2118</v>
      </c>
      <c r="G64" s="136" t="s">
        <v>536</v>
      </c>
      <c r="H64" s="136" t="s">
        <v>2119</v>
      </c>
      <c r="I64" s="136">
        <v>9.628871959E9</v>
      </c>
    </row>
    <row r="65">
      <c r="A65" s="136" t="s">
        <v>2120</v>
      </c>
      <c r="B65" s="136" t="s">
        <v>533</v>
      </c>
      <c r="C65" s="136" t="s">
        <v>622</v>
      </c>
      <c r="D65" s="136" t="s">
        <v>1875</v>
      </c>
      <c r="E65" s="136" t="s">
        <v>1876</v>
      </c>
      <c r="F65" s="137" t="s">
        <v>2121</v>
      </c>
      <c r="G65" s="136" t="s">
        <v>681</v>
      </c>
      <c r="H65" s="136" t="s">
        <v>1878</v>
      </c>
      <c r="I65" s="136">
        <v>8.972960066E9</v>
      </c>
    </row>
    <row r="66">
      <c r="A66" s="136" t="s">
        <v>2122</v>
      </c>
      <c r="B66" s="136" t="s">
        <v>533</v>
      </c>
      <c r="C66" s="136" t="s">
        <v>2065</v>
      </c>
      <c r="D66" s="136" t="s">
        <v>2123</v>
      </c>
      <c r="E66" s="136" t="s">
        <v>1868</v>
      </c>
      <c r="F66" s="137" t="s">
        <v>2124</v>
      </c>
      <c r="G66" s="136" t="s">
        <v>681</v>
      </c>
      <c r="H66" s="136" t="s">
        <v>2125</v>
      </c>
      <c r="I66" s="136">
        <v>9.058825615E9</v>
      </c>
    </row>
    <row r="67">
      <c r="A67" s="136" t="s">
        <v>2126</v>
      </c>
      <c r="B67" s="136" t="s">
        <v>533</v>
      </c>
      <c r="C67" s="136" t="s">
        <v>622</v>
      </c>
      <c r="D67" s="136" t="s">
        <v>2127</v>
      </c>
      <c r="E67" s="136" t="s">
        <v>1868</v>
      </c>
      <c r="F67" s="137" t="s">
        <v>2128</v>
      </c>
      <c r="G67" s="136" t="s">
        <v>681</v>
      </c>
      <c r="H67" s="136" t="s">
        <v>2129</v>
      </c>
      <c r="I67" s="136">
        <v>9.19980946E9</v>
      </c>
    </row>
    <row r="68">
      <c r="A68" s="136" t="s">
        <v>2130</v>
      </c>
      <c r="B68" s="136" t="s">
        <v>533</v>
      </c>
      <c r="C68" s="136" t="s">
        <v>622</v>
      </c>
      <c r="D68" s="136" t="s">
        <v>2131</v>
      </c>
      <c r="E68" s="136" t="s">
        <v>1872</v>
      </c>
      <c r="F68" s="137" t="s">
        <v>2132</v>
      </c>
      <c r="G68" s="136" t="s">
        <v>536</v>
      </c>
      <c r="H68" s="136" t="s">
        <v>2133</v>
      </c>
      <c r="I68" s="136">
        <v>9.560256852E9</v>
      </c>
    </row>
    <row r="69">
      <c r="A69" s="136" t="s">
        <v>2134</v>
      </c>
      <c r="B69" s="136" t="s">
        <v>533</v>
      </c>
      <c r="C69" s="136" t="s">
        <v>2065</v>
      </c>
      <c r="D69" s="136" t="s">
        <v>2135</v>
      </c>
      <c r="E69" s="136" t="s">
        <v>1876</v>
      </c>
      <c r="F69" s="137" t="s">
        <v>2136</v>
      </c>
      <c r="G69" s="136" t="s">
        <v>625</v>
      </c>
      <c r="H69" s="136" t="s">
        <v>2137</v>
      </c>
      <c r="I69" s="136">
        <v>9.389523215E9</v>
      </c>
    </row>
    <row r="70">
      <c r="A70" s="136" t="s">
        <v>2138</v>
      </c>
      <c r="B70" s="136" t="s">
        <v>533</v>
      </c>
      <c r="C70" s="136" t="s">
        <v>2042</v>
      </c>
      <c r="D70" s="136" t="s">
        <v>2139</v>
      </c>
      <c r="E70" s="136" t="s">
        <v>1868</v>
      </c>
      <c r="F70" s="137" t="s">
        <v>2140</v>
      </c>
      <c r="G70" s="136" t="s">
        <v>681</v>
      </c>
      <c r="H70" s="136" t="s">
        <v>2141</v>
      </c>
      <c r="I70" s="136">
        <v>7.817077313E9</v>
      </c>
    </row>
    <row r="71">
      <c r="A71" s="136" t="s">
        <v>2142</v>
      </c>
      <c r="B71" s="136" t="s">
        <v>533</v>
      </c>
      <c r="C71" s="136" t="s">
        <v>622</v>
      </c>
      <c r="D71" s="136" t="s">
        <v>2143</v>
      </c>
      <c r="E71" s="136" t="s">
        <v>1872</v>
      </c>
      <c r="F71" s="137" t="s">
        <v>2144</v>
      </c>
      <c r="G71" s="136" t="s">
        <v>625</v>
      </c>
      <c r="H71" s="136" t="s">
        <v>2145</v>
      </c>
      <c r="I71" s="136">
        <v>8.009944006E9</v>
      </c>
    </row>
    <row r="72">
      <c r="A72" s="136" t="s">
        <v>2146</v>
      </c>
      <c r="B72" s="136" t="s">
        <v>533</v>
      </c>
      <c r="C72" s="136" t="s">
        <v>2147</v>
      </c>
      <c r="D72" s="136" t="s">
        <v>2148</v>
      </c>
      <c r="E72" s="136" t="s">
        <v>1868</v>
      </c>
      <c r="F72" s="137" t="s">
        <v>2149</v>
      </c>
      <c r="G72" s="136" t="s">
        <v>681</v>
      </c>
      <c r="H72" s="136" t="s">
        <v>2150</v>
      </c>
      <c r="I72" s="136">
        <v>9.528199684E9</v>
      </c>
    </row>
    <row r="73">
      <c r="A73" s="136" t="s">
        <v>2151</v>
      </c>
      <c r="B73" s="136" t="s">
        <v>1189</v>
      </c>
      <c r="C73" s="136" t="s">
        <v>2152</v>
      </c>
      <c r="D73" s="136" t="s">
        <v>2153</v>
      </c>
      <c r="E73" s="136" t="s">
        <v>1868</v>
      </c>
      <c r="F73" s="137" t="s">
        <v>2154</v>
      </c>
      <c r="G73" s="136" t="s">
        <v>681</v>
      </c>
      <c r="H73" s="136" t="s">
        <v>2155</v>
      </c>
      <c r="I73" s="136">
        <v>8.252271465E9</v>
      </c>
    </row>
    <row r="74">
      <c r="A74" s="136" t="s">
        <v>2156</v>
      </c>
      <c r="B74" s="136" t="s">
        <v>2157</v>
      </c>
      <c r="C74" s="136" t="s">
        <v>2158</v>
      </c>
      <c r="D74" s="136" t="s">
        <v>2159</v>
      </c>
      <c r="E74" s="136" t="s">
        <v>1872</v>
      </c>
      <c r="F74" s="137" t="s">
        <v>2160</v>
      </c>
      <c r="G74" s="136" t="s">
        <v>625</v>
      </c>
      <c r="H74" s="136" t="s">
        <v>2161</v>
      </c>
      <c r="I74" s="136">
        <v>6.260694906E9</v>
      </c>
    </row>
    <row r="75">
      <c r="A75" s="136" t="s">
        <v>2162</v>
      </c>
      <c r="B75" s="136" t="s">
        <v>2163</v>
      </c>
      <c r="C75" s="136" t="s">
        <v>2164</v>
      </c>
      <c r="D75" s="136" t="s">
        <v>2165</v>
      </c>
      <c r="E75" s="136" t="s">
        <v>1876</v>
      </c>
      <c r="F75" s="137" t="s">
        <v>2166</v>
      </c>
      <c r="G75" s="136" t="s">
        <v>536</v>
      </c>
      <c r="H75" s="136" t="s">
        <v>2167</v>
      </c>
      <c r="I75" s="136">
        <v>9.818403555E9</v>
      </c>
    </row>
    <row r="76">
      <c r="A76" s="136" t="s">
        <v>2168</v>
      </c>
      <c r="B76" s="136" t="s">
        <v>533</v>
      </c>
      <c r="C76" s="136" t="s">
        <v>622</v>
      </c>
      <c r="D76" s="136" t="s">
        <v>2169</v>
      </c>
      <c r="E76" s="136" t="s">
        <v>1868</v>
      </c>
      <c r="F76" s="137" t="s">
        <v>2170</v>
      </c>
      <c r="G76" s="136" t="s">
        <v>536</v>
      </c>
      <c r="H76" s="136" t="s">
        <v>2171</v>
      </c>
      <c r="I76" s="136">
        <v>8.851133934E9</v>
      </c>
    </row>
    <row r="77">
      <c r="A77" s="136" t="s">
        <v>2172</v>
      </c>
      <c r="B77" s="136" t="s">
        <v>533</v>
      </c>
      <c r="C77" s="136" t="s">
        <v>2173</v>
      </c>
      <c r="D77" s="136" t="s">
        <v>2174</v>
      </c>
      <c r="E77" s="136" t="s">
        <v>1868</v>
      </c>
      <c r="F77" s="137" t="s">
        <v>2175</v>
      </c>
      <c r="G77" s="136" t="s">
        <v>681</v>
      </c>
      <c r="H77" s="136" t="s">
        <v>2176</v>
      </c>
      <c r="I77" s="136">
        <v>6.398583833E9</v>
      </c>
    </row>
    <row r="78">
      <c r="A78" s="136" t="s">
        <v>2177</v>
      </c>
      <c r="B78" s="136" t="s">
        <v>533</v>
      </c>
      <c r="C78" s="136" t="s">
        <v>622</v>
      </c>
      <c r="D78" s="136" t="s">
        <v>2178</v>
      </c>
      <c r="E78" s="136" t="s">
        <v>1868</v>
      </c>
      <c r="F78" s="137" t="s">
        <v>2179</v>
      </c>
      <c r="G78" s="136" t="s">
        <v>625</v>
      </c>
      <c r="H78" s="136" t="s">
        <v>2180</v>
      </c>
      <c r="I78" s="136">
        <v>9.33573758E9</v>
      </c>
    </row>
    <row r="79">
      <c r="A79" s="136" t="s">
        <v>2181</v>
      </c>
      <c r="B79" s="136" t="s">
        <v>533</v>
      </c>
      <c r="C79" s="136" t="s">
        <v>2025</v>
      </c>
      <c r="D79" s="136" t="s">
        <v>2182</v>
      </c>
      <c r="E79" s="136" t="s">
        <v>1868</v>
      </c>
      <c r="F79" s="137" t="s">
        <v>2183</v>
      </c>
      <c r="G79" s="136" t="s">
        <v>625</v>
      </c>
      <c r="H79" s="136" t="s">
        <v>2184</v>
      </c>
      <c r="I79" s="136">
        <v>9.99074193E9</v>
      </c>
    </row>
    <row r="80">
      <c r="A80" s="136" t="s">
        <v>2185</v>
      </c>
      <c r="B80" s="136" t="s">
        <v>533</v>
      </c>
      <c r="C80" s="136" t="s">
        <v>622</v>
      </c>
      <c r="D80" s="136" t="s">
        <v>2186</v>
      </c>
      <c r="E80" s="136" t="s">
        <v>1868</v>
      </c>
      <c r="F80" s="137" t="s">
        <v>2187</v>
      </c>
      <c r="G80" s="136" t="s">
        <v>536</v>
      </c>
      <c r="H80" s="136" t="s">
        <v>2188</v>
      </c>
      <c r="I80" s="136">
        <v>9.35418293E9</v>
      </c>
    </row>
    <row r="81">
      <c r="A81" s="136" t="s">
        <v>2189</v>
      </c>
      <c r="B81" s="136" t="s">
        <v>533</v>
      </c>
      <c r="C81" s="136" t="s">
        <v>622</v>
      </c>
      <c r="D81" s="136" t="s">
        <v>520</v>
      </c>
      <c r="E81" s="136" t="s">
        <v>1868</v>
      </c>
      <c r="F81" s="137" t="s">
        <v>2190</v>
      </c>
      <c r="G81" s="136" t="s">
        <v>681</v>
      </c>
      <c r="H81" s="136" t="s">
        <v>2191</v>
      </c>
      <c r="I81" s="136">
        <v>7.347239669E9</v>
      </c>
    </row>
    <row r="82">
      <c r="A82" s="136" t="s">
        <v>2192</v>
      </c>
      <c r="B82" s="136" t="s">
        <v>533</v>
      </c>
      <c r="C82" s="136" t="s">
        <v>1908</v>
      </c>
      <c r="D82" s="136" t="s">
        <v>2193</v>
      </c>
      <c r="E82" s="136" t="s">
        <v>1876</v>
      </c>
      <c r="F82" s="137" t="s">
        <v>2194</v>
      </c>
      <c r="G82" s="136" t="s">
        <v>681</v>
      </c>
      <c r="H82" s="136" t="s">
        <v>2195</v>
      </c>
      <c r="I82" s="136">
        <v>7.080313566E9</v>
      </c>
    </row>
    <row r="83">
      <c r="A83" s="136" t="s">
        <v>2196</v>
      </c>
      <c r="B83" s="136" t="s">
        <v>533</v>
      </c>
      <c r="C83" s="136" t="s">
        <v>622</v>
      </c>
      <c r="D83" s="136" t="s">
        <v>401</v>
      </c>
      <c r="E83" s="136" t="s">
        <v>1876</v>
      </c>
      <c r="F83" s="137" t="s">
        <v>2197</v>
      </c>
      <c r="G83" s="136" t="s">
        <v>681</v>
      </c>
      <c r="H83" s="136" t="s">
        <v>1970</v>
      </c>
      <c r="I83" s="136">
        <v>7.654025369E9</v>
      </c>
    </row>
    <row r="84">
      <c r="A84" s="136" t="s">
        <v>2198</v>
      </c>
      <c r="B84" s="136" t="s">
        <v>826</v>
      </c>
      <c r="C84" s="136" t="s">
        <v>2020</v>
      </c>
      <c r="D84" s="136" t="s">
        <v>2021</v>
      </c>
      <c r="E84" s="136" t="s">
        <v>1876</v>
      </c>
      <c r="F84" s="137" t="s">
        <v>2199</v>
      </c>
      <c r="G84" s="136" t="s">
        <v>681</v>
      </c>
      <c r="H84" s="136" t="s">
        <v>2023</v>
      </c>
      <c r="I84" s="136">
        <v>9.958950576E9</v>
      </c>
    </row>
    <row r="85">
      <c r="A85" s="136" t="s">
        <v>2200</v>
      </c>
      <c r="B85" s="136" t="s">
        <v>1125</v>
      </c>
      <c r="C85" s="136" t="s">
        <v>1891</v>
      </c>
      <c r="D85" s="136" t="s">
        <v>2201</v>
      </c>
      <c r="E85" s="136" t="s">
        <v>1868</v>
      </c>
      <c r="F85" s="137" t="s">
        <v>2202</v>
      </c>
      <c r="G85" s="136" t="s">
        <v>681</v>
      </c>
      <c r="H85" s="136" t="s">
        <v>2203</v>
      </c>
      <c r="I85" s="136">
        <v>9.927221046E9</v>
      </c>
    </row>
    <row r="86">
      <c r="A86" s="136" t="s">
        <v>2204</v>
      </c>
      <c r="B86" s="136" t="s">
        <v>766</v>
      </c>
      <c r="C86" s="136" t="s">
        <v>768</v>
      </c>
      <c r="D86" s="136" t="s">
        <v>769</v>
      </c>
      <c r="E86" s="136" t="s">
        <v>1876</v>
      </c>
      <c r="F86" s="137" t="s">
        <v>2205</v>
      </c>
      <c r="G86" s="136" t="s">
        <v>625</v>
      </c>
      <c r="H86" s="136" t="s">
        <v>770</v>
      </c>
      <c r="I86" s="136">
        <v>8.527683453E9</v>
      </c>
    </row>
    <row r="87">
      <c r="A87" s="136" t="s">
        <v>2206</v>
      </c>
      <c r="B87" s="136" t="s">
        <v>533</v>
      </c>
      <c r="C87" s="136" t="s">
        <v>622</v>
      </c>
      <c r="D87" s="136" t="s">
        <v>501</v>
      </c>
      <c r="E87" s="136" t="s">
        <v>1868</v>
      </c>
      <c r="F87" s="137" t="s">
        <v>2207</v>
      </c>
      <c r="G87" s="136" t="s">
        <v>681</v>
      </c>
      <c r="H87" s="136" t="s">
        <v>2208</v>
      </c>
      <c r="I87" s="136">
        <v>9.415293841E9</v>
      </c>
    </row>
    <row r="88">
      <c r="A88" s="136" t="s">
        <v>2209</v>
      </c>
      <c r="B88" s="136" t="s">
        <v>533</v>
      </c>
      <c r="C88" s="136" t="s">
        <v>1084</v>
      </c>
      <c r="D88" s="136" t="s">
        <v>2210</v>
      </c>
      <c r="E88" s="136" t="s">
        <v>1876</v>
      </c>
      <c r="F88" s="137" t="s">
        <v>2211</v>
      </c>
      <c r="G88" s="136" t="s">
        <v>625</v>
      </c>
      <c r="H88" s="136" t="s">
        <v>2212</v>
      </c>
      <c r="I88" s="136">
        <v>8.218986969E9</v>
      </c>
    </row>
    <row r="89">
      <c r="A89" s="136" t="s">
        <v>2213</v>
      </c>
      <c r="B89" s="136" t="s">
        <v>533</v>
      </c>
      <c r="C89" s="136" t="s">
        <v>679</v>
      </c>
      <c r="D89" s="136" t="s">
        <v>2214</v>
      </c>
      <c r="E89" s="136" t="s">
        <v>1872</v>
      </c>
      <c r="F89" s="137" t="s">
        <v>2215</v>
      </c>
      <c r="G89" s="136" t="s">
        <v>536</v>
      </c>
      <c r="H89" s="136" t="s">
        <v>2216</v>
      </c>
      <c r="I89" s="136">
        <v>7.071817509E9</v>
      </c>
    </row>
    <row r="90">
      <c r="A90" s="136" t="s">
        <v>2217</v>
      </c>
      <c r="B90" s="136" t="s">
        <v>533</v>
      </c>
      <c r="C90" s="136" t="s">
        <v>622</v>
      </c>
      <c r="D90" s="136" t="s">
        <v>2218</v>
      </c>
      <c r="E90" s="136" t="s">
        <v>1876</v>
      </c>
      <c r="F90" s="137" t="s">
        <v>2219</v>
      </c>
      <c r="G90" s="136" t="s">
        <v>536</v>
      </c>
      <c r="H90" s="136" t="s">
        <v>2220</v>
      </c>
      <c r="I90" s="136">
        <v>9.625531191E9</v>
      </c>
    </row>
    <row r="91">
      <c r="A91" s="136" t="s">
        <v>2221</v>
      </c>
      <c r="B91" s="136" t="s">
        <v>826</v>
      </c>
      <c r="C91" s="136" t="s">
        <v>1351</v>
      </c>
      <c r="D91" s="136" t="s">
        <v>2222</v>
      </c>
      <c r="E91" s="136" t="s">
        <v>1876</v>
      </c>
      <c r="F91" s="137" t="s">
        <v>2223</v>
      </c>
      <c r="G91" s="136" t="s">
        <v>625</v>
      </c>
      <c r="H91" s="136" t="s">
        <v>2224</v>
      </c>
      <c r="I91" s="136">
        <v>8.742903796E9</v>
      </c>
    </row>
    <row r="92">
      <c r="A92" s="136" t="s">
        <v>2225</v>
      </c>
      <c r="B92" s="136" t="s">
        <v>533</v>
      </c>
      <c r="C92" s="136" t="s">
        <v>622</v>
      </c>
      <c r="D92" s="136" t="s">
        <v>2226</v>
      </c>
      <c r="E92" s="136" t="s">
        <v>1868</v>
      </c>
      <c r="F92" s="137" t="s">
        <v>2227</v>
      </c>
      <c r="G92" s="136" t="s">
        <v>681</v>
      </c>
      <c r="H92" s="136" t="s">
        <v>2228</v>
      </c>
      <c r="I92" s="136">
        <v>8.178279988E9</v>
      </c>
    </row>
    <row r="93">
      <c r="A93" s="136" t="s">
        <v>2229</v>
      </c>
      <c r="B93" s="136" t="s">
        <v>533</v>
      </c>
      <c r="C93" s="136" t="s">
        <v>622</v>
      </c>
      <c r="D93" s="136" t="s">
        <v>2230</v>
      </c>
      <c r="E93" s="136" t="s">
        <v>1868</v>
      </c>
      <c r="F93" s="137" t="s">
        <v>2231</v>
      </c>
      <c r="G93" s="136" t="s">
        <v>681</v>
      </c>
      <c r="H93" s="136" t="s">
        <v>2232</v>
      </c>
      <c r="I93" s="136">
        <v>7.061393434E9</v>
      </c>
    </row>
    <row r="94">
      <c r="A94" s="136" t="s">
        <v>2233</v>
      </c>
      <c r="B94" s="136" t="s">
        <v>533</v>
      </c>
      <c r="C94" s="136" t="s">
        <v>622</v>
      </c>
      <c r="D94" s="136" t="s">
        <v>2234</v>
      </c>
      <c r="E94" s="136" t="s">
        <v>1904</v>
      </c>
      <c r="F94" s="137" t="s">
        <v>2235</v>
      </c>
      <c r="G94" s="136" t="s">
        <v>681</v>
      </c>
      <c r="H94" s="136" t="s">
        <v>2236</v>
      </c>
      <c r="I94" s="136">
        <v>8.057747756E9</v>
      </c>
    </row>
    <row r="95">
      <c r="A95" s="136" t="s">
        <v>2237</v>
      </c>
      <c r="B95" s="136" t="s">
        <v>533</v>
      </c>
      <c r="C95" s="136" t="s">
        <v>622</v>
      </c>
      <c r="D95" s="136" t="s">
        <v>401</v>
      </c>
      <c r="E95" s="136" t="s">
        <v>1868</v>
      </c>
      <c r="F95" s="137" t="s">
        <v>2238</v>
      </c>
      <c r="G95" s="136" t="s">
        <v>681</v>
      </c>
      <c r="H95" s="136" t="s">
        <v>1970</v>
      </c>
      <c r="I95" s="136">
        <v>7.654025369E9</v>
      </c>
    </row>
    <row r="96">
      <c r="A96" s="136" t="s">
        <v>2239</v>
      </c>
      <c r="B96" s="136" t="s">
        <v>533</v>
      </c>
      <c r="C96" s="136" t="s">
        <v>622</v>
      </c>
      <c r="D96" s="136" t="s">
        <v>501</v>
      </c>
      <c r="E96" s="136" t="s">
        <v>1868</v>
      </c>
      <c r="F96" s="137" t="s">
        <v>2240</v>
      </c>
      <c r="G96" s="136" t="s">
        <v>681</v>
      </c>
      <c r="H96" s="136" t="s">
        <v>2208</v>
      </c>
      <c r="I96" s="136">
        <v>9.415293841E9</v>
      </c>
    </row>
    <row r="97">
      <c r="A97" s="136" t="s">
        <v>2241</v>
      </c>
      <c r="B97" s="136" t="s">
        <v>533</v>
      </c>
      <c r="C97" s="136" t="s">
        <v>2116</v>
      </c>
      <c r="D97" s="136" t="s">
        <v>2242</v>
      </c>
      <c r="E97" s="136" t="s">
        <v>1876</v>
      </c>
      <c r="F97" s="137" t="s">
        <v>2243</v>
      </c>
      <c r="G97" s="136" t="s">
        <v>536</v>
      </c>
      <c r="H97" s="136" t="s">
        <v>2244</v>
      </c>
      <c r="I97" s="136">
        <v>7.007787875E9</v>
      </c>
    </row>
    <row r="98">
      <c r="A98" s="136" t="s">
        <v>2245</v>
      </c>
      <c r="B98" s="136" t="s">
        <v>826</v>
      </c>
      <c r="C98" s="136" t="s">
        <v>2020</v>
      </c>
      <c r="D98" s="136" t="s">
        <v>2246</v>
      </c>
      <c r="E98" s="136" t="s">
        <v>1868</v>
      </c>
      <c r="F98" s="137" t="s">
        <v>2247</v>
      </c>
      <c r="G98" s="136" t="s">
        <v>681</v>
      </c>
      <c r="H98" s="136" t="s">
        <v>2248</v>
      </c>
      <c r="I98" s="136">
        <v>9.873967811E9</v>
      </c>
    </row>
    <row r="99">
      <c r="A99" s="136" t="s">
        <v>2249</v>
      </c>
      <c r="B99" s="136" t="s">
        <v>1125</v>
      </c>
      <c r="C99" s="136" t="s">
        <v>2250</v>
      </c>
      <c r="D99" s="136" t="s">
        <v>2251</v>
      </c>
      <c r="E99" s="136" t="s">
        <v>1872</v>
      </c>
      <c r="F99" s="137" t="s">
        <v>2252</v>
      </c>
      <c r="G99" s="136" t="s">
        <v>681</v>
      </c>
      <c r="H99" s="136" t="s">
        <v>2253</v>
      </c>
      <c r="I99" s="136">
        <v>7.060631501E9</v>
      </c>
    </row>
    <row r="100">
      <c r="A100" s="136" t="s">
        <v>2254</v>
      </c>
      <c r="B100" s="136" t="s">
        <v>533</v>
      </c>
      <c r="C100" s="136" t="s">
        <v>1983</v>
      </c>
      <c r="D100" s="136" t="s">
        <v>1984</v>
      </c>
      <c r="E100" s="136" t="s">
        <v>1868</v>
      </c>
      <c r="F100" s="137" t="s">
        <v>2255</v>
      </c>
      <c r="G100" s="136" t="s">
        <v>681</v>
      </c>
      <c r="H100" s="136" t="s">
        <v>1986</v>
      </c>
      <c r="I100" s="136">
        <v>7.417417704E9</v>
      </c>
    </row>
    <row r="101">
      <c r="A101" s="136" t="s">
        <v>2256</v>
      </c>
      <c r="B101" s="136" t="s">
        <v>533</v>
      </c>
      <c r="C101" s="136" t="s">
        <v>2257</v>
      </c>
      <c r="D101" s="136" t="s">
        <v>2258</v>
      </c>
      <c r="E101" s="136" t="s">
        <v>1876</v>
      </c>
      <c r="F101" s="137" t="s">
        <v>2259</v>
      </c>
      <c r="G101" s="136" t="s">
        <v>536</v>
      </c>
      <c r="H101" s="136" t="s">
        <v>2260</v>
      </c>
      <c r="I101" s="136">
        <v>8.318710375E9</v>
      </c>
    </row>
    <row r="102">
      <c r="A102" s="136" t="s">
        <v>2261</v>
      </c>
      <c r="B102" s="136" t="s">
        <v>877</v>
      </c>
      <c r="C102" s="136" t="s">
        <v>2262</v>
      </c>
      <c r="D102" s="136" t="s">
        <v>2263</v>
      </c>
      <c r="E102" s="136" t="s">
        <v>1868</v>
      </c>
      <c r="F102" s="137" t="s">
        <v>2264</v>
      </c>
      <c r="G102" s="136" t="s">
        <v>681</v>
      </c>
      <c r="H102" s="136" t="s">
        <v>2265</v>
      </c>
      <c r="I102" s="136">
        <v>9.079165524E9</v>
      </c>
    </row>
    <row r="103">
      <c r="A103" s="136" t="s">
        <v>2266</v>
      </c>
      <c r="B103" s="136" t="s">
        <v>1170</v>
      </c>
      <c r="C103" s="136" t="s">
        <v>2267</v>
      </c>
      <c r="D103" s="136" t="s">
        <v>1875</v>
      </c>
      <c r="E103" s="136" t="s">
        <v>1876</v>
      </c>
      <c r="F103" s="137" t="s">
        <v>2268</v>
      </c>
      <c r="G103" s="136" t="s">
        <v>536</v>
      </c>
      <c r="H103" s="136" t="s">
        <v>2269</v>
      </c>
      <c r="I103" s="136">
        <v>6.202795049E9</v>
      </c>
    </row>
    <row r="104">
      <c r="A104" s="136" t="s">
        <v>2270</v>
      </c>
      <c r="B104" s="136" t="s">
        <v>533</v>
      </c>
      <c r="C104" s="136" t="s">
        <v>622</v>
      </c>
      <c r="D104" s="136" t="s">
        <v>2271</v>
      </c>
      <c r="E104" s="136" t="s">
        <v>1872</v>
      </c>
      <c r="F104" s="137" t="s">
        <v>2272</v>
      </c>
      <c r="G104" s="136" t="s">
        <v>625</v>
      </c>
      <c r="H104" s="136" t="s">
        <v>2273</v>
      </c>
      <c r="I104" s="136">
        <v>7.388426585E9</v>
      </c>
    </row>
    <row r="105">
      <c r="A105" s="136" t="s">
        <v>2274</v>
      </c>
      <c r="B105" s="136" t="s">
        <v>533</v>
      </c>
      <c r="C105" s="136" t="s">
        <v>622</v>
      </c>
      <c r="D105" s="136" t="s">
        <v>2275</v>
      </c>
      <c r="E105" s="136" t="s">
        <v>1876</v>
      </c>
      <c r="F105" s="137" t="s">
        <v>2276</v>
      </c>
      <c r="G105" s="136" t="s">
        <v>681</v>
      </c>
      <c r="H105" s="136" t="s">
        <v>2277</v>
      </c>
      <c r="I105" s="136">
        <v>7.061355417E9</v>
      </c>
    </row>
    <row r="106">
      <c r="A106" s="136" t="s">
        <v>2278</v>
      </c>
      <c r="B106" s="136" t="s">
        <v>533</v>
      </c>
      <c r="C106" s="136" t="s">
        <v>622</v>
      </c>
      <c r="D106" s="136" t="s">
        <v>2186</v>
      </c>
      <c r="E106" s="136" t="s">
        <v>1868</v>
      </c>
      <c r="F106" s="137" t="s">
        <v>2279</v>
      </c>
      <c r="G106" s="136" t="s">
        <v>536</v>
      </c>
      <c r="H106" s="136" t="s">
        <v>2188</v>
      </c>
      <c r="I106" s="136">
        <v>9.35418293E9</v>
      </c>
    </row>
    <row r="107">
      <c r="A107" s="136" t="s">
        <v>2280</v>
      </c>
      <c r="B107" s="136" t="s">
        <v>533</v>
      </c>
      <c r="C107" s="136" t="s">
        <v>804</v>
      </c>
      <c r="D107" s="136" t="s">
        <v>2030</v>
      </c>
      <c r="E107" s="136" t="s">
        <v>1876</v>
      </c>
      <c r="F107" s="137" t="s">
        <v>2281</v>
      </c>
      <c r="G107" s="136" t="s">
        <v>625</v>
      </c>
      <c r="H107" s="136" t="s">
        <v>2032</v>
      </c>
      <c r="I107" s="136">
        <v>9.958513759E9</v>
      </c>
    </row>
    <row r="108">
      <c r="A108" s="136" t="s">
        <v>2282</v>
      </c>
      <c r="B108" s="136" t="s">
        <v>533</v>
      </c>
      <c r="C108" s="136" t="s">
        <v>1416</v>
      </c>
      <c r="D108" s="136" t="s">
        <v>2283</v>
      </c>
      <c r="E108" s="136" t="s">
        <v>1876</v>
      </c>
      <c r="F108" s="137" t="s">
        <v>2284</v>
      </c>
      <c r="G108" s="136" t="s">
        <v>681</v>
      </c>
      <c r="H108" s="136" t="s">
        <v>2285</v>
      </c>
      <c r="I108" s="136">
        <v>8.799190556E9</v>
      </c>
    </row>
    <row r="109">
      <c r="A109" s="136" t="s">
        <v>2286</v>
      </c>
      <c r="B109" s="136" t="s">
        <v>533</v>
      </c>
      <c r="C109" s="136" t="s">
        <v>622</v>
      </c>
      <c r="D109" s="136" t="s">
        <v>2287</v>
      </c>
      <c r="E109" s="136" t="s">
        <v>1876</v>
      </c>
      <c r="F109" s="137" t="s">
        <v>2288</v>
      </c>
      <c r="G109" s="136" t="s">
        <v>681</v>
      </c>
      <c r="H109" s="136" t="s">
        <v>2289</v>
      </c>
      <c r="I109" s="136">
        <v>9.999971805E9</v>
      </c>
    </row>
    <row r="110">
      <c r="A110" s="136" t="s">
        <v>2290</v>
      </c>
      <c r="B110" s="136" t="s">
        <v>533</v>
      </c>
      <c r="C110" s="136" t="s">
        <v>622</v>
      </c>
      <c r="D110" s="136" t="s">
        <v>2291</v>
      </c>
      <c r="E110" s="136" t="s">
        <v>1904</v>
      </c>
      <c r="F110" s="137" t="s">
        <v>2292</v>
      </c>
      <c r="G110" s="136" t="s">
        <v>681</v>
      </c>
      <c r="H110" s="136" t="s">
        <v>2293</v>
      </c>
      <c r="I110" s="136">
        <v>8.057747756E9</v>
      </c>
    </row>
    <row r="111">
      <c r="A111" s="136" t="s">
        <v>2294</v>
      </c>
      <c r="B111" s="136" t="s">
        <v>533</v>
      </c>
      <c r="C111" s="136" t="s">
        <v>622</v>
      </c>
      <c r="D111" s="136" t="s">
        <v>2295</v>
      </c>
      <c r="E111" s="136" t="s">
        <v>1876</v>
      </c>
      <c r="F111" s="137" t="s">
        <v>2296</v>
      </c>
      <c r="G111" s="136" t="s">
        <v>536</v>
      </c>
      <c r="H111" s="136" t="s">
        <v>2297</v>
      </c>
      <c r="I111" s="136">
        <v>7.048905197E9</v>
      </c>
    </row>
    <row r="112">
      <c r="A112" s="136" t="s">
        <v>2298</v>
      </c>
      <c r="B112" s="136" t="s">
        <v>533</v>
      </c>
      <c r="C112" s="136" t="s">
        <v>2116</v>
      </c>
      <c r="D112" s="136" t="s">
        <v>2299</v>
      </c>
      <c r="E112" s="136" t="s">
        <v>1876</v>
      </c>
      <c r="F112" s="137" t="s">
        <v>2300</v>
      </c>
      <c r="G112" s="136" t="s">
        <v>536</v>
      </c>
      <c r="H112" s="136" t="s">
        <v>2301</v>
      </c>
      <c r="I112" s="136">
        <v>8.824762451E9</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s>
  <drawing r:id="rId11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21.25"/>
    <col customWidth="1" min="3" max="3" width="27.63"/>
    <col customWidth="1" min="4" max="4" width="25.0"/>
    <col customWidth="1" min="5" max="5" width="30.88"/>
    <col customWidth="1" min="6" max="6" width="21.13"/>
  </cols>
  <sheetData>
    <row r="1">
      <c r="A1" s="129" t="s">
        <v>1439</v>
      </c>
      <c r="B1" s="3"/>
      <c r="C1" s="3"/>
      <c r="D1" s="3"/>
      <c r="E1" s="3"/>
      <c r="F1" s="5"/>
    </row>
    <row r="2">
      <c r="A2" s="129" t="s">
        <v>99</v>
      </c>
      <c r="B2" s="3"/>
      <c r="C2" s="3"/>
      <c r="D2" s="3"/>
      <c r="E2" s="3"/>
      <c r="F2" s="5"/>
    </row>
    <row r="3">
      <c r="A3" s="129" t="s">
        <v>2302</v>
      </c>
      <c r="B3" s="3"/>
      <c r="C3" s="3"/>
      <c r="D3" s="3"/>
      <c r="E3" s="3"/>
      <c r="F3" s="5"/>
    </row>
    <row r="4">
      <c r="A4" s="99" t="s">
        <v>2303</v>
      </c>
      <c r="B4" s="99" t="s">
        <v>515</v>
      </c>
      <c r="C4" s="99" t="s">
        <v>2304</v>
      </c>
      <c r="D4" s="99" t="s">
        <v>2305</v>
      </c>
      <c r="E4" s="99" t="s">
        <v>2306</v>
      </c>
      <c r="F4" s="18" t="s">
        <v>2307</v>
      </c>
    </row>
    <row r="5">
      <c r="A5" s="17">
        <v>1.0</v>
      </c>
      <c r="B5" s="17" t="s">
        <v>2308</v>
      </c>
      <c r="C5" s="17" t="s">
        <v>2309</v>
      </c>
      <c r="D5" s="17" t="s">
        <v>2310</v>
      </c>
      <c r="E5" s="17" t="s">
        <v>2311</v>
      </c>
      <c r="F5" s="138" t="s">
        <v>2312</v>
      </c>
    </row>
    <row r="6">
      <c r="A6" s="17">
        <v>2.0</v>
      </c>
      <c r="B6" s="17" t="s">
        <v>2313</v>
      </c>
      <c r="C6" s="17" t="s">
        <v>2314</v>
      </c>
      <c r="D6" s="17" t="s">
        <v>2315</v>
      </c>
      <c r="E6" s="17" t="s">
        <v>2316</v>
      </c>
      <c r="F6" s="138" t="s">
        <v>2317</v>
      </c>
    </row>
    <row r="7">
      <c r="A7" s="17">
        <v>3.0</v>
      </c>
      <c r="B7" s="17" t="s">
        <v>233</v>
      </c>
      <c r="C7" s="17" t="s">
        <v>2318</v>
      </c>
      <c r="D7" s="17" t="s">
        <v>2319</v>
      </c>
      <c r="E7" s="17" t="s">
        <v>2320</v>
      </c>
      <c r="F7" s="138" t="s">
        <v>2321</v>
      </c>
    </row>
    <row r="8">
      <c r="A8" s="17">
        <v>4.0</v>
      </c>
      <c r="B8" s="17" t="s">
        <v>2322</v>
      </c>
      <c r="C8" s="17" t="s">
        <v>2323</v>
      </c>
      <c r="D8" s="17" t="s">
        <v>2324</v>
      </c>
      <c r="E8" s="17" t="s">
        <v>2325</v>
      </c>
      <c r="F8" s="138" t="s">
        <v>2326</v>
      </c>
    </row>
    <row r="9">
      <c r="A9" s="17">
        <v>5.0</v>
      </c>
      <c r="B9" s="17" t="s">
        <v>176</v>
      </c>
      <c r="C9" s="17" t="s">
        <v>2327</v>
      </c>
      <c r="D9" s="17" t="s">
        <v>2328</v>
      </c>
      <c r="E9" s="17" t="s">
        <v>2329</v>
      </c>
      <c r="F9" s="138" t="s">
        <v>2330</v>
      </c>
    </row>
    <row r="10">
      <c r="A10" s="17">
        <v>6.0</v>
      </c>
      <c r="B10" s="17" t="s">
        <v>2331</v>
      </c>
      <c r="C10" s="17" t="s">
        <v>2332</v>
      </c>
      <c r="D10" s="17" t="s">
        <v>2333</v>
      </c>
      <c r="E10" s="17" t="s">
        <v>2334</v>
      </c>
      <c r="F10" s="138" t="s">
        <v>2335</v>
      </c>
    </row>
    <row r="11">
      <c r="A11" s="17">
        <v>7.0</v>
      </c>
      <c r="B11" s="17" t="s">
        <v>2336</v>
      </c>
      <c r="C11" s="17" t="s">
        <v>2337</v>
      </c>
      <c r="D11" s="17" t="s">
        <v>2319</v>
      </c>
      <c r="E11" s="17" t="s">
        <v>2338</v>
      </c>
      <c r="F11" s="138" t="s">
        <v>2339</v>
      </c>
    </row>
    <row r="12">
      <c r="A12" s="17">
        <v>8.0</v>
      </c>
      <c r="B12" s="17" t="s">
        <v>2340</v>
      </c>
      <c r="C12" s="17" t="s">
        <v>2341</v>
      </c>
      <c r="D12" s="17" t="s">
        <v>2328</v>
      </c>
      <c r="E12" s="17" t="s">
        <v>2325</v>
      </c>
      <c r="F12" s="138" t="s">
        <v>2342</v>
      </c>
    </row>
    <row r="13">
      <c r="A13" s="17">
        <v>9.0</v>
      </c>
      <c r="B13" s="17" t="s">
        <v>2343</v>
      </c>
      <c r="C13" s="17" t="s">
        <v>2344</v>
      </c>
      <c r="D13" s="17" t="s">
        <v>2345</v>
      </c>
      <c r="E13" s="17" t="s">
        <v>2346</v>
      </c>
      <c r="F13" s="138" t="s">
        <v>2347</v>
      </c>
    </row>
    <row r="14">
      <c r="A14" s="17">
        <v>10.0</v>
      </c>
      <c r="B14" s="17" t="s">
        <v>90</v>
      </c>
      <c r="C14" s="17" t="s">
        <v>2348</v>
      </c>
      <c r="D14" s="17" t="s">
        <v>2328</v>
      </c>
      <c r="E14" s="17" t="s">
        <v>2349</v>
      </c>
      <c r="F14" s="138" t="s">
        <v>2350</v>
      </c>
    </row>
    <row r="15">
      <c r="A15" s="17">
        <v>11.0</v>
      </c>
      <c r="B15" s="17" t="s">
        <v>1318</v>
      </c>
      <c r="C15" s="17" t="s">
        <v>2351</v>
      </c>
      <c r="D15" s="17" t="s">
        <v>2352</v>
      </c>
      <c r="E15" s="17" t="s">
        <v>2353</v>
      </c>
      <c r="F15" s="138" t="s">
        <v>2354</v>
      </c>
    </row>
    <row r="16">
      <c r="A16" s="17">
        <v>12.0</v>
      </c>
      <c r="B16" s="17" t="s">
        <v>2355</v>
      </c>
      <c r="C16" s="17" t="s">
        <v>2356</v>
      </c>
      <c r="D16" s="17" t="s">
        <v>2357</v>
      </c>
      <c r="E16" s="17" t="s">
        <v>2358</v>
      </c>
      <c r="F16" s="138" t="s">
        <v>2359</v>
      </c>
    </row>
    <row r="17">
      <c r="A17" s="17">
        <v>13.0</v>
      </c>
      <c r="B17" s="17" t="s">
        <v>2360</v>
      </c>
      <c r="C17" s="17" t="s">
        <v>2356</v>
      </c>
      <c r="D17" s="17" t="s">
        <v>2361</v>
      </c>
      <c r="E17" s="17" t="s">
        <v>2358</v>
      </c>
      <c r="F17" s="138" t="s">
        <v>2362</v>
      </c>
    </row>
    <row r="18">
      <c r="A18" s="17">
        <v>14.0</v>
      </c>
      <c r="B18" s="17" t="s">
        <v>2363</v>
      </c>
      <c r="C18" s="17" t="s">
        <v>2356</v>
      </c>
      <c r="D18" s="17" t="s">
        <v>2364</v>
      </c>
      <c r="E18" s="17" t="s">
        <v>2358</v>
      </c>
      <c r="F18" s="138" t="s">
        <v>2365</v>
      </c>
    </row>
  </sheetData>
  <mergeCells count="3">
    <mergeCell ref="A1:F1"/>
    <mergeCell ref="A2:F2"/>
    <mergeCell ref="A3:F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28.38"/>
    <col customWidth="1" min="5" max="5" width="38.25"/>
  </cols>
  <sheetData>
    <row r="1">
      <c r="A1" s="139" t="s">
        <v>2366</v>
      </c>
      <c r="B1" s="3"/>
      <c r="C1" s="3"/>
      <c r="D1" s="5"/>
      <c r="E1" s="140"/>
      <c r="F1" s="140"/>
      <c r="G1" s="140"/>
      <c r="H1" s="140"/>
    </row>
    <row r="2">
      <c r="A2" s="99" t="s">
        <v>1738</v>
      </c>
      <c r="B2" s="99" t="s">
        <v>2367</v>
      </c>
      <c r="C2" s="99" t="s">
        <v>2368</v>
      </c>
      <c r="D2" s="99" t="s">
        <v>2369</v>
      </c>
      <c r="E2" s="99" t="s">
        <v>2306</v>
      </c>
      <c r="F2" s="140"/>
      <c r="G2" s="140"/>
      <c r="H2" s="140"/>
    </row>
    <row r="3">
      <c r="A3" s="10">
        <v>1.0</v>
      </c>
      <c r="B3" s="10" t="s">
        <v>2370</v>
      </c>
      <c r="C3" s="10">
        <f>1+1+1+1+1+1</f>
        <v>6</v>
      </c>
      <c r="D3" s="10">
        <f>3+3+2+2+2+3+3</f>
        <v>18</v>
      </c>
      <c r="E3" s="99" t="s">
        <v>2371</v>
      </c>
      <c r="F3" s="140"/>
      <c r="G3" s="140"/>
      <c r="H3" s="140"/>
    </row>
    <row r="4">
      <c r="A4" s="10">
        <v>2.0</v>
      </c>
      <c r="B4" s="10" t="s">
        <v>2372</v>
      </c>
      <c r="C4" s="10">
        <v>1.0</v>
      </c>
      <c r="D4" s="10">
        <v>3.0</v>
      </c>
      <c r="E4" s="99" t="s">
        <v>2373</v>
      </c>
      <c r="F4" s="140"/>
      <c r="G4" s="140"/>
      <c r="H4" s="140"/>
    </row>
    <row r="5">
      <c r="A5" s="10">
        <v>3.0</v>
      </c>
      <c r="B5" s="10" t="s">
        <v>2374</v>
      </c>
      <c r="C5" s="10">
        <f>1+3</f>
        <v>4</v>
      </c>
      <c r="D5" s="10">
        <f>3+9+3</f>
        <v>15</v>
      </c>
      <c r="E5" s="99" t="s">
        <v>2375</v>
      </c>
      <c r="F5" s="140"/>
      <c r="G5" s="140"/>
      <c r="H5" s="140"/>
    </row>
    <row r="6">
      <c r="A6" s="10">
        <v>4.0</v>
      </c>
      <c r="B6" s="10" t="s">
        <v>2376</v>
      </c>
      <c r="C6" s="10">
        <f>1+1+1</f>
        <v>3</v>
      </c>
      <c r="D6" s="10">
        <f>3+2+3</f>
        <v>8</v>
      </c>
      <c r="E6" s="99" t="s">
        <v>2377</v>
      </c>
      <c r="F6" s="140"/>
      <c r="G6" s="140"/>
      <c r="H6" s="140"/>
    </row>
    <row r="7">
      <c r="A7" s="10">
        <v>5.0</v>
      </c>
      <c r="B7" s="10" t="s">
        <v>2378</v>
      </c>
      <c r="C7" s="10">
        <f>1+1+1+1</f>
        <v>4</v>
      </c>
      <c r="D7" s="10">
        <f>2+1+1+2</f>
        <v>6</v>
      </c>
      <c r="E7" s="99" t="s">
        <v>2379</v>
      </c>
      <c r="F7" s="140"/>
      <c r="G7" s="140"/>
      <c r="H7" s="140"/>
    </row>
    <row r="8">
      <c r="A8" s="10">
        <v>6.0</v>
      </c>
      <c r="B8" s="10" t="s">
        <v>2380</v>
      </c>
      <c r="C8" s="10">
        <f>4+1+1+6+1+1</f>
        <v>14</v>
      </c>
      <c r="D8" s="10">
        <f>8+2+2+12+2+3</f>
        <v>29</v>
      </c>
      <c r="E8" s="99" t="s">
        <v>2381</v>
      </c>
      <c r="F8" s="140"/>
      <c r="G8" s="140"/>
      <c r="H8" s="140"/>
    </row>
    <row r="9">
      <c r="A9" s="10">
        <v>7.0</v>
      </c>
      <c r="B9" s="10" t="s">
        <v>2382</v>
      </c>
      <c r="C9" s="10">
        <f t="shared" ref="C9:C10" si="1">1+1</f>
        <v>2</v>
      </c>
      <c r="D9" s="10">
        <f>3+3</f>
        <v>6</v>
      </c>
      <c r="E9" s="99" t="s">
        <v>2383</v>
      </c>
      <c r="F9" s="140"/>
      <c r="G9" s="140"/>
      <c r="H9" s="140"/>
    </row>
    <row r="10">
      <c r="A10" s="10">
        <v>8.0</v>
      </c>
      <c r="B10" s="10" t="s">
        <v>2384</v>
      </c>
      <c r="C10" s="10">
        <f t="shared" si="1"/>
        <v>2</v>
      </c>
      <c r="D10" s="10">
        <f>2+2</f>
        <v>4</v>
      </c>
      <c r="E10" s="141" t="s">
        <v>2385</v>
      </c>
      <c r="F10" s="140"/>
      <c r="G10" s="140"/>
      <c r="H10" s="140"/>
    </row>
    <row r="11">
      <c r="A11" s="10">
        <v>9.0</v>
      </c>
      <c r="B11" s="10" t="s">
        <v>2386</v>
      </c>
      <c r="C11" s="10">
        <f>1+1+1+1</f>
        <v>4</v>
      </c>
      <c r="D11" s="10">
        <f>2+3+1+2+3</f>
        <v>11</v>
      </c>
      <c r="E11" s="99" t="s">
        <v>2387</v>
      </c>
      <c r="F11" s="140"/>
      <c r="G11" s="140"/>
      <c r="H11" s="140"/>
    </row>
    <row r="12">
      <c r="A12" s="10">
        <v>10.0</v>
      </c>
      <c r="B12" s="10" t="s">
        <v>2388</v>
      </c>
      <c r="C12" s="10">
        <v>1.0</v>
      </c>
      <c r="D12" s="10">
        <v>2.0</v>
      </c>
      <c r="E12" s="99" t="s">
        <v>2389</v>
      </c>
      <c r="F12" s="140"/>
      <c r="G12" s="140"/>
      <c r="H12" s="140"/>
    </row>
    <row r="13">
      <c r="A13" s="10">
        <v>11.0</v>
      </c>
      <c r="B13" s="10" t="s">
        <v>2390</v>
      </c>
      <c r="C13" s="10">
        <v>1.0</v>
      </c>
      <c r="D13" s="10">
        <v>3.0</v>
      </c>
      <c r="E13" s="99" t="s">
        <v>2391</v>
      </c>
      <c r="F13" s="140"/>
      <c r="G13" s="140"/>
      <c r="H13" s="140"/>
    </row>
    <row r="14">
      <c r="A14" s="10">
        <v>12.0</v>
      </c>
      <c r="B14" s="10" t="s">
        <v>2392</v>
      </c>
      <c r="C14" s="10">
        <v>1.0</v>
      </c>
      <c r="D14" s="10">
        <v>2.0</v>
      </c>
      <c r="E14" s="99" t="s">
        <v>2393</v>
      </c>
      <c r="F14" s="140"/>
      <c r="G14" s="140"/>
      <c r="H14" s="140"/>
    </row>
    <row r="15">
      <c r="A15" s="139" t="s">
        <v>2394</v>
      </c>
      <c r="B15" s="5"/>
      <c r="C15" s="99">
        <f t="shared" ref="C15:D15" si="2">SUM(C3:C14)</f>
        <v>43</v>
      </c>
      <c r="D15" s="99">
        <f t="shared" si="2"/>
        <v>107</v>
      </c>
      <c r="E15" s="140"/>
      <c r="F15" s="140"/>
      <c r="G15" s="140"/>
      <c r="H15" s="140"/>
    </row>
    <row r="16">
      <c r="A16" s="139" t="s">
        <v>2395</v>
      </c>
      <c r="B16" s="3"/>
      <c r="C16" s="3"/>
      <c r="D16" s="3"/>
      <c r="E16" s="3"/>
      <c r="F16" s="5"/>
      <c r="G16" s="140"/>
      <c r="H16" s="140"/>
    </row>
    <row r="17">
      <c r="A17" s="139" t="s">
        <v>2396</v>
      </c>
      <c r="B17" s="3"/>
      <c r="C17" s="3"/>
      <c r="D17" s="3"/>
      <c r="E17" s="3"/>
      <c r="F17" s="5"/>
      <c r="G17" s="140"/>
      <c r="H17" s="140"/>
    </row>
    <row r="18">
      <c r="A18" s="139" t="s">
        <v>2397</v>
      </c>
      <c r="B18" s="3"/>
      <c r="C18" s="3"/>
      <c r="D18" s="3"/>
      <c r="E18" s="3"/>
      <c r="F18" s="5"/>
      <c r="G18" s="140"/>
      <c r="H18" s="140"/>
    </row>
    <row r="19">
      <c r="A19" s="99" t="s">
        <v>2398</v>
      </c>
      <c r="B19" s="99" t="s">
        <v>2399</v>
      </c>
      <c r="C19" s="99" t="s">
        <v>2400</v>
      </c>
      <c r="D19" s="99" t="s">
        <v>2401</v>
      </c>
      <c r="E19" s="99" t="s">
        <v>2402</v>
      </c>
      <c r="F19" s="99" t="s">
        <v>2403</v>
      </c>
      <c r="G19" s="140"/>
      <c r="H19" s="140"/>
    </row>
    <row r="20">
      <c r="A20" s="142">
        <v>1.0</v>
      </c>
      <c r="B20" s="10" t="s">
        <v>2404</v>
      </c>
      <c r="C20" s="10" t="s">
        <v>2405</v>
      </c>
      <c r="D20" s="10" t="s">
        <v>2406</v>
      </c>
      <c r="E20" s="10" t="s">
        <v>2407</v>
      </c>
      <c r="F20" s="142">
        <v>3.0</v>
      </c>
      <c r="G20" s="140"/>
      <c r="H20" s="140"/>
    </row>
    <row r="21">
      <c r="A21" s="142">
        <v>2.0</v>
      </c>
      <c r="B21" s="10" t="s">
        <v>2408</v>
      </c>
      <c r="C21" s="10" t="s">
        <v>2409</v>
      </c>
      <c r="D21" s="10" t="s">
        <v>2410</v>
      </c>
      <c r="E21" s="10" t="s">
        <v>2372</v>
      </c>
      <c r="F21" s="142">
        <v>3.0</v>
      </c>
      <c r="G21" s="140"/>
      <c r="H21" s="140"/>
    </row>
    <row r="22">
      <c r="A22" s="139" t="s">
        <v>1601</v>
      </c>
      <c r="B22" s="3"/>
      <c r="C22" s="3"/>
      <c r="D22" s="3"/>
      <c r="E22" s="5"/>
      <c r="F22" s="99">
        <v>6.0</v>
      </c>
      <c r="G22" s="140"/>
      <c r="H22" s="140"/>
    </row>
    <row r="23">
      <c r="A23" s="139" t="s">
        <v>2411</v>
      </c>
      <c r="B23" s="3"/>
      <c r="C23" s="3"/>
      <c r="D23" s="3"/>
      <c r="E23" s="3"/>
      <c r="F23" s="5"/>
      <c r="G23" s="140"/>
      <c r="H23" s="140"/>
    </row>
    <row r="24">
      <c r="A24" s="99" t="s">
        <v>2398</v>
      </c>
      <c r="B24" s="99" t="s">
        <v>2399</v>
      </c>
      <c r="C24" s="99" t="s">
        <v>2400</v>
      </c>
      <c r="D24" s="99" t="s">
        <v>2401</v>
      </c>
      <c r="E24" s="99" t="s">
        <v>2402</v>
      </c>
      <c r="F24" s="99" t="s">
        <v>2403</v>
      </c>
      <c r="G24" s="140"/>
      <c r="H24" s="140"/>
    </row>
    <row r="25">
      <c r="A25" s="10">
        <v>1.0</v>
      </c>
      <c r="B25" s="10" t="s">
        <v>2406</v>
      </c>
      <c r="C25" s="10" t="s">
        <v>2405</v>
      </c>
      <c r="D25" s="10" t="s">
        <v>2404</v>
      </c>
      <c r="E25" s="10" t="s">
        <v>2412</v>
      </c>
      <c r="F25" s="10">
        <v>3.0</v>
      </c>
      <c r="G25" s="140"/>
      <c r="H25" s="140"/>
    </row>
    <row r="26">
      <c r="A26" s="10">
        <v>2.0</v>
      </c>
      <c r="B26" s="10" t="s">
        <v>2413</v>
      </c>
      <c r="C26" s="10" t="s">
        <v>2414</v>
      </c>
      <c r="D26" s="10" t="s">
        <v>2415</v>
      </c>
      <c r="E26" s="10" t="s">
        <v>2374</v>
      </c>
      <c r="F26" s="10">
        <v>3.0</v>
      </c>
      <c r="G26" s="140"/>
      <c r="H26" s="140"/>
    </row>
    <row r="27">
      <c r="A27" s="10">
        <v>3.0</v>
      </c>
      <c r="B27" s="10" t="s">
        <v>2416</v>
      </c>
      <c r="C27" s="10" t="s">
        <v>2417</v>
      </c>
      <c r="D27" s="10" t="s">
        <v>2418</v>
      </c>
      <c r="E27" s="10" t="s">
        <v>2376</v>
      </c>
      <c r="F27" s="10">
        <v>3.0</v>
      </c>
      <c r="G27" s="140"/>
      <c r="H27" s="140"/>
    </row>
    <row r="28">
      <c r="A28" s="10">
        <v>4.0</v>
      </c>
      <c r="B28" s="10" t="s">
        <v>2419</v>
      </c>
      <c r="C28" s="140" t="s">
        <v>2420</v>
      </c>
      <c r="D28" s="140" t="s">
        <v>2420</v>
      </c>
      <c r="E28" s="10" t="s">
        <v>2378</v>
      </c>
      <c r="F28" s="10">
        <v>2.0</v>
      </c>
      <c r="G28" s="140"/>
      <c r="H28" s="140"/>
    </row>
    <row r="29">
      <c r="A29" s="10">
        <v>5.0</v>
      </c>
      <c r="B29" s="10" t="s">
        <v>2421</v>
      </c>
      <c r="C29" s="140" t="s">
        <v>2420</v>
      </c>
      <c r="D29" s="140" t="s">
        <v>2420</v>
      </c>
      <c r="E29" s="10" t="s">
        <v>2380</v>
      </c>
      <c r="F29" s="10">
        <v>2.0</v>
      </c>
      <c r="G29" s="140"/>
      <c r="H29" s="140"/>
    </row>
    <row r="30">
      <c r="A30" s="10">
        <v>6.0</v>
      </c>
      <c r="B30" s="10" t="s">
        <v>2422</v>
      </c>
      <c r="C30" s="140" t="s">
        <v>2420</v>
      </c>
      <c r="D30" s="140" t="s">
        <v>2420</v>
      </c>
      <c r="E30" s="10" t="s">
        <v>2380</v>
      </c>
      <c r="F30" s="10">
        <v>2.0</v>
      </c>
      <c r="G30" s="140"/>
      <c r="H30" s="140"/>
    </row>
    <row r="31">
      <c r="A31" s="10">
        <v>7.0</v>
      </c>
      <c r="B31" s="10" t="s">
        <v>2423</v>
      </c>
      <c r="C31" s="140" t="s">
        <v>2420</v>
      </c>
      <c r="D31" s="140" t="s">
        <v>2420</v>
      </c>
      <c r="E31" s="10" t="s">
        <v>2380</v>
      </c>
      <c r="F31" s="10">
        <v>2.0</v>
      </c>
      <c r="G31" s="140"/>
      <c r="H31" s="140"/>
    </row>
    <row r="32">
      <c r="A32" s="10">
        <v>8.0</v>
      </c>
      <c r="B32" s="10" t="s">
        <v>2424</v>
      </c>
      <c r="C32" s="140" t="s">
        <v>2420</v>
      </c>
      <c r="D32" s="140" t="s">
        <v>2420</v>
      </c>
      <c r="E32" s="10" t="s">
        <v>2380</v>
      </c>
      <c r="F32" s="10">
        <v>2.0</v>
      </c>
      <c r="G32" s="140"/>
      <c r="H32" s="140"/>
    </row>
    <row r="33">
      <c r="A33" s="140"/>
      <c r="B33" s="139" t="s">
        <v>1601</v>
      </c>
      <c r="C33" s="3"/>
      <c r="D33" s="3"/>
      <c r="E33" s="5"/>
      <c r="F33" s="99">
        <f>SUM(F25:F32)</f>
        <v>19</v>
      </c>
      <c r="G33" s="140"/>
      <c r="H33" s="140"/>
    </row>
    <row r="34">
      <c r="A34" s="139" t="s">
        <v>2425</v>
      </c>
      <c r="B34" s="3"/>
      <c r="C34" s="3"/>
      <c r="D34" s="3"/>
      <c r="E34" s="3"/>
      <c r="F34" s="5"/>
      <c r="G34" s="140"/>
      <c r="H34" s="140"/>
    </row>
    <row r="35">
      <c r="A35" s="99" t="s">
        <v>2398</v>
      </c>
      <c r="B35" s="99" t="s">
        <v>2426</v>
      </c>
      <c r="C35" s="99" t="s">
        <v>2427</v>
      </c>
      <c r="D35" s="99" t="s">
        <v>2428</v>
      </c>
      <c r="E35" s="99" t="s">
        <v>2402</v>
      </c>
      <c r="F35" s="99" t="s">
        <v>2403</v>
      </c>
      <c r="G35" s="140"/>
      <c r="H35" s="140"/>
    </row>
    <row r="36">
      <c r="A36" s="10">
        <v>1.0</v>
      </c>
      <c r="B36" s="10" t="s">
        <v>2421</v>
      </c>
      <c r="C36" s="10" t="s">
        <v>2429</v>
      </c>
      <c r="D36" s="140" t="s">
        <v>2420</v>
      </c>
      <c r="E36" s="10" t="s">
        <v>2380</v>
      </c>
      <c r="F36" s="10">
        <v>2.0</v>
      </c>
      <c r="G36" s="140"/>
      <c r="H36" s="140"/>
    </row>
    <row r="37">
      <c r="A37" s="10">
        <v>2.0</v>
      </c>
      <c r="B37" s="10" t="s">
        <v>2430</v>
      </c>
      <c r="C37" s="10" t="s">
        <v>2431</v>
      </c>
      <c r="D37" s="10" t="s">
        <v>2432</v>
      </c>
      <c r="E37" s="10" t="s">
        <v>2382</v>
      </c>
      <c r="F37" s="10">
        <v>3.0</v>
      </c>
      <c r="G37" s="140"/>
      <c r="H37" s="140"/>
    </row>
    <row r="38">
      <c r="A38" s="10">
        <v>3.0</v>
      </c>
      <c r="B38" s="10" t="s">
        <v>2419</v>
      </c>
      <c r="C38" s="140" t="s">
        <v>2420</v>
      </c>
      <c r="D38" s="140" t="s">
        <v>2420</v>
      </c>
      <c r="E38" s="10" t="s">
        <v>2378</v>
      </c>
      <c r="F38" s="10">
        <v>1.0</v>
      </c>
      <c r="G38" s="140"/>
      <c r="H38" s="140"/>
    </row>
    <row r="39">
      <c r="A39" s="140"/>
      <c r="B39" s="139" t="s">
        <v>1601</v>
      </c>
      <c r="C39" s="3"/>
      <c r="D39" s="3"/>
      <c r="E39" s="5"/>
      <c r="F39" s="99">
        <f>SUM(F36:F38)</f>
        <v>6</v>
      </c>
      <c r="G39" s="140"/>
      <c r="H39" s="140"/>
    </row>
    <row r="40">
      <c r="A40" s="139" t="s">
        <v>2433</v>
      </c>
      <c r="B40" s="3"/>
      <c r="C40" s="3"/>
      <c r="D40" s="3"/>
      <c r="E40" s="3"/>
      <c r="F40" s="5"/>
      <c r="G40" s="140"/>
      <c r="H40" s="140"/>
    </row>
    <row r="41">
      <c r="A41" s="99" t="s">
        <v>2434</v>
      </c>
      <c r="B41" s="99" t="s">
        <v>2426</v>
      </c>
      <c r="C41" s="99" t="s">
        <v>2400</v>
      </c>
      <c r="D41" s="99" t="s">
        <v>2401</v>
      </c>
      <c r="E41" s="99" t="s">
        <v>2402</v>
      </c>
      <c r="F41" s="99" t="s">
        <v>2403</v>
      </c>
      <c r="G41" s="140"/>
      <c r="H41" s="140"/>
    </row>
    <row r="42">
      <c r="A42" s="10">
        <v>1.0</v>
      </c>
      <c r="B42" s="10" t="s">
        <v>2435</v>
      </c>
      <c r="C42" s="10" t="s">
        <v>2436</v>
      </c>
      <c r="D42" s="140"/>
      <c r="E42" s="10" t="s">
        <v>2437</v>
      </c>
      <c r="F42" s="10">
        <v>2.0</v>
      </c>
      <c r="G42" s="140"/>
      <c r="H42" s="140"/>
    </row>
    <row r="43">
      <c r="A43" s="10">
        <v>2.0</v>
      </c>
      <c r="B43" s="10" t="s">
        <v>2438</v>
      </c>
      <c r="C43" s="140"/>
      <c r="D43" s="140"/>
      <c r="E43" s="10" t="s">
        <v>2378</v>
      </c>
      <c r="F43" s="10">
        <v>1.0</v>
      </c>
      <c r="G43" s="140"/>
      <c r="H43" s="140"/>
    </row>
    <row r="44">
      <c r="A44" s="139" t="s">
        <v>2439</v>
      </c>
      <c r="B44" s="3"/>
      <c r="C44" s="3"/>
      <c r="D44" s="3"/>
      <c r="E44" s="5"/>
      <c r="F44" s="99">
        <v>3.0</v>
      </c>
      <c r="G44" s="140"/>
      <c r="H44" s="140"/>
    </row>
    <row r="45">
      <c r="A45" s="139" t="s">
        <v>2440</v>
      </c>
      <c r="B45" s="3"/>
      <c r="C45" s="3"/>
      <c r="D45" s="3"/>
      <c r="E45" s="3"/>
      <c r="F45" s="5"/>
      <c r="G45" s="140"/>
      <c r="H45" s="140"/>
    </row>
    <row r="46">
      <c r="A46" s="99" t="s">
        <v>2398</v>
      </c>
      <c r="B46" s="99" t="s">
        <v>2399</v>
      </c>
      <c r="C46" s="99" t="s">
        <v>2400</v>
      </c>
      <c r="D46" s="99" t="s">
        <v>2401</v>
      </c>
      <c r="E46" s="99" t="s">
        <v>2402</v>
      </c>
      <c r="F46" s="99" t="s">
        <v>2403</v>
      </c>
      <c r="G46" s="140"/>
      <c r="H46" s="140"/>
    </row>
    <row r="47">
      <c r="A47" s="142">
        <v>1.0</v>
      </c>
      <c r="B47" s="10" t="s">
        <v>2406</v>
      </c>
      <c r="C47" s="10" t="s">
        <v>2405</v>
      </c>
      <c r="D47" s="140"/>
      <c r="E47" s="10" t="s">
        <v>2441</v>
      </c>
      <c r="F47" s="142">
        <v>2.0</v>
      </c>
      <c r="G47" s="140"/>
      <c r="H47" s="140"/>
    </row>
    <row r="48">
      <c r="A48" s="142">
        <v>2.0</v>
      </c>
      <c r="B48" s="10" t="s">
        <v>2442</v>
      </c>
      <c r="C48" s="10" t="s">
        <v>2443</v>
      </c>
      <c r="D48" s="10" t="s">
        <v>2444</v>
      </c>
      <c r="E48" s="10" t="s">
        <v>2445</v>
      </c>
      <c r="F48" s="142">
        <v>3.0</v>
      </c>
      <c r="G48" s="140"/>
      <c r="H48" s="140"/>
    </row>
    <row r="49">
      <c r="A49" s="142">
        <v>3.0</v>
      </c>
      <c r="B49" s="10" t="s">
        <v>2446</v>
      </c>
      <c r="C49" s="10" t="s">
        <v>2446</v>
      </c>
      <c r="D49" s="140"/>
      <c r="E49" s="10" t="s">
        <v>2447</v>
      </c>
      <c r="F49" s="142">
        <v>2.0</v>
      </c>
      <c r="G49" s="140"/>
      <c r="H49" s="140"/>
    </row>
    <row r="50">
      <c r="A50" s="142">
        <v>4.0</v>
      </c>
      <c r="B50" s="10" t="s">
        <v>2448</v>
      </c>
      <c r="C50" s="10" t="s">
        <v>2448</v>
      </c>
      <c r="D50" s="143" t="s">
        <v>2449</v>
      </c>
      <c r="E50" s="10" t="s">
        <v>2382</v>
      </c>
      <c r="F50" s="142">
        <v>2.0</v>
      </c>
      <c r="G50" s="140"/>
      <c r="H50" s="140"/>
    </row>
    <row r="51">
      <c r="A51" s="142">
        <v>5.0</v>
      </c>
      <c r="B51" s="10" t="s">
        <v>2450</v>
      </c>
      <c r="C51" s="10" t="s">
        <v>2451</v>
      </c>
      <c r="D51" s="10" t="s">
        <v>2452</v>
      </c>
      <c r="E51" s="10" t="s">
        <v>2453</v>
      </c>
      <c r="F51" s="142">
        <v>3.0</v>
      </c>
      <c r="G51" s="140"/>
      <c r="H51" s="140"/>
    </row>
    <row r="52">
      <c r="A52" s="142">
        <v>6.0</v>
      </c>
      <c r="B52" s="10" t="s">
        <v>2454</v>
      </c>
      <c r="C52" s="10" t="s">
        <v>2448</v>
      </c>
      <c r="D52" s="143" t="s">
        <v>2449</v>
      </c>
      <c r="E52" s="10" t="s">
        <v>2382</v>
      </c>
      <c r="F52" s="142">
        <v>2.0</v>
      </c>
      <c r="G52" s="140"/>
      <c r="H52" s="140"/>
    </row>
    <row r="53">
      <c r="A53" s="142">
        <v>7.0</v>
      </c>
      <c r="B53" s="10" t="s">
        <v>2455</v>
      </c>
      <c r="C53" s="10" t="s">
        <v>2456</v>
      </c>
      <c r="D53" s="140"/>
      <c r="E53" s="10" t="s">
        <v>2457</v>
      </c>
      <c r="F53" s="142">
        <v>2.0</v>
      </c>
      <c r="G53" s="140"/>
      <c r="H53" s="140"/>
    </row>
    <row r="54">
      <c r="A54" s="142">
        <v>8.0</v>
      </c>
      <c r="B54" s="10" t="s">
        <v>2458</v>
      </c>
      <c r="C54" s="10" t="s">
        <v>2459</v>
      </c>
      <c r="D54" s="10" t="s">
        <v>2460</v>
      </c>
      <c r="E54" s="10" t="s">
        <v>2445</v>
      </c>
      <c r="F54" s="142">
        <v>2.0</v>
      </c>
      <c r="G54" s="140"/>
      <c r="H54" s="140"/>
    </row>
    <row r="55">
      <c r="A55" s="142">
        <v>9.0</v>
      </c>
      <c r="B55" s="10" t="s">
        <v>2461</v>
      </c>
      <c r="C55" s="10" t="s">
        <v>2462</v>
      </c>
      <c r="D55" s="10" t="s">
        <v>2463</v>
      </c>
      <c r="E55" s="10" t="s">
        <v>2447</v>
      </c>
      <c r="F55" s="142">
        <v>3.0</v>
      </c>
      <c r="G55" s="140"/>
      <c r="H55" s="140"/>
    </row>
    <row r="56">
      <c r="A56" s="142">
        <v>10.0</v>
      </c>
      <c r="B56" s="10" t="s">
        <v>2464</v>
      </c>
      <c r="C56" s="10" t="s">
        <v>2465</v>
      </c>
      <c r="D56" s="10" t="s">
        <v>2466</v>
      </c>
      <c r="E56" s="10" t="s">
        <v>2457</v>
      </c>
      <c r="F56" s="142">
        <v>3.0</v>
      </c>
      <c r="G56" s="140"/>
      <c r="H56" s="140"/>
    </row>
    <row r="57">
      <c r="A57" s="142">
        <v>11.0</v>
      </c>
      <c r="B57" s="10" t="s">
        <v>2467</v>
      </c>
      <c r="C57" s="10" t="s">
        <v>2468</v>
      </c>
      <c r="D57" s="140"/>
      <c r="E57" s="10" t="s">
        <v>2380</v>
      </c>
      <c r="F57" s="142">
        <v>2.0</v>
      </c>
      <c r="G57" s="140"/>
      <c r="H57" s="140"/>
    </row>
    <row r="58">
      <c r="A58" s="142">
        <v>12.0</v>
      </c>
      <c r="B58" s="10" t="s">
        <v>2469</v>
      </c>
      <c r="C58" s="10" t="s">
        <v>2470</v>
      </c>
      <c r="D58" s="140"/>
      <c r="E58" s="10" t="s">
        <v>2388</v>
      </c>
      <c r="F58" s="10">
        <v>2.0</v>
      </c>
      <c r="G58" s="140"/>
      <c r="H58" s="140"/>
    </row>
    <row r="59">
      <c r="A59" s="142">
        <v>13.0</v>
      </c>
      <c r="B59" s="10" t="s">
        <v>2471</v>
      </c>
      <c r="C59" s="10" t="s">
        <v>2472</v>
      </c>
      <c r="D59" s="10" t="s">
        <v>2473</v>
      </c>
      <c r="E59" s="10" t="s">
        <v>2474</v>
      </c>
      <c r="F59" s="10">
        <v>3.0</v>
      </c>
      <c r="G59" s="140"/>
      <c r="H59" s="140"/>
    </row>
    <row r="60">
      <c r="A60" s="142">
        <v>14.0</v>
      </c>
      <c r="B60" s="10" t="s">
        <v>2475</v>
      </c>
      <c r="C60" s="10" t="s">
        <v>2476</v>
      </c>
      <c r="D60" s="140"/>
      <c r="E60" s="10" t="s">
        <v>2477</v>
      </c>
      <c r="F60" s="10">
        <v>2.0</v>
      </c>
      <c r="G60" s="140"/>
      <c r="H60" s="140"/>
    </row>
    <row r="61">
      <c r="A61" s="140"/>
      <c r="B61" s="139" t="s">
        <v>1601</v>
      </c>
      <c r="C61" s="3"/>
      <c r="D61" s="3"/>
      <c r="E61" s="5"/>
      <c r="F61" s="99">
        <v>40.0</v>
      </c>
      <c r="G61" s="140"/>
      <c r="H61" s="140"/>
    </row>
    <row r="62">
      <c r="A62" s="139" t="s">
        <v>2478</v>
      </c>
      <c r="B62" s="3"/>
      <c r="C62" s="3"/>
      <c r="D62" s="3"/>
      <c r="E62" s="3"/>
      <c r="F62" s="3"/>
      <c r="G62" s="3"/>
      <c r="H62" s="5"/>
    </row>
    <row r="63">
      <c r="A63" s="99" t="s">
        <v>2398</v>
      </c>
      <c r="B63" s="99" t="s">
        <v>2399</v>
      </c>
      <c r="C63" s="99" t="s">
        <v>2400</v>
      </c>
      <c r="D63" s="99" t="s">
        <v>2428</v>
      </c>
      <c r="E63" s="99" t="s">
        <v>2479</v>
      </c>
      <c r="F63" s="99" t="s">
        <v>2480</v>
      </c>
      <c r="G63" s="99" t="s">
        <v>2402</v>
      </c>
      <c r="H63" s="99" t="s">
        <v>2403</v>
      </c>
    </row>
    <row r="64">
      <c r="A64" s="142">
        <v>1.0</v>
      </c>
      <c r="B64" s="10" t="s">
        <v>2405</v>
      </c>
      <c r="C64" s="10" t="s">
        <v>2436</v>
      </c>
      <c r="D64" s="140"/>
      <c r="E64" s="140"/>
      <c r="F64" s="140"/>
      <c r="G64" s="10" t="s">
        <v>2481</v>
      </c>
      <c r="H64" s="142">
        <v>2.0</v>
      </c>
    </row>
    <row r="65">
      <c r="A65" s="142">
        <v>2.0</v>
      </c>
      <c r="B65" s="10" t="s">
        <v>2446</v>
      </c>
      <c r="C65" s="140"/>
      <c r="D65" s="140"/>
      <c r="E65" s="140"/>
      <c r="F65" s="140"/>
      <c r="G65" s="10" t="s">
        <v>2482</v>
      </c>
      <c r="H65" s="142">
        <v>1.0</v>
      </c>
    </row>
    <row r="66">
      <c r="A66" s="140"/>
      <c r="B66" s="139" t="s">
        <v>1601</v>
      </c>
      <c r="C66" s="3"/>
      <c r="D66" s="3"/>
      <c r="E66" s="3"/>
      <c r="F66" s="3"/>
      <c r="G66" s="5"/>
      <c r="H66" s="99">
        <v>3.0</v>
      </c>
    </row>
    <row r="67">
      <c r="A67" s="139" t="s">
        <v>1022</v>
      </c>
      <c r="B67" s="3"/>
      <c r="C67" s="3"/>
      <c r="D67" s="3"/>
      <c r="E67" s="3"/>
      <c r="F67" s="5"/>
      <c r="G67" s="140"/>
      <c r="H67" s="140"/>
    </row>
    <row r="68">
      <c r="A68" s="18" t="s">
        <v>2483</v>
      </c>
      <c r="B68" s="99" t="s">
        <v>2426</v>
      </c>
      <c r="C68" s="99" t="s">
        <v>2484</v>
      </c>
      <c r="D68" s="99" t="s">
        <v>2485</v>
      </c>
      <c r="E68" s="99" t="s">
        <v>2402</v>
      </c>
      <c r="F68" s="99" t="s">
        <v>2403</v>
      </c>
      <c r="G68" s="140"/>
      <c r="H68" s="140"/>
    </row>
    <row r="69">
      <c r="A69" s="17">
        <v>1.0</v>
      </c>
      <c r="B69" s="17" t="s">
        <v>2486</v>
      </c>
      <c r="C69" s="140"/>
      <c r="D69" s="140"/>
      <c r="E69" s="17" t="s">
        <v>2482</v>
      </c>
      <c r="F69" s="17">
        <v>2.0</v>
      </c>
      <c r="G69" s="140"/>
      <c r="H69" s="140"/>
    </row>
    <row r="70">
      <c r="A70" s="140"/>
      <c r="B70" s="140"/>
      <c r="C70" s="140"/>
      <c r="D70" s="140"/>
      <c r="E70" s="10" t="s">
        <v>2394</v>
      </c>
      <c r="F70" s="10">
        <v>2.0</v>
      </c>
      <c r="G70" s="140"/>
      <c r="H70" s="140"/>
    </row>
    <row r="71">
      <c r="A71" s="139" t="s">
        <v>2487</v>
      </c>
      <c r="B71" s="3"/>
      <c r="C71" s="3"/>
      <c r="D71" s="3"/>
      <c r="E71" s="3"/>
      <c r="F71" s="5"/>
      <c r="G71" s="140"/>
      <c r="H71" s="140"/>
    </row>
    <row r="72">
      <c r="A72" s="99" t="s">
        <v>2398</v>
      </c>
      <c r="B72" s="99" t="s">
        <v>2426</v>
      </c>
      <c r="C72" s="99" t="s">
        <v>2484</v>
      </c>
      <c r="D72" s="99" t="s">
        <v>2485</v>
      </c>
      <c r="E72" s="99" t="s">
        <v>2402</v>
      </c>
      <c r="F72" s="99" t="s">
        <v>2403</v>
      </c>
      <c r="G72" s="140"/>
      <c r="H72" s="140"/>
    </row>
    <row r="73">
      <c r="A73" s="10">
        <v>1.0</v>
      </c>
      <c r="B73" s="10" t="s">
        <v>2405</v>
      </c>
      <c r="C73" s="10" t="s">
        <v>2436</v>
      </c>
      <c r="D73" s="10" t="s">
        <v>2404</v>
      </c>
      <c r="E73" s="10" t="s">
        <v>2488</v>
      </c>
      <c r="F73" s="10">
        <v>3.0</v>
      </c>
      <c r="G73" s="140"/>
      <c r="H73" s="140"/>
    </row>
    <row r="74">
      <c r="A74" s="10">
        <v>2.0</v>
      </c>
      <c r="B74" s="10" t="s">
        <v>2421</v>
      </c>
      <c r="C74" s="140"/>
      <c r="D74" s="140"/>
      <c r="E74" s="10" t="s">
        <v>2380</v>
      </c>
      <c r="F74" s="10">
        <v>2.0</v>
      </c>
      <c r="G74" s="140"/>
      <c r="H74" s="140"/>
    </row>
    <row r="75">
      <c r="A75" s="10">
        <v>3.0</v>
      </c>
      <c r="B75" s="10" t="s">
        <v>2489</v>
      </c>
      <c r="C75" s="140"/>
      <c r="D75" s="140"/>
      <c r="E75" s="10" t="s">
        <v>2380</v>
      </c>
      <c r="F75" s="10">
        <v>2.0</v>
      </c>
      <c r="G75" s="140"/>
      <c r="H75" s="140"/>
    </row>
    <row r="76">
      <c r="A76" s="10">
        <v>4.0</v>
      </c>
      <c r="B76" s="10" t="s">
        <v>2490</v>
      </c>
      <c r="C76" s="140"/>
      <c r="D76" s="140"/>
      <c r="E76" s="10" t="s">
        <v>2380</v>
      </c>
      <c r="F76" s="10">
        <v>2.0</v>
      </c>
      <c r="G76" s="140"/>
      <c r="H76" s="140"/>
    </row>
    <row r="77">
      <c r="A77" s="10">
        <v>5.0</v>
      </c>
      <c r="B77" s="10" t="s">
        <v>2491</v>
      </c>
      <c r="C77" s="140"/>
      <c r="D77" s="140"/>
      <c r="E77" s="10" t="s">
        <v>2380</v>
      </c>
      <c r="F77" s="10">
        <v>2.0</v>
      </c>
      <c r="G77" s="140"/>
      <c r="H77" s="140"/>
    </row>
    <row r="78">
      <c r="A78" s="10">
        <v>6.0</v>
      </c>
      <c r="B78" s="10" t="s">
        <v>2492</v>
      </c>
      <c r="C78" s="140"/>
      <c r="D78" s="140"/>
      <c r="E78" s="10" t="s">
        <v>2380</v>
      </c>
      <c r="F78" s="10">
        <v>2.0</v>
      </c>
      <c r="G78" s="140"/>
      <c r="H78" s="140"/>
    </row>
    <row r="79">
      <c r="A79" s="10">
        <v>7.0</v>
      </c>
      <c r="B79" s="10" t="s">
        <v>2493</v>
      </c>
      <c r="C79" s="140"/>
      <c r="D79" s="140"/>
      <c r="E79" s="10" t="s">
        <v>2380</v>
      </c>
      <c r="F79" s="10">
        <v>2.0</v>
      </c>
      <c r="G79" s="140"/>
      <c r="H79" s="140"/>
    </row>
    <row r="80">
      <c r="A80" s="10">
        <v>8.0</v>
      </c>
      <c r="B80" s="10" t="s">
        <v>2494</v>
      </c>
      <c r="C80" s="10" t="s">
        <v>2495</v>
      </c>
      <c r="D80" s="10" t="s">
        <v>2496</v>
      </c>
      <c r="E80" s="10" t="s">
        <v>2374</v>
      </c>
      <c r="F80" s="10">
        <v>3.0</v>
      </c>
      <c r="G80" s="140"/>
      <c r="H80" s="140"/>
    </row>
    <row r="81">
      <c r="A81" s="10">
        <v>9.0</v>
      </c>
      <c r="B81" s="10" t="s">
        <v>2497</v>
      </c>
      <c r="C81" s="10" t="s">
        <v>2498</v>
      </c>
      <c r="D81" s="10" t="s">
        <v>2499</v>
      </c>
      <c r="E81" s="10" t="s">
        <v>2374</v>
      </c>
      <c r="F81" s="10">
        <v>3.0</v>
      </c>
      <c r="G81" s="140"/>
      <c r="H81" s="140"/>
    </row>
    <row r="82">
      <c r="A82" s="10">
        <v>10.0</v>
      </c>
      <c r="B82" s="10" t="s">
        <v>2500</v>
      </c>
      <c r="C82" s="10" t="s">
        <v>2501</v>
      </c>
      <c r="D82" s="10" t="s">
        <v>2502</v>
      </c>
      <c r="E82" s="10" t="s">
        <v>2374</v>
      </c>
      <c r="F82" s="10">
        <v>3.0</v>
      </c>
      <c r="G82" s="140"/>
      <c r="H82" s="140"/>
    </row>
    <row r="83">
      <c r="A83" s="10">
        <v>11.0</v>
      </c>
      <c r="B83" s="10" t="s">
        <v>2503</v>
      </c>
      <c r="C83" s="140"/>
      <c r="D83" s="140"/>
      <c r="E83" s="10" t="s">
        <v>2504</v>
      </c>
      <c r="F83" s="10">
        <v>2.0</v>
      </c>
      <c r="G83" s="140"/>
      <c r="H83" s="140"/>
    </row>
    <row r="84">
      <c r="A84" s="10">
        <v>12.0</v>
      </c>
      <c r="B84" s="10" t="s">
        <v>2438</v>
      </c>
      <c r="C84" s="140"/>
      <c r="D84" s="140"/>
      <c r="E84" s="10" t="s">
        <v>2378</v>
      </c>
      <c r="F84" s="10">
        <v>2.0</v>
      </c>
      <c r="G84" s="140"/>
      <c r="H84" s="140"/>
    </row>
    <row r="85">
      <c r="A85" s="140"/>
      <c r="B85" s="139" t="s">
        <v>2439</v>
      </c>
      <c r="C85" s="3"/>
      <c r="D85" s="3"/>
      <c r="E85" s="5"/>
      <c r="F85" s="99">
        <v>28.0</v>
      </c>
      <c r="G85" s="140"/>
      <c r="H85" s="140"/>
    </row>
  </sheetData>
  <mergeCells count="19">
    <mergeCell ref="A1:D1"/>
    <mergeCell ref="A15:B15"/>
    <mergeCell ref="A16:F16"/>
    <mergeCell ref="A17:F17"/>
    <mergeCell ref="A18:F18"/>
    <mergeCell ref="A22:E22"/>
    <mergeCell ref="A23:F23"/>
    <mergeCell ref="A62:H62"/>
    <mergeCell ref="B66:G66"/>
    <mergeCell ref="A67:F67"/>
    <mergeCell ref="A71:F71"/>
    <mergeCell ref="B85:E85"/>
    <mergeCell ref="B33:E33"/>
    <mergeCell ref="A34:F34"/>
    <mergeCell ref="B39:E39"/>
    <mergeCell ref="A40:F40"/>
    <mergeCell ref="A44:E44"/>
    <mergeCell ref="A45:F45"/>
    <mergeCell ref="B61:E6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26.63"/>
    <col customWidth="1" min="3" max="3" width="29.5"/>
    <col customWidth="1" min="4" max="4" width="31.75"/>
    <col customWidth="1" min="5" max="5" width="14.63"/>
    <col customWidth="1" min="7" max="7" width="17.63"/>
  </cols>
  <sheetData>
    <row r="1">
      <c r="A1" s="144" t="s">
        <v>1537</v>
      </c>
      <c r="B1" s="144" t="s">
        <v>2505</v>
      </c>
      <c r="C1" s="144" t="s">
        <v>2506</v>
      </c>
      <c r="D1" s="144" t="s">
        <v>2507</v>
      </c>
      <c r="E1" s="144" t="s">
        <v>2508</v>
      </c>
      <c r="F1" s="144" t="s">
        <v>2509</v>
      </c>
      <c r="G1" s="144" t="s">
        <v>253</v>
      </c>
    </row>
    <row r="2">
      <c r="A2" s="144">
        <v>1.0</v>
      </c>
      <c r="B2" s="145" t="s">
        <v>2510</v>
      </c>
      <c r="C2" s="145" t="s">
        <v>2511</v>
      </c>
      <c r="D2" s="145" t="s">
        <v>2512</v>
      </c>
      <c r="E2" s="145" t="s">
        <v>2513</v>
      </c>
      <c r="F2" s="145" t="s">
        <v>2514</v>
      </c>
      <c r="G2" s="146">
        <v>43049.0</v>
      </c>
    </row>
    <row r="3">
      <c r="A3" s="144">
        <v>2.0</v>
      </c>
      <c r="B3" s="145" t="s">
        <v>2515</v>
      </c>
      <c r="C3" s="145" t="s">
        <v>2516</v>
      </c>
      <c r="D3" s="145" t="s">
        <v>2512</v>
      </c>
      <c r="E3" s="145" t="s">
        <v>2517</v>
      </c>
      <c r="F3" s="145" t="s">
        <v>2514</v>
      </c>
      <c r="G3" s="145" t="s">
        <v>2518</v>
      </c>
    </row>
    <row r="4">
      <c r="A4" s="147">
        <v>3.0</v>
      </c>
      <c r="B4" s="145" t="s">
        <v>2519</v>
      </c>
      <c r="C4" s="145" t="s">
        <v>2520</v>
      </c>
      <c r="D4" s="145" t="s">
        <v>2512</v>
      </c>
      <c r="E4" s="147"/>
      <c r="F4" s="145" t="s">
        <v>2521</v>
      </c>
      <c r="G4" s="145" t="s">
        <v>2522</v>
      </c>
    </row>
    <row r="5">
      <c r="A5" s="144">
        <v>4.0</v>
      </c>
      <c r="B5" s="144" t="s">
        <v>2523</v>
      </c>
      <c r="C5" s="144" t="s">
        <v>2524</v>
      </c>
      <c r="D5" s="144" t="s">
        <v>2525</v>
      </c>
      <c r="E5" s="144" t="s">
        <v>345</v>
      </c>
      <c r="F5" s="144" t="s">
        <v>2526</v>
      </c>
      <c r="G5" s="144" t="s">
        <v>2527</v>
      </c>
    </row>
    <row r="6">
      <c r="A6" s="145">
        <v>5.0</v>
      </c>
      <c r="B6" s="144" t="s">
        <v>2528</v>
      </c>
      <c r="C6" s="144" t="s">
        <v>2529</v>
      </c>
      <c r="D6" s="144" t="s">
        <v>2530</v>
      </c>
      <c r="E6" s="144" t="s">
        <v>332</v>
      </c>
      <c r="F6" s="144" t="s">
        <v>2526</v>
      </c>
      <c r="G6" s="144" t="s">
        <v>2531</v>
      </c>
    </row>
    <row r="7">
      <c r="A7" s="145">
        <v>6.0</v>
      </c>
      <c r="B7" s="144" t="s">
        <v>2532</v>
      </c>
      <c r="C7" s="144" t="s">
        <v>2533</v>
      </c>
      <c r="D7" s="144" t="s">
        <v>2534</v>
      </c>
      <c r="E7" s="144" t="s">
        <v>345</v>
      </c>
      <c r="F7" s="144" t="s">
        <v>511</v>
      </c>
      <c r="G7" s="148">
        <v>43567.0</v>
      </c>
    </row>
    <row r="8">
      <c r="A8" s="145">
        <v>7.0</v>
      </c>
      <c r="B8" s="144" t="s">
        <v>2535</v>
      </c>
      <c r="C8" s="144" t="s">
        <v>2536</v>
      </c>
      <c r="D8" s="144" t="s">
        <v>2537</v>
      </c>
      <c r="E8" s="144" t="s">
        <v>316</v>
      </c>
      <c r="F8" s="144" t="s">
        <v>2526</v>
      </c>
      <c r="G8" s="144" t="s">
        <v>2538</v>
      </c>
    </row>
    <row r="9">
      <c r="A9" s="145">
        <v>8.0</v>
      </c>
      <c r="B9" s="145" t="s">
        <v>2539</v>
      </c>
      <c r="C9" s="145" t="s">
        <v>186</v>
      </c>
      <c r="D9" s="145" t="s">
        <v>2540</v>
      </c>
      <c r="E9" s="145" t="s">
        <v>345</v>
      </c>
      <c r="F9" s="145" t="s">
        <v>2541</v>
      </c>
      <c r="G9" s="149">
        <v>43594.0</v>
      </c>
    </row>
    <row r="10">
      <c r="A10" s="145">
        <v>9.0</v>
      </c>
      <c r="B10" s="145" t="s">
        <v>2542</v>
      </c>
      <c r="C10" s="145" t="s">
        <v>2543</v>
      </c>
      <c r="D10" s="145" t="s">
        <v>2544</v>
      </c>
      <c r="E10" s="145" t="s">
        <v>2545</v>
      </c>
      <c r="F10" s="145" t="s">
        <v>2526</v>
      </c>
      <c r="G10" s="145" t="s">
        <v>2546</v>
      </c>
    </row>
    <row r="11">
      <c r="A11" s="145">
        <v>10.0</v>
      </c>
      <c r="B11" s="145" t="s">
        <v>2542</v>
      </c>
      <c r="C11" s="145" t="s">
        <v>2547</v>
      </c>
      <c r="D11" s="145" t="s">
        <v>2548</v>
      </c>
      <c r="E11" s="145" t="s">
        <v>2545</v>
      </c>
      <c r="F11" s="145" t="s">
        <v>2526</v>
      </c>
      <c r="G11" s="145" t="s">
        <v>2546</v>
      </c>
    </row>
    <row r="12">
      <c r="A12" s="145">
        <v>11.0</v>
      </c>
      <c r="B12" s="145" t="s">
        <v>2549</v>
      </c>
      <c r="C12" s="145" t="s">
        <v>2550</v>
      </c>
      <c r="D12" s="145" t="s">
        <v>2551</v>
      </c>
      <c r="E12" s="145" t="s">
        <v>2545</v>
      </c>
      <c r="F12" s="145" t="s">
        <v>511</v>
      </c>
      <c r="G12" s="149">
        <v>43539.0</v>
      </c>
    </row>
    <row r="13">
      <c r="A13" s="145">
        <v>12.0</v>
      </c>
      <c r="B13" s="145" t="s">
        <v>2552</v>
      </c>
      <c r="C13" s="145" t="s">
        <v>186</v>
      </c>
      <c r="D13" s="145" t="s">
        <v>2553</v>
      </c>
      <c r="E13" s="145" t="s">
        <v>2554</v>
      </c>
      <c r="F13" s="145" t="s">
        <v>2526</v>
      </c>
      <c r="G13" s="150">
        <v>43724.0</v>
      </c>
    </row>
    <row r="14">
      <c r="A14" s="145">
        <v>13.0</v>
      </c>
      <c r="B14" s="145" t="s">
        <v>2555</v>
      </c>
      <c r="C14" s="145" t="s">
        <v>2556</v>
      </c>
      <c r="D14" s="145" t="s">
        <v>2551</v>
      </c>
      <c r="E14" s="145">
        <v>2.0</v>
      </c>
      <c r="F14" s="145" t="s">
        <v>511</v>
      </c>
      <c r="G14" s="150">
        <v>43729.0</v>
      </c>
    </row>
    <row r="15">
      <c r="A15" s="145">
        <v>14.0</v>
      </c>
      <c r="B15" s="145" t="s">
        <v>2557</v>
      </c>
      <c r="C15" s="145" t="s">
        <v>2558</v>
      </c>
      <c r="D15" s="145" t="s">
        <v>2551</v>
      </c>
      <c r="E15" s="145">
        <v>3.0</v>
      </c>
      <c r="F15" s="145" t="s">
        <v>511</v>
      </c>
      <c r="G15" s="150">
        <v>43785.0</v>
      </c>
    </row>
    <row r="16">
      <c r="A16" s="145">
        <v>15.0</v>
      </c>
      <c r="B16" s="145" t="s">
        <v>2559</v>
      </c>
      <c r="C16" s="145" t="s">
        <v>2560</v>
      </c>
      <c r="D16" s="145" t="s">
        <v>2561</v>
      </c>
      <c r="E16" s="145">
        <v>2.0</v>
      </c>
      <c r="F16" s="145" t="s">
        <v>511</v>
      </c>
      <c r="G16" s="145" t="s">
        <v>2562</v>
      </c>
    </row>
    <row r="17">
      <c r="A17" s="145">
        <v>16.0</v>
      </c>
      <c r="B17" s="145" t="s">
        <v>2559</v>
      </c>
      <c r="C17" s="145" t="s">
        <v>2563</v>
      </c>
      <c r="D17" s="145" t="s">
        <v>2564</v>
      </c>
      <c r="E17" s="145">
        <v>1.0</v>
      </c>
      <c r="F17" s="145" t="s">
        <v>511</v>
      </c>
      <c r="G17" s="145" t="s">
        <v>2562</v>
      </c>
    </row>
    <row r="18">
      <c r="A18" s="145">
        <v>17.0</v>
      </c>
      <c r="B18" s="145" t="s">
        <v>2565</v>
      </c>
      <c r="C18" s="145" t="s">
        <v>2566</v>
      </c>
      <c r="D18" s="145" t="s">
        <v>2567</v>
      </c>
      <c r="E18" s="145">
        <v>1.0</v>
      </c>
      <c r="F18" s="145" t="s">
        <v>2568</v>
      </c>
      <c r="G18" s="145" t="s">
        <v>2569</v>
      </c>
    </row>
    <row r="19">
      <c r="A19" s="145">
        <v>18.0</v>
      </c>
      <c r="B19" s="145" t="s">
        <v>2570</v>
      </c>
      <c r="C19" s="145" t="s">
        <v>2571</v>
      </c>
      <c r="D19" s="147" t="s">
        <v>2572</v>
      </c>
      <c r="E19" s="145" t="s">
        <v>2573</v>
      </c>
      <c r="F19" s="145" t="s">
        <v>2574</v>
      </c>
      <c r="G19" s="145" t="s">
        <v>2575</v>
      </c>
    </row>
    <row r="20">
      <c r="A20" s="145">
        <v>19.0</v>
      </c>
      <c r="B20" s="145" t="s">
        <v>2576</v>
      </c>
      <c r="C20" s="145" t="s">
        <v>2577</v>
      </c>
      <c r="D20" s="145" t="s">
        <v>2572</v>
      </c>
      <c r="E20" s="145" t="s">
        <v>345</v>
      </c>
      <c r="F20" s="145" t="s">
        <v>2578</v>
      </c>
      <c r="G20" s="151">
        <v>44040.0</v>
      </c>
    </row>
    <row r="21">
      <c r="A21" s="145">
        <v>20.0</v>
      </c>
      <c r="B21" s="145" t="s">
        <v>2542</v>
      </c>
      <c r="C21" s="145" t="s">
        <v>2579</v>
      </c>
      <c r="D21" s="145" t="s">
        <v>2580</v>
      </c>
      <c r="E21" s="145" t="s">
        <v>2581</v>
      </c>
      <c r="F21" s="145" t="s">
        <v>2521</v>
      </c>
      <c r="G21" s="145" t="s">
        <v>2582</v>
      </c>
    </row>
    <row r="22">
      <c r="A22" s="145">
        <v>21.0</v>
      </c>
      <c r="B22" s="145" t="s">
        <v>2583</v>
      </c>
      <c r="C22" s="145" t="s">
        <v>2584</v>
      </c>
      <c r="D22" s="145" t="s">
        <v>2585</v>
      </c>
      <c r="E22" s="145" t="s">
        <v>2586</v>
      </c>
      <c r="F22" s="145" t="s">
        <v>2587</v>
      </c>
      <c r="G22" s="149">
        <v>44063.0</v>
      </c>
    </row>
    <row r="23">
      <c r="A23" s="145">
        <v>22.0</v>
      </c>
      <c r="B23" s="145" t="s">
        <v>2588</v>
      </c>
      <c r="C23" s="145" t="s">
        <v>2589</v>
      </c>
      <c r="D23" s="145" t="s">
        <v>2590</v>
      </c>
      <c r="E23" s="145" t="s">
        <v>2591</v>
      </c>
      <c r="F23" s="145" t="s">
        <v>2514</v>
      </c>
      <c r="G23" s="147"/>
    </row>
    <row r="24">
      <c r="A24" s="145">
        <v>23.0</v>
      </c>
      <c r="B24" s="145" t="s">
        <v>2592</v>
      </c>
      <c r="C24" s="145" t="s">
        <v>2593</v>
      </c>
      <c r="D24" s="145" t="s">
        <v>2594</v>
      </c>
      <c r="E24" s="145" t="s">
        <v>2595</v>
      </c>
      <c r="F24" s="145" t="s">
        <v>2521</v>
      </c>
      <c r="G24" s="145" t="s">
        <v>1441</v>
      </c>
    </row>
    <row r="25">
      <c r="A25" s="145">
        <v>24.0</v>
      </c>
      <c r="B25" s="145" t="s">
        <v>2542</v>
      </c>
      <c r="C25" s="152" t="s">
        <v>2596</v>
      </c>
      <c r="D25" s="145" t="s">
        <v>2597</v>
      </c>
      <c r="E25" s="145" t="s">
        <v>2598</v>
      </c>
      <c r="F25" s="145" t="s">
        <v>2521</v>
      </c>
      <c r="G25" s="145" t="s">
        <v>2599</v>
      </c>
    </row>
    <row r="26">
      <c r="A26" s="145">
        <v>25.0</v>
      </c>
      <c r="B26" s="145" t="s">
        <v>2600</v>
      </c>
      <c r="C26" s="152" t="s">
        <v>2601</v>
      </c>
      <c r="D26" s="145" t="s">
        <v>2602</v>
      </c>
      <c r="E26" s="145" t="s">
        <v>2603</v>
      </c>
      <c r="F26" s="145" t="s">
        <v>2604</v>
      </c>
      <c r="G26" s="145" t="s">
        <v>2605</v>
      </c>
    </row>
    <row r="27">
      <c r="A27" s="145">
        <v>26.0</v>
      </c>
      <c r="B27" s="145" t="s">
        <v>2606</v>
      </c>
      <c r="C27" s="152" t="s">
        <v>2601</v>
      </c>
      <c r="D27" s="145" t="s">
        <v>2607</v>
      </c>
      <c r="E27" s="145" t="s">
        <v>2608</v>
      </c>
      <c r="F27" s="145" t="s">
        <v>2514</v>
      </c>
      <c r="G27" s="145" t="s">
        <v>2609</v>
      </c>
    </row>
    <row r="28">
      <c r="A28" s="145">
        <v>27.0</v>
      </c>
      <c r="B28" s="145" t="s">
        <v>2610</v>
      </c>
      <c r="C28" s="152" t="s">
        <v>339</v>
      </c>
      <c r="D28" s="145" t="s">
        <v>2611</v>
      </c>
      <c r="E28" s="145" t="s">
        <v>2612</v>
      </c>
      <c r="F28" s="145" t="s">
        <v>2514</v>
      </c>
      <c r="G28" s="145" t="s">
        <v>2613</v>
      </c>
    </row>
    <row r="29">
      <c r="A29" s="145">
        <v>28.0</v>
      </c>
      <c r="B29" s="145" t="s">
        <v>2614</v>
      </c>
      <c r="C29" s="152" t="s">
        <v>2615</v>
      </c>
      <c r="D29" s="145" t="s">
        <v>2607</v>
      </c>
      <c r="E29" s="145" t="s">
        <v>2616</v>
      </c>
      <c r="F29" s="144" t="s">
        <v>511</v>
      </c>
      <c r="G29" s="153">
        <v>44987.0</v>
      </c>
    </row>
    <row r="30">
      <c r="A30" s="145">
        <v>29.0</v>
      </c>
      <c r="B30" s="144" t="s">
        <v>2617</v>
      </c>
      <c r="C30" s="144" t="s">
        <v>2618</v>
      </c>
      <c r="D30" s="145" t="s">
        <v>2607</v>
      </c>
      <c r="E30" s="144" t="s">
        <v>2616</v>
      </c>
      <c r="F30" s="144" t="s">
        <v>2619</v>
      </c>
      <c r="G30" s="153">
        <v>44905.0</v>
      </c>
    </row>
    <row r="31">
      <c r="A31" s="145">
        <v>30.0</v>
      </c>
      <c r="B31" s="144" t="s">
        <v>2620</v>
      </c>
      <c r="C31" s="144" t="s">
        <v>2621</v>
      </c>
      <c r="D31" s="145" t="s">
        <v>2607</v>
      </c>
      <c r="E31" s="144" t="s">
        <v>2622</v>
      </c>
      <c r="F31" s="144" t="s">
        <v>2619</v>
      </c>
      <c r="G31" s="153">
        <v>44905.0</v>
      </c>
    </row>
    <row r="32">
      <c r="A32" s="154">
        <v>31.0</v>
      </c>
      <c r="B32" s="144" t="s">
        <v>2623</v>
      </c>
      <c r="C32" s="144" t="s">
        <v>2624</v>
      </c>
      <c r="D32" s="145" t="s">
        <v>2607</v>
      </c>
      <c r="E32" s="144" t="s">
        <v>2517</v>
      </c>
      <c r="F32" s="144" t="s">
        <v>2619</v>
      </c>
      <c r="G32" s="153">
        <v>44905.0</v>
      </c>
    </row>
    <row r="33">
      <c r="A33" s="155">
        <v>32.0</v>
      </c>
      <c r="B33" s="144" t="s">
        <v>2625</v>
      </c>
      <c r="C33" s="144" t="s">
        <v>2626</v>
      </c>
      <c r="D33" s="145" t="s">
        <v>2607</v>
      </c>
      <c r="E33" s="144" t="s">
        <v>2517</v>
      </c>
      <c r="F33" s="144" t="s">
        <v>2619</v>
      </c>
      <c r="G33" s="153">
        <v>44905.0</v>
      </c>
    </row>
    <row r="34">
      <c r="A34" s="155">
        <v>33.0</v>
      </c>
      <c r="B34" s="144" t="s">
        <v>2617</v>
      </c>
      <c r="C34" s="144" t="s">
        <v>2618</v>
      </c>
      <c r="D34" s="145" t="s">
        <v>2607</v>
      </c>
      <c r="E34" s="144" t="s">
        <v>2616</v>
      </c>
      <c r="F34" s="144" t="s">
        <v>2619</v>
      </c>
      <c r="G34" s="153">
        <v>44905.0</v>
      </c>
    </row>
    <row r="35">
      <c r="A35" s="156">
        <v>32.0</v>
      </c>
      <c r="B35" s="157"/>
      <c r="C35" s="157"/>
      <c r="D35" s="157"/>
      <c r="E35" s="157"/>
      <c r="F35" s="157"/>
      <c r="G35" s="15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17.5"/>
    <col customWidth="1" min="4" max="4" width="22.38"/>
    <col customWidth="1" min="5" max="5" width="21.88"/>
    <col customWidth="1" min="6" max="6" width="18.38"/>
    <col customWidth="1" min="8" max="8" width="17.75"/>
    <col customWidth="1" min="9" max="9" width="17.88"/>
    <col customWidth="1" min="10" max="10" width="17.75"/>
  </cols>
  <sheetData>
    <row r="1">
      <c r="A1" s="158" t="s">
        <v>2627</v>
      </c>
      <c r="B1" s="3"/>
      <c r="C1" s="3"/>
      <c r="D1" s="3"/>
      <c r="E1" s="3"/>
      <c r="F1" s="3"/>
      <c r="G1" s="3"/>
      <c r="H1" s="3"/>
      <c r="I1" s="3"/>
      <c r="J1" s="5"/>
      <c r="K1" s="159"/>
      <c r="L1" s="159"/>
      <c r="M1" s="159"/>
      <c r="N1" s="159"/>
      <c r="O1" s="159"/>
      <c r="P1" s="159"/>
      <c r="Q1" s="159"/>
      <c r="R1" s="159"/>
      <c r="S1" s="159"/>
      <c r="T1" s="159"/>
      <c r="U1" s="159"/>
      <c r="V1" s="159"/>
      <c r="W1" s="159"/>
      <c r="X1" s="159"/>
      <c r="Y1" s="159"/>
      <c r="Z1" s="159"/>
    </row>
    <row r="2">
      <c r="A2" s="160" t="s">
        <v>1537</v>
      </c>
      <c r="B2" s="160" t="s">
        <v>1739</v>
      </c>
      <c r="C2" s="160" t="s">
        <v>2628</v>
      </c>
      <c r="D2" s="160" t="s">
        <v>2505</v>
      </c>
      <c r="E2" s="160" t="s">
        <v>2629</v>
      </c>
      <c r="F2" s="160" t="s">
        <v>2630</v>
      </c>
      <c r="G2" s="160" t="s">
        <v>2631</v>
      </c>
      <c r="H2" s="160" t="s">
        <v>2632</v>
      </c>
      <c r="I2" s="160" t="s">
        <v>2633</v>
      </c>
      <c r="J2" s="160" t="s">
        <v>2634</v>
      </c>
      <c r="K2" s="159"/>
      <c r="L2" s="159"/>
      <c r="M2" s="159"/>
      <c r="N2" s="159"/>
      <c r="O2" s="159"/>
      <c r="P2" s="159"/>
      <c r="Q2" s="159"/>
      <c r="R2" s="159"/>
      <c r="S2" s="159"/>
      <c r="T2" s="159"/>
      <c r="U2" s="159"/>
      <c r="V2" s="159"/>
      <c r="W2" s="159"/>
      <c r="X2" s="159"/>
      <c r="Y2" s="159"/>
      <c r="Z2" s="159"/>
    </row>
    <row r="3">
      <c r="A3" s="92">
        <v>1.0</v>
      </c>
      <c r="B3" s="92" t="s">
        <v>2635</v>
      </c>
      <c r="C3" s="92" t="s">
        <v>2636</v>
      </c>
      <c r="D3" s="92" t="s">
        <v>2637</v>
      </c>
      <c r="E3" s="92" t="s">
        <v>2638</v>
      </c>
      <c r="F3" s="161"/>
      <c r="G3" s="161"/>
      <c r="H3" s="162" t="s">
        <v>2639</v>
      </c>
      <c r="I3" s="92" t="s">
        <v>2640</v>
      </c>
      <c r="J3" s="162" t="s">
        <v>2641</v>
      </c>
      <c r="K3" s="159"/>
      <c r="L3" s="159"/>
      <c r="M3" s="159"/>
      <c r="N3" s="159"/>
      <c r="O3" s="159"/>
      <c r="P3" s="159"/>
      <c r="Q3" s="159"/>
      <c r="R3" s="159"/>
      <c r="S3" s="159"/>
      <c r="T3" s="159"/>
      <c r="U3" s="159"/>
      <c r="V3" s="159"/>
      <c r="W3" s="159"/>
      <c r="X3" s="159"/>
      <c r="Y3" s="159"/>
      <c r="Z3" s="159"/>
    </row>
    <row r="4">
      <c r="A4" s="92">
        <v>2.0</v>
      </c>
      <c r="B4" s="92" t="s">
        <v>1828</v>
      </c>
      <c r="C4" s="92" t="s">
        <v>2642</v>
      </c>
      <c r="D4" s="92" t="s">
        <v>1459</v>
      </c>
      <c r="E4" s="92" t="s">
        <v>2643</v>
      </c>
      <c r="F4" s="161"/>
      <c r="G4" s="161"/>
      <c r="H4" s="162" t="s">
        <v>2644</v>
      </c>
      <c r="I4" s="161"/>
      <c r="J4" s="163" t="s">
        <v>2645</v>
      </c>
      <c r="K4" s="159"/>
      <c r="L4" s="159"/>
      <c r="M4" s="159"/>
      <c r="N4" s="159"/>
      <c r="O4" s="159"/>
      <c r="P4" s="159"/>
      <c r="Q4" s="159"/>
      <c r="R4" s="159"/>
      <c r="S4" s="159"/>
      <c r="T4" s="159"/>
      <c r="U4" s="159"/>
      <c r="V4" s="159"/>
      <c r="W4" s="159"/>
      <c r="X4" s="159"/>
      <c r="Y4" s="159"/>
      <c r="Z4" s="159"/>
    </row>
    <row r="5">
      <c r="A5" s="92">
        <v>3.0</v>
      </c>
      <c r="B5" s="92" t="s">
        <v>939</v>
      </c>
      <c r="C5" s="92" t="s">
        <v>2646</v>
      </c>
      <c r="D5" s="92" t="s">
        <v>1463</v>
      </c>
      <c r="E5" s="92" t="s">
        <v>2647</v>
      </c>
      <c r="F5" s="92">
        <v>8.802414439E9</v>
      </c>
      <c r="G5" s="161"/>
      <c r="H5" s="162" t="s">
        <v>2648</v>
      </c>
      <c r="I5" s="161"/>
      <c r="J5" s="163" t="s">
        <v>2649</v>
      </c>
      <c r="K5" s="159"/>
      <c r="L5" s="159"/>
      <c r="M5" s="159"/>
      <c r="N5" s="159"/>
      <c r="O5" s="159"/>
      <c r="P5" s="159"/>
      <c r="Q5" s="159"/>
      <c r="R5" s="159"/>
      <c r="S5" s="159"/>
      <c r="T5" s="159"/>
      <c r="U5" s="159"/>
      <c r="V5" s="159"/>
      <c r="W5" s="159"/>
      <c r="X5" s="159"/>
      <c r="Y5" s="159"/>
      <c r="Z5" s="159"/>
    </row>
    <row r="6">
      <c r="A6" s="92">
        <v>4.0</v>
      </c>
      <c r="B6" s="92" t="s">
        <v>2650</v>
      </c>
      <c r="C6" s="92" t="s">
        <v>2651</v>
      </c>
      <c r="D6" s="92" t="s">
        <v>1464</v>
      </c>
      <c r="E6" s="164" t="s">
        <v>2652</v>
      </c>
      <c r="F6" s="161"/>
      <c r="G6" s="161"/>
      <c r="H6" s="162" t="s">
        <v>2653</v>
      </c>
      <c r="I6" s="161"/>
      <c r="J6" s="162" t="s">
        <v>2654</v>
      </c>
      <c r="K6" s="159"/>
      <c r="L6" s="159"/>
      <c r="M6" s="159"/>
      <c r="N6" s="159"/>
      <c r="O6" s="159"/>
      <c r="P6" s="159"/>
      <c r="Q6" s="159"/>
      <c r="R6" s="159"/>
      <c r="S6" s="159"/>
      <c r="T6" s="159"/>
      <c r="U6" s="159"/>
      <c r="V6" s="159"/>
      <c r="W6" s="159"/>
      <c r="X6" s="159"/>
      <c r="Y6" s="159"/>
      <c r="Z6" s="159"/>
    </row>
    <row r="7">
      <c r="A7" s="92">
        <v>5.0</v>
      </c>
      <c r="B7" s="92" t="s">
        <v>871</v>
      </c>
      <c r="C7" s="92" t="s">
        <v>2655</v>
      </c>
      <c r="D7" s="92" t="s">
        <v>1469</v>
      </c>
      <c r="E7" s="92" t="s">
        <v>2656</v>
      </c>
      <c r="F7" s="161"/>
      <c r="G7" s="161"/>
      <c r="H7" s="162" t="s">
        <v>2657</v>
      </c>
      <c r="I7" s="161"/>
      <c r="J7" s="163" t="s">
        <v>2658</v>
      </c>
      <c r="K7" s="159"/>
      <c r="L7" s="159"/>
      <c r="M7" s="159"/>
      <c r="N7" s="159"/>
      <c r="O7" s="159"/>
      <c r="P7" s="159"/>
      <c r="Q7" s="159"/>
      <c r="R7" s="159"/>
      <c r="S7" s="159"/>
      <c r="T7" s="159"/>
      <c r="U7" s="159"/>
      <c r="V7" s="159"/>
      <c r="W7" s="159"/>
      <c r="X7" s="159"/>
      <c r="Y7" s="159"/>
      <c r="Z7" s="159"/>
    </row>
    <row r="8">
      <c r="A8" s="92">
        <v>6.0</v>
      </c>
      <c r="B8" s="92" t="s">
        <v>2659</v>
      </c>
      <c r="C8" s="92" t="s">
        <v>2660</v>
      </c>
      <c r="D8" s="92" t="s">
        <v>1470</v>
      </c>
      <c r="E8" s="165" t="s">
        <v>2661</v>
      </c>
      <c r="F8" s="161"/>
      <c r="G8" s="161"/>
      <c r="H8" s="162" t="s">
        <v>2662</v>
      </c>
      <c r="I8" s="161"/>
      <c r="J8" s="163" t="s">
        <v>2663</v>
      </c>
      <c r="K8" s="159"/>
      <c r="L8" s="159"/>
      <c r="M8" s="159"/>
      <c r="N8" s="159"/>
      <c r="O8" s="159"/>
      <c r="P8" s="159"/>
      <c r="Q8" s="159"/>
      <c r="R8" s="159"/>
      <c r="S8" s="159"/>
      <c r="T8" s="159"/>
      <c r="U8" s="159"/>
      <c r="V8" s="159"/>
      <c r="W8" s="159"/>
      <c r="X8" s="159"/>
      <c r="Y8" s="159"/>
      <c r="Z8" s="159"/>
    </row>
    <row r="9">
      <c r="A9" s="92">
        <v>7.0</v>
      </c>
      <c r="B9" s="92" t="s">
        <v>2664</v>
      </c>
      <c r="C9" s="92" t="s">
        <v>2665</v>
      </c>
      <c r="D9" s="92" t="s">
        <v>1472</v>
      </c>
      <c r="E9" s="92" t="s">
        <v>2666</v>
      </c>
      <c r="F9" s="92">
        <v>7.347239669E9</v>
      </c>
      <c r="G9" s="161"/>
      <c r="H9" s="162" t="s">
        <v>2667</v>
      </c>
      <c r="I9" s="161"/>
      <c r="J9" s="163" t="s">
        <v>2668</v>
      </c>
      <c r="K9" s="159"/>
      <c r="L9" s="159"/>
      <c r="M9" s="159"/>
      <c r="N9" s="159"/>
      <c r="O9" s="159"/>
      <c r="P9" s="159"/>
      <c r="Q9" s="159"/>
      <c r="R9" s="159"/>
      <c r="S9" s="159"/>
      <c r="T9" s="159"/>
      <c r="U9" s="159"/>
      <c r="V9" s="159"/>
      <c r="W9" s="159"/>
      <c r="X9" s="159"/>
      <c r="Y9" s="159"/>
      <c r="Z9" s="159"/>
    </row>
    <row r="10">
      <c r="A10" s="92">
        <v>8.0</v>
      </c>
      <c r="B10" s="92" t="s">
        <v>2669</v>
      </c>
      <c r="C10" s="92" t="s">
        <v>2670</v>
      </c>
      <c r="D10" s="92" t="s">
        <v>2671</v>
      </c>
      <c r="E10" s="166" t="s">
        <v>2672</v>
      </c>
      <c r="F10" s="161"/>
      <c r="G10" s="161"/>
      <c r="H10" s="162" t="s">
        <v>2673</v>
      </c>
      <c r="I10" s="161"/>
      <c r="J10" s="162" t="s">
        <v>2674</v>
      </c>
      <c r="K10" s="159"/>
      <c r="L10" s="159"/>
      <c r="M10" s="159"/>
      <c r="N10" s="159"/>
      <c r="O10" s="159"/>
      <c r="P10" s="159"/>
      <c r="Q10" s="159"/>
      <c r="R10" s="159"/>
      <c r="S10" s="159"/>
      <c r="T10" s="159"/>
      <c r="U10" s="159"/>
      <c r="V10" s="159"/>
      <c r="W10" s="159"/>
      <c r="X10" s="159"/>
      <c r="Y10" s="159"/>
      <c r="Z10" s="159"/>
    </row>
    <row r="11">
      <c r="A11" s="92">
        <v>9.0</v>
      </c>
      <c r="B11" s="92" t="s">
        <v>2675</v>
      </c>
      <c r="C11" s="92" t="s">
        <v>2676</v>
      </c>
      <c r="D11" s="92" t="s">
        <v>2677</v>
      </c>
      <c r="E11" s="165" t="s">
        <v>2678</v>
      </c>
      <c r="F11" s="161"/>
      <c r="G11" s="161"/>
      <c r="H11" s="162" t="s">
        <v>2679</v>
      </c>
      <c r="I11" s="161"/>
      <c r="J11" s="162" t="s">
        <v>2680</v>
      </c>
      <c r="K11" s="159"/>
      <c r="L11" s="159"/>
      <c r="M11" s="159"/>
      <c r="N11" s="159"/>
      <c r="O11" s="159"/>
      <c r="P11" s="159"/>
      <c r="Q11" s="159"/>
      <c r="R11" s="159"/>
      <c r="S11" s="159"/>
      <c r="T11" s="159"/>
      <c r="U11" s="159"/>
      <c r="V11" s="159"/>
      <c r="W11" s="159"/>
      <c r="X11" s="159"/>
      <c r="Y11" s="159"/>
      <c r="Z11" s="159"/>
    </row>
    <row r="12">
      <c r="A12" s="92">
        <v>10.0</v>
      </c>
      <c r="B12" s="92" t="s">
        <v>2681</v>
      </c>
      <c r="C12" s="92" t="s">
        <v>2676</v>
      </c>
      <c r="D12" s="92" t="s">
        <v>2677</v>
      </c>
      <c r="E12" s="164" t="s">
        <v>2682</v>
      </c>
      <c r="F12" s="161"/>
      <c r="G12" s="161"/>
      <c r="H12" s="162" t="s">
        <v>2683</v>
      </c>
      <c r="I12" s="161"/>
      <c r="J12" s="162" t="s">
        <v>2680</v>
      </c>
      <c r="K12" s="159"/>
      <c r="L12" s="159"/>
      <c r="M12" s="159"/>
      <c r="N12" s="159"/>
      <c r="O12" s="159"/>
      <c r="P12" s="159"/>
      <c r="Q12" s="159"/>
      <c r="R12" s="159"/>
      <c r="S12" s="159"/>
      <c r="T12" s="159"/>
      <c r="U12" s="159"/>
      <c r="V12" s="159"/>
      <c r="W12" s="159"/>
      <c r="X12" s="159"/>
      <c r="Y12" s="159"/>
      <c r="Z12" s="159"/>
    </row>
    <row r="13">
      <c r="A13" s="92">
        <v>11.0</v>
      </c>
      <c r="B13" s="167" t="s">
        <v>2684</v>
      </c>
      <c r="C13" s="92" t="s">
        <v>2685</v>
      </c>
      <c r="D13" s="92" t="s">
        <v>2686</v>
      </c>
      <c r="E13" s="161"/>
      <c r="F13" s="161"/>
      <c r="G13" s="161"/>
      <c r="H13" s="161"/>
      <c r="I13" s="161"/>
      <c r="J13" s="162" t="s">
        <v>2687</v>
      </c>
      <c r="K13" s="159"/>
      <c r="L13" s="159"/>
      <c r="M13" s="159"/>
      <c r="N13" s="159"/>
      <c r="O13" s="159"/>
      <c r="P13" s="159"/>
      <c r="Q13" s="159"/>
      <c r="R13" s="159"/>
      <c r="S13" s="159"/>
      <c r="T13" s="159"/>
      <c r="U13" s="159"/>
      <c r="V13" s="159"/>
      <c r="W13" s="159"/>
      <c r="X13" s="159"/>
      <c r="Y13" s="159"/>
      <c r="Z13" s="159"/>
    </row>
    <row r="14">
      <c r="A14" s="92">
        <v>12.0</v>
      </c>
      <c r="B14" s="167" t="s">
        <v>2688</v>
      </c>
      <c r="C14" s="92" t="s">
        <v>2689</v>
      </c>
      <c r="D14" s="92" t="s">
        <v>2686</v>
      </c>
      <c r="E14" s="161"/>
      <c r="F14" s="161"/>
      <c r="G14" s="161"/>
      <c r="H14" s="161"/>
      <c r="I14" s="161"/>
      <c r="J14" s="162" t="s">
        <v>2687</v>
      </c>
      <c r="K14" s="159"/>
      <c r="L14" s="159"/>
      <c r="M14" s="159"/>
      <c r="N14" s="159"/>
      <c r="O14" s="159"/>
      <c r="P14" s="159"/>
      <c r="Q14" s="159"/>
      <c r="R14" s="159"/>
      <c r="S14" s="159"/>
      <c r="T14" s="159"/>
      <c r="U14" s="159"/>
      <c r="V14" s="159"/>
      <c r="W14" s="159"/>
      <c r="X14" s="159"/>
      <c r="Y14" s="159"/>
      <c r="Z14" s="159"/>
    </row>
    <row r="15">
      <c r="A15" s="92">
        <v>13.0</v>
      </c>
      <c r="B15" s="92" t="s">
        <v>2650</v>
      </c>
      <c r="C15" s="92" t="s">
        <v>2690</v>
      </c>
      <c r="D15" s="92" t="s">
        <v>2691</v>
      </c>
      <c r="E15" s="164" t="s">
        <v>2692</v>
      </c>
      <c r="F15" s="161"/>
      <c r="G15" s="161"/>
      <c r="H15" s="162" t="s">
        <v>2653</v>
      </c>
      <c r="I15" s="161"/>
      <c r="J15" s="162" t="s">
        <v>2693</v>
      </c>
      <c r="K15" s="159"/>
      <c r="L15" s="159"/>
      <c r="M15" s="159"/>
      <c r="N15" s="159"/>
      <c r="O15" s="159"/>
      <c r="P15" s="159"/>
      <c r="Q15" s="159"/>
      <c r="R15" s="159"/>
      <c r="S15" s="159"/>
      <c r="T15" s="159"/>
      <c r="U15" s="159"/>
      <c r="V15" s="159"/>
      <c r="W15" s="159"/>
      <c r="X15" s="159"/>
      <c r="Y15" s="159"/>
      <c r="Z15" s="159"/>
    </row>
    <row r="16">
      <c r="A16" s="92">
        <v>14.0</v>
      </c>
      <c r="B16" s="92" t="s">
        <v>2694</v>
      </c>
      <c r="C16" s="92" t="s">
        <v>2695</v>
      </c>
      <c r="D16" s="92" t="s">
        <v>2696</v>
      </c>
      <c r="E16" s="164" t="s">
        <v>2697</v>
      </c>
      <c r="F16" s="161"/>
      <c r="G16" s="161"/>
      <c r="H16" s="162" t="s">
        <v>2698</v>
      </c>
      <c r="I16" s="161"/>
      <c r="J16" s="162" t="s">
        <v>2699</v>
      </c>
      <c r="K16" s="159"/>
      <c r="L16" s="159"/>
      <c r="M16" s="159"/>
      <c r="N16" s="159"/>
      <c r="O16" s="159"/>
      <c r="P16" s="159"/>
      <c r="Q16" s="159"/>
      <c r="R16" s="159"/>
      <c r="S16" s="159"/>
      <c r="T16" s="159"/>
      <c r="U16" s="159"/>
      <c r="V16" s="159"/>
      <c r="W16" s="159"/>
      <c r="X16" s="159"/>
      <c r="Y16" s="159"/>
      <c r="Z16" s="159"/>
    </row>
    <row r="17">
      <c r="A17" s="92">
        <v>15.0</v>
      </c>
      <c r="B17" s="92" t="s">
        <v>2700</v>
      </c>
      <c r="C17" s="92" t="s">
        <v>2701</v>
      </c>
      <c r="D17" s="92" t="s">
        <v>2702</v>
      </c>
      <c r="E17" s="168" t="s">
        <v>2703</v>
      </c>
      <c r="F17" s="161"/>
      <c r="G17" s="161"/>
      <c r="H17" s="162" t="s">
        <v>2704</v>
      </c>
      <c r="I17" s="161"/>
      <c r="J17" s="162" t="s">
        <v>2705</v>
      </c>
      <c r="K17" s="159"/>
      <c r="L17" s="159"/>
      <c r="M17" s="159"/>
      <c r="N17" s="159"/>
      <c r="O17" s="159"/>
      <c r="P17" s="159"/>
      <c r="Q17" s="159"/>
      <c r="R17" s="159"/>
      <c r="S17" s="159"/>
      <c r="T17" s="159"/>
      <c r="U17" s="159"/>
      <c r="V17" s="159"/>
      <c r="W17" s="159"/>
      <c r="X17" s="159"/>
      <c r="Y17" s="159"/>
      <c r="Z17" s="159"/>
    </row>
    <row r="18">
      <c r="A18" s="92">
        <v>16.0</v>
      </c>
      <c r="B18" s="92" t="s">
        <v>871</v>
      </c>
      <c r="C18" s="92" t="s">
        <v>2706</v>
      </c>
      <c r="D18" s="92" t="s">
        <v>2702</v>
      </c>
      <c r="E18" s="92" t="s">
        <v>2707</v>
      </c>
      <c r="F18" s="161"/>
      <c r="G18" s="161"/>
      <c r="H18" s="162" t="s">
        <v>2657</v>
      </c>
      <c r="I18" s="161"/>
      <c r="J18" s="162" t="s">
        <v>2705</v>
      </c>
      <c r="K18" s="159"/>
      <c r="L18" s="159"/>
      <c r="M18" s="159"/>
      <c r="N18" s="159"/>
      <c r="O18" s="159"/>
      <c r="P18" s="159"/>
      <c r="Q18" s="159"/>
      <c r="R18" s="159"/>
      <c r="S18" s="159"/>
      <c r="T18" s="159"/>
      <c r="U18" s="159"/>
      <c r="V18" s="159"/>
      <c r="W18" s="159"/>
      <c r="X18" s="159"/>
      <c r="Y18" s="159"/>
      <c r="Z18" s="159"/>
    </row>
    <row r="19">
      <c r="A19" s="92">
        <v>17.0</v>
      </c>
      <c r="B19" s="92" t="s">
        <v>2708</v>
      </c>
      <c r="C19" s="92" t="s">
        <v>2709</v>
      </c>
      <c r="D19" s="92" t="s">
        <v>2702</v>
      </c>
      <c r="E19" s="169" t="s">
        <v>2710</v>
      </c>
      <c r="F19" s="161"/>
      <c r="G19" s="161"/>
      <c r="H19" s="162" t="s">
        <v>2711</v>
      </c>
      <c r="I19" s="161"/>
      <c r="J19" s="162" t="s">
        <v>2705</v>
      </c>
      <c r="K19" s="159"/>
      <c r="L19" s="159"/>
      <c r="M19" s="159"/>
      <c r="N19" s="159"/>
      <c r="O19" s="159"/>
      <c r="P19" s="159"/>
      <c r="Q19" s="159"/>
      <c r="R19" s="159"/>
      <c r="S19" s="159"/>
      <c r="T19" s="159"/>
      <c r="U19" s="159"/>
      <c r="V19" s="159"/>
      <c r="W19" s="159"/>
      <c r="X19" s="159"/>
      <c r="Y19" s="159"/>
      <c r="Z19" s="159"/>
    </row>
    <row r="20">
      <c r="A20" s="92">
        <v>18.0</v>
      </c>
      <c r="B20" s="92" t="s">
        <v>2712</v>
      </c>
      <c r="C20" s="92" t="s">
        <v>2713</v>
      </c>
      <c r="D20" s="170" t="s">
        <v>2395</v>
      </c>
      <c r="E20" s="92" t="s">
        <v>2714</v>
      </c>
      <c r="F20" s="161"/>
      <c r="G20" s="161"/>
      <c r="H20" s="162" t="s">
        <v>2715</v>
      </c>
      <c r="I20" s="161"/>
      <c r="J20" s="163" t="s">
        <v>2716</v>
      </c>
      <c r="K20" s="159"/>
      <c r="L20" s="159"/>
      <c r="M20" s="159"/>
      <c r="N20" s="159"/>
      <c r="O20" s="159"/>
      <c r="P20" s="159"/>
      <c r="Q20" s="159"/>
      <c r="R20" s="159"/>
      <c r="S20" s="159"/>
      <c r="T20" s="159"/>
      <c r="U20" s="159"/>
      <c r="V20" s="159"/>
      <c r="W20" s="159"/>
      <c r="X20" s="159"/>
      <c r="Y20" s="159"/>
      <c r="Z20" s="159"/>
    </row>
    <row r="21">
      <c r="A21" s="92">
        <v>19.0</v>
      </c>
      <c r="B21" s="92" t="s">
        <v>2717</v>
      </c>
      <c r="C21" s="92" t="s">
        <v>2713</v>
      </c>
      <c r="D21" s="104"/>
      <c r="E21" s="92" t="s">
        <v>2718</v>
      </c>
      <c r="F21" s="161"/>
      <c r="G21" s="161"/>
      <c r="H21" s="162" t="s">
        <v>2719</v>
      </c>
      <c r="I21" s="161"/>
      <c r="J21" s="163" t="s">
        <v>2720</v>
      </c>
      <c r="K21" s="159"/>
      <c r="L21" s="159"/>
      <c r="M21" s="159"/>
      <c r="N21" s="159"/>
      <c r="O21" s="159"/>
      <c r="P21" s="159"/>
      <c r="Q21" s="159"/>
      <c r="R21" s="159"/>
      <c r="S21" s="159"/>
      <c r="T21" s="159"/>
      <c r="U21" s="159"/>
      <c r="V21" s="159"/>
      <c r="W21" s="159"/>
      <c r="X21" s="159"/>
      <c r="Y21" s="159"/>
      <c r="Z21" s="159"/>
    </row>
    <row r="22">
      <c r="A22" s="92">
        <v>20.0</v>
      </c>
      <c r="B22" s="92" t="s">
        <v>2721</v>
      </c>
      <c r="C22" s="92" t="s">
        <v>2713</v>
      </c>
      <c r="D22" s="104"/>
      <c r="E22" s="92" t="s">
        <v>2722</v>
      </c>
      <c r="F22" s="161"/>
      <c r="G22" s="161"/>
      <c r="H22" s="162" t="s">
        <v>2723</v>
      </c>
      <c r="I22" s="161"/>
      <c r="J22" s="163" t="s">
        <v>2724</v>
      </c>
      <c r="K22" s="159"/>
      <c r="L22" s="159"/>
      <c r="M22" s="159"/>
      <c r="N22" s="159"/>
      <c r="O22" s="159"/>
      <c r="P22" s="159"/>
      <c r="Q22" s="159"/>
      <c r="R22" s="159"/>
      <c r="S22" s="159"/>
      <c r="T22" s="159"/>
      <c r="U22" s="159"/>
      <c r="V22" s="159"/>
      <c r="W22" s="159"/>
      <c r="X22" s="159"/>
      <c r="Y22" s="159"/>
      <c r="Z22" s="159"/>
    </row>
    <row r="23">
      <c r="A23" s="92">
        <v>21.0</v>
      </c>
      <c r="B23" s="92" t="s">
        <v>2725</v>
      </c>
      <c r="C23" s="92" t="s">
        <v>2713</v>
      </c>
      <c r="D23" s="104"/>
      <c r="E23" s="92" t="s">
        <v>2726</v>
      </c>
      <c r="F23" s="161"/>
      <c r="G23" s="161"/>
      <c r="H23" s="163" t="s">
        <v>2727</v>
      </c>
      <c r="I23" s="161"/>
      <c r="J23" s="163" t="s">
        <v>2728</v>
      </c>
      <c r="K23" s="159"/>
      <c r="L23" s="159"/>
      <c r="M23" s="159"/>
      <c r="N23" s="159"/>
      <c r="O23" s="159"/>
      <c r="P23" s="159"/>
      <c r="Q23" s="159"/>
      <c r="R23" s="159"/>
      <c r="S23" s="159"/>
      <c r="T23" s="159"/>
      <c r="U23" s="159"/>
      <c r="V23" s="159"/>
      <c r="W23" s="159"/>
      <c r="X23" s="159"/>
      <c r="Y23" s="159"/>
      <c r="Z23" s="159"/>
    </row>
    <row r="24">
      <c r="A24" s="92">
        <v>22.0</v>
      </c>
      <c r="B24" s="92" t="s">
        <v>2729</v>
      </c>
      <c r="C24" s="92" t="s">
        <v>2713</v>
      </c>
      <c r="D24" s="104"/>
      <c r="E24" s="92" t="s">
        <v>2730</v>
      </c>
      <c r="F24" s="161"/>
      <c r="G24" s="161"/>
      <c r="H24" s="162" t="s">
        <v>2731</v>
      </c>
      <c r="I24" s="161"/>
      <c r="J24" s="163" t="s">
        <v>2732</v>
      </c>
      <c r="K24" s="159"/>
      <c r="L24" s="159"/>
      <c r="M24" s="159"/>
      <c r="N24" s="159"/>
      <c r="O24" s="159"/>
      <c r="P24" s="159"/>
      <c r="Q24" s="159"/>
      <c r="R24" s="159"/>
      <c r="S24" s="159"/>
      <c r="T24" s="159"/>
      <c r="U24" s="159"/>
      <c r="V24" s="159"/>
      <c r="W24" s="159"/>
      <c r="X24" s="159"/>
      <c r="Y24" s="159"/>
      <c r="Z24" s="159"/>
    </row>
    <row r="25">
      <c r="A25" s="92">
        <v>23.0</v>
      </c>
      <c r="B25" s="92" t="s">
        <v>2733</v>
      </c>
      <c r="C25" s="92" t="s">
        <v>2713</v>
      </c>
      <c r="D25" s="104"/>
      <c r="E25" s="92" t="s">
        <v>2734</v>
      </c>
      <c r="F25" s="161"/>
      <c r="G25" s="161"/>
      <c r="H25" s="162" t="s">
        <v>2735</v>
      </c>
      <c r="I25" s="161"/>
      <c r="J25" s="163" t="s">
        <v>2736</v>
      </c>
      <c r="K25" s="159"/>
      <c r="L25" s="159"/>
      <c r="M25" s="159"/>
      <c r="N25" s="159"/>
      <c r="O25" s="159"/>
      <c r="P25" s="159"/>
      <c r="Q25" s="159"/>
      <c r="R25" s="159"/>
      <c r="S25" s="159"/>
      <c r="T25" s="159"/>
      <c r="U25" s="159"/>
      <c r="V25" s="159"/>
      <c r="W25" s="159"/>
      <c r="X25" s="159"/>
      <c r="Y25" s="159"/>
      <c r="Z25" s="159"/>
    </row>
    <row r="26">
      <c r="A26" s="92">
        <v>24.0</v>
      </c>
      <c r="B26" s="92" t="s">
        <v>2737</v>
      </c>
      <c r="C26" s="92" t="s">
        <v>2713</v>
      </c>
      <c r="D26" s="60"/>
      <c r="E26" s="92" t="s">
        <v>2738</v>
      </c>
      <c r="F26" s="161"/>
      <c r="G26" s="161"/>
      <c r="H26" s="161"/>
      <c r="I26" s="161"/>
      <c r="J26" s="163" t="s">
        <v>2739</v>
      </c>
      <c r="K26" s="159"/>
      <c r="L26" s="159"/>
      <c r="M26" s="159"/>
      <c r="N26" s="159"/>
      <c r="O26" s="159"/>
      <c r="P26" s="159"/>
      <c r="Q26" s="159"/>
      <c r="R26" s="159"/>
      <c r="S26" s="159"/>
      <c r="T26" s="159"/>
      <c r="U26" s="159"/>
      <c r="V26" s="159"/>
      <c r="W26" s="159"/>
      <c r="X26" s="159"/>
      <c r="Y26" s="159"/>
      <c r="Z26" s="159"/>
    </row>
    <row r="27">
      <c r="A27" s="92">
        <v>25.0</v>
      </c>
      <c r="B27" s="92" t="s">
        <v>2740</v>
      </c>
      <c r="C27" s="161"/>
      <c r="D27" s="161"/>
      <c r="E27" s="161"/>
      <c r="F27" s="161"/>
      <c r="G27" s="161"/>
      <c r="H27" s="161"/>
      <c r="I27" s="161"/>
      <c r="J27" s="161"/>
      <c r="K27" s="159"/>
      <c r="L27" s="159"/>
      <c r="M27" s="159"/>
      <c r="N27" s="159"/>
      <c r="O27" s="159"/>
      <c r="P27" s="159"/>
      <c r="Q27" s="159"/>
      <c r="R27" s="159"/>
      <c r="S27" s="159"/>
      <c r="T27" s="159"/>
      <c r="U27" s="159"/>
      <c r="V27" s="159"/>
      <c r="W27" s="159"/>
      <c r="X27" s="159"/>
      <c r="Y27" s="159"/>
      <c r="Z27" s="159"/>
    </row>
    <row r="28">
      <c r="A28" s="92">
        <v>26.0</v>
      </c>
      <c r="B28" s="92" t="s">
        <v>90</v>
      </c>
      <c r="C28" s="161"/>
      <c r="D28" s="161"/>
      <c r="E28" s="161"/>
      <c r="F28" s="161"/>
      <c r="G28" s="161"/>
      <c r="H28" s="161"/>
      <c r="I28" s="161"/>
      <c r="J28" s="161"/>
      <c r="K28" s="159"/>
      <c r="L28" s="159"/>
      <c r="M28" s="159"/>
      <c r="N28" s="159"/>
      <c r="O28" s="159"/>
      <c r="P28" s="159"/>
      <c r="Q28" s="159"/>
      <c r="R28" s="159"/>
      <c r="S28" s="159"/>
      <c r="T28" s="159"/>
      <c r="U28" s="159"/>
      <c r="V28" s="159"/>
      <c r="W28" s="159"/>
      <c r="X28" s="159"/>
      <c r="Y28" s="159"/>
      <c r="Z28" s="159"/>
    </row>
    <row r="29">
      <c r="A29" s="92">
        <v>27.0</v>
      </c>
      <c r="B29" s="161"/>
      <c r="C29" s="161"/>
      <c r="D29" s="161"/>
      <c r="E29" s="161"/>
      <c r="F29" s="161"/>
      <c r="G29" s="161"/>
      <c r="H29" s="161"/>
      <c r="I29" s="161"/>
      <c r="J29" s="161"/>
      <c r="K29" s="159"/>
      <c r="L29" s="159"/>
      <c r="M29" s="159"/>
      <c r="N29" s="159"/>
      <c r="O29" s="159"/>
      <c r="P29" s="159"/>
      <c r="Q29" s="159"/>
      <c r="R29" s="159"/>
      <c r="S29" s="159"/>
      <c r="T29" s="159"/>
      <c r="U29" s="159"/>
      <c r="V29" s="159"/>
      <c r="W29" s="159"/>
      <c r="X29" s="159"/>
      <c r="Y29" s="159"/>
      <c r="Z29" s="159"/>
    </row>
    <row r="30">
      <c r="A30" s="159"/>
      <c r="B30" s="159"/>
      <c r="C30" s="159"/>
      <c r="D30" s="159"/>
      <c r="E30" s="159"/>
      <c r="F30" s="159"/>
      <c r="G30" s="159"/>
      <c r="H30" s="159"/>
      <c r="I30" s="159"/>
      <c r="J30" s="159"/>
      <c r="K30" s="159"/>
      <c r="L30" s="159"/>
      <c r="M30" s="159"/>
      <c r="N30" s="159"/>
      <c r="O30" s="159"/>
      <c r="P30" s="159"/>
      <c r="Q30" s="159"/>
      <c r="R30" s="159"/>
      <c r="S30" s="159"/>
      <c r="T30" s="159"/>
      <c r="U30" s="159"/>
      <c r="V30" s="159"/>
      <c r="W30" s="159"/>
      <c r="X30" s="159"/>
      <c r="Y30" s="159"/>
      <c r="Z30" s="159"/>
    </row>
    <row r="31">
      <c r="A31" s="159"/>
      <c r="B31" s="159"/>
      <c r="C31" s="159"/>
      <c r="D31" s="159"/>
      <c r="E31" s="159"/>
      <c r="F31" s="159"/>
      <c r="G31" s="159"/>
      <c r="H31" s="159"/>
      <c r="I31" s="159"/>
      <c r="J31" s="159"/>
      <c r="K31" s="159"/>
      <c r="L31" s="159"/>
      <c r="M31" s="159"/>
      <c r="N31" s="159"/>
      <c r="O31" s="159"/>
      <c r="P31" s="159"/>
      <c r="Q31" s="159"/>
      <c r="R31" s="159"/>
      <c r="S31" s="159"/>
      <c r="T31" s="159"/>
      <c r="U31" s="159"/>
      <c r="V31" s="159"/>
      <c r="W31" s="159"/>
      <c r="X31" s="159"/>
      <c r="Y31" s="159"/>
      <c r="Z31" s="159"/>
    </row>
    <row r="32">
      <c r="A32" s="159"/>
      <c r="B32" s="159"/>
      <c r="C32" s="159"/>
      <c r="D32" s="159"/>
      <c r="E32" s="159"/>
      <c r="F32" s="159"/>
      <c r="G32" s="159"/>
      <c r="H32" s="159"/>
      <c r="I32" s="159"/>
      <c r="J32" s="159"/>
      <c r="K32" s="159"/>
      <c r="L32" s="159"/>
      <c r="M32" s="159"/>
      <c r="N32" s="159"/>
      <c r="O32" s="159"/>
      <c r="P32" s="159"/>
      <c r="Q32" s="159"/>
      <c r="R32" s="159"/>
      <c r="S32" s="159"/>
      <c r="T32" s="159"/>
      <c r="U32" s="159"/>
      <c r="V32" s="159"/>
      <c r="W32" s="159"/>
      <c r="X32" s="159"/>
      <c r="Y32" s="159"/>
      <c r="Z32" s="159"/>
    </row>
    <row r="33">
      <c r="A33" s="159"/>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row>
    <row r="34">
      <c r="A34" s="159"/>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row>
    <row r="35">
      <c r="A35" s="159"/>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row>
    <row r="36">
      <c r="A36" s="159"/>
      <c r="B36" s="159"/>
      <c r="C36" s="159"/>
      <c r="D36" s="159"/>
      <c r="E36" s="159"/>
      <c r="F36" s="159"/>
      <c r="G36" s="159"/>
      <c r="H36" s="159"/>
      <c r="I36" s="159"/>
      <c r="J36" s="159"/>
      <c r="K36" s="159"/>
      <c r="L36" s="159"/>
      <c r="M36" s="159"/>
      <c r="N36" s="159"/>
      <c r="O36" s="159"/>
      <c r="P36" s="159"/>
      <c r="Q36" s="159"/>
      <c r="R36" s="159"/>
      <c r="S36" s="159"/>
      <c r="T36" s="159"/>
      <c r="U36" s="159"/>
      <c r="V36" s="159"/>
      <c r="W36" s="159"/>
      <c r="X36" s="159"/>
      <c r="Y36" s="159"/>
      <c r="Z36" s="159"/>
    </row>
    <row r="37">
      <c r="A37" s="159"/>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row>
    <row r="38">
      <c r="A38" s="159"/>
      <c r="B38" s="159"/>
      <c r="C38" s="159"/>
      <c r="D38" s="159"/>
      <c r="E38" s="159"/>
      <c r="F38" s="159"/>
      <c r="G38" s="159"/>
      <c r="H38" s="159"/>
      <c r="I38" s="159"/>
      <c r="J38" s="159"/>
      <c r="K38" s="159"/>
      <c r="L38" s="159"/>
      <c r="M38" s="159"/>
      <c r="N38" s="159"/>
      <c r="O38" s="159"/>
      <c r="P38" s="159"/>
      <c r="Q38" s="159"/>
      <c r="R38" s="159"/>
      <c r="S38" s="159"/>
      <c r="T38" s="159"/>
      <c r="U38" s="159"/>
      <c r="V38" s="159"/>
      <c r="W38" s="159"/>
      <c r="X38" s="159"/>
      <c r="Y38" s="159"/>
      <c r="Z38" s="159"/>
    </row>
    <row r="39">
      <c r="A39" s="159"/>
      <c r="B39" s="159"/>
      <c r="C39" s="159"/>
      <c r="D39" s="159"/>
      <c r="E39" s="159"/>
      <c r="F39" s="159"/>
      <c r="G39" s="159"/>
      <c r="H39" s="159"/>
      <c r="I39" s="159"/>
      <c r="J39" s="159"/>
      <c r="K39" s="159"/>
      <c r="L39" s="159"/>
      <c r="M39" s="159"/>
      <c r="N39" s="159"/>
      <c r="O39" s="159"/>
      <c r="P39" s="159"/>
      <c r="Q39" s="159"/>
      <c r="R39" s="159"/>
      <c r="S39" s="159"/>
      <c r="T39" s="159"/>
      <c r="U39" s="159"/>
      <c r="V39" s="159"/>
      <c r="W39" s="159"/>
      <c r="X39" s="159"/>
      <c r="Y39" s="159"/>
      <c r="Z39" s="159"/>
    </row>
    <row r="40">
      <c r="A40" s="159"/>
      <c r="B40" s="159"/>
      <c r="C40" s="159"/>
      <c r="D40" s="159"/>
      <c r="E40" s="159"/>
      <c r="F40" s="159"/>
      <c r="G40" s="159"/>
      <c r="H40" s="159"/>
      <c r="I40" s="159"/>
      <c r="J40" s="159"/>
      <c r="K40" s="159"/>
      <c r="L40" s="159"/>
      <c r="M40" s="159"/>
      <c r="N40" s="159"/>
      <c r="O40" s="159"/>
      <c r="P40" s="159"/>
      <c r="Q40" s="159"/>
      <c r="R40" s="159"/>
      <c r="S40" s="159"/>
      <c r="T40" s="159"/>
      <c r="U40" s="159"/>
      <c r="V40" s="159"/>
      <c r="W40" s="159"/>
      <c r="X40" s="159"/>
      <c r="Y40" s="159"/>
      <c r="Z40" s="159"/>
    </row>
    <row r="41">
      <c r="A41" s="159"/>
      <c r="B41" s="159"/>
      <c r="C41" s="159"/>
      <c r="D41" s="159"/>
      <c r="E41" s="159"/>
      <c r="F41" s="159"/>
      <c r="G41" s="159"/>
      <c r="H41" s="159"/>
      <c r="I41" s="159"/>
      <c r="J41" s="159"/>
      <c r="K41" s="159"/>
      <c r="L41" s="159"/>
      <c r="M41" s="159"/>
      <c r="N41" s="159"/>
      <c r="O41" s="159"/>
      <c r="P41" s="159"/>
      <c r="Q41" s="159"/>
      <c r="R41" s="159"/>
      <c r="S41" s="159"/>
      <c r="T41" s="159"/>
      <c r="U41" s="159"/>
      <c r="V41" s="159"/>
      <c r="W41" s="159"/>
      <c r="X41" s="159"/>
      <c r="Y41" s="159"/>
      <c r="Z41" s="159"/>
    </row>
    <row r="42">
      <c r="A42" s="159"/>
      <c r="B42" s="159"/>
      <c r="C42" s="159"/>
      <c r="D42" s="159"/>
      <c r="E42" s="159"/>
      <c r="F42" s="159"/>
      <c r="G42" s="159"/>
      <c r="H42" s="159"/>
      <c r="I42" s="159"/>
      <c r="J42" s="159"/>
      <c r="K42" s="159"/>
      <c r="L42" s="159"/>
      <c r="M42" s="159"/>
      <c r="N42" s="159"/>
      <c r="O42" s="159"/>
      <c r="P42" s="159"/>
      <c r="Q42" s="159"/>
      <c r="R42" s="159"/>
      <c r="S42" s="159"/>
      <c r="T42" s="159"/>
      <c r="U42" s="159"/>
      <c r="V42" s="159"/>
      <c r="W42" s="159"/>
      <c r="X42" s="159"/>
      <c r="Y42" s="159"/>
      <c r="Z42" s="159"/>
    </row>
    <row r="43">
      <c r="A43" s="159"/>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row>
    <row r="44">
      <c r="A44" s="159"/>
      <c r="B44" s="159"/>
      <c r="C44" s="159"/>
      <c r="D44" s="159"/>
      <c r="E44" s="159"/>
      <c r="F44" s="159"/>
      <c r="G44" s="159"/>
      <c r="H44" s="159"/>
      <c r="I44" s="159"/>
      <c r="J44" s="159"/>
      <c r="K44" s="159"/>
      <c r="L44" s="159"/>
      <c r="M44" s="159"/>
      <c r="N44" s="159"/>
      <c r="O44" s="159"/>
      <c r="P44" s="159"/>
      <c r="Q44" s="159"/>
      <c r="R44" s="159"/>
      <c r="S44" s="159"/>
      <c r="T44" s="159"/>
      <c r="U44" s="159"/>
      <c r="V44" s="159"/>
      <c r="W44" s="159"/>
      <c r="X44" s="159"/>
      <c r="Y44" s="159"/>
      <c r="Z44" s="159"/>
    </row>
    <row r="45">
      <c r="A45" s="159"/>
      <c r="B45" s="159"/>
      <c r="C45" s="159"/>
      <c r="D45" s="159"/>
      <c r="E45" s="159"/>
      <c r="F45" s="159"/>
      <c r="G45" s="159"/>
      <c r="H45" s="159"/>
      <c r="I45" s="159"/>
      <c r="J45" s="159"/>
      <c r="K45" s="159"/>
      <c r="L45" s="159"/>
      <c r="M45" s="159"/>
      <c r="N45" s="159"/>
      <c r="O45" s="159"/>
      <c r="P45" s="159"/>
      <c r="Q45" s="159"/>
      <c r="R45" s="159"/>
      <c r="S45" s="159"/>
      <c r="T45" s="159"/>
      <c r="U45" s="159"/>
      <c r="V45" s="159"/>
      <c r="W45" s="159"/>
      <c r="X45" s="159"/>
      <c r="Y45" s="159"/>
      <c r="Z45" s="159"/>
    </row>
    <row r="46">
      <c r="A46" s="159"/>
      <c r="B46" s="159"/>
      <c r="C46" s="159"/>
      <c r="D46" s="159"/>
      <c r="E46" s="159"/>
      <c r="F46" s="159"/>
      <c r="G46" s="159"/>
      <c r="H46" s="159"/>
      <c r="I46" s="159"/>
      <c r="J46" s="159"/>
      <c r="K46" s="159"/>
      <c r="L46" s="159"/>
      <c r="M46" s="159"/>
      <c r="N46" s="159"/>
      <c r="O46" s="159"/>
      <c r="P46" s="159"/>
      <c r="Q46" s="159"/>
      <c r="R46" s="159"/>
      <c r="S46" s="159"/>
      <c r="T46" s="159"/>
      <c r="U46" s="159"/>
      <c r="V46" s="159"/>
      <c r="W46" s="159"/>
      <c r="X46" s="159"/>
      <c r="Y46" s="159"/>
      <c r="Z46" s="159"/>
    </row>
    <row r="47">
      <c r="A47" s="159"/>
      <c r="B47" s="159"/>
      <c r="C47" s="159"/>
      <c r="D47" s="159"/>
      <c r="E47" s="159"/>
      <c r="F47" s="159"/>
      <c r="G47" s="159"/>
      <c r="H47" s="159"/>
      <c r="I47" s="159"/>
      <c r="J47" s="159"/>
      <c r="K47" s="159"/>
      <c r="L47" s="159"/>
      <c r="M47" s="159"/>
      <c r="N47" s="159"/>
      <c r="O47" s="159"/>
      <c r="P47" s="159"/>
      <c r="Q47" s="159"/>
      <c r="R47" s="159"/>
      <c r="S47" s="159"/>
      <c r="T47" s="159"/>
      <c r="U47" s="159"/>
      <c r="V47" s="159"/>
      <c r="W47" s="159"/>
      <c r="X47" s="159"/>
      <c r="Y47" s="159"/>
      <c r="Z47" s="159"/>
    </row>
    <row r="48">
      <c r="A48" s="159"/>
      <c r="B48" s="159"/>
      <c r="C48" s="159"/>
      <c r="D48" s="159"/>
      <c r="E48" s="159"/>
      <c r="F48" s="159"/>
      <c r="G48" s="159"/>
      <c r="H48" s="159"/>
      <c r="I48" s="159"/>
      <c r="J48" s="159"/>
      <c r="K48" s="159"/>
      <c r="L48" s="159"/>
      <c r="M48" s="159"/>
      <c r="N48" s="159"/>
      <c r="O48" s="159"/>
      <c r="P48" s="159"/>
      <c r="Q48" s="159"/>
      <c r="R48" s="159"/>
      <c r="S48" s="159"/>
      <c r="T48" s="159"/>
      <c r="U48" s="159"/>
      <c r="V48" s="159"/>
      <c r="W48" s="159"/>
      <c r="X48" s="159"/>
      <c r="Y48" s="159"/>
      <c r="Z48" s="159"/>
    </row>
    <row r="49">
      <c r="A49" s="159"/>
      <c r="B49" s="159"/>
      <c r="C49" s="159"/>
      <c r="D49" s="159"/>
      <c r="E49" s="159"/>
      <c r="F49" s="159"/>
      <c r="G49" s="159"/>
      <c r="H49" s="159"/>
      <c r="I49" s="159"/>
      <c r="J49" s="159"/>
      <c r="K49" s="159"/>
      <c r="L49" s="159"/>
      <c r="M49" s="159"/>
      <c r="N49" s="159"/>
      <c r="O49" s="159"/>
      <c r="P49" s="159"/>
      <c r="Q49" s="159"/>
      <c r="R49" s="159"/>
      <c r="S49" s="159"/>
      <c r="T49" s="159"/>
      <c r="U49" s="159"/>
      <c r="V49" s="159"/>
      <c r="W49" s="159"/>
      <c r="X49" s="159"/>
      <c r="Y49" s="159"/>
      <c r="Z49" s="159"/>
    </row>
    <row r="50">
      <c r="A50" s="159"/>
      <c r="B50" s="159"/>
      <c r="C50" s="159"/>
      <c r="D50" s="159"/>
      <c r="E50" s="159"/>
      <c r="F50" s="159"/>
      <c r="G50" s="159"/>
      <c r="H50" s="159"/>
      <c r="I50" s="159"/>
      <c r="J50" s="159"/>
      <c r="K50" s="159"/>
      <c r="L50" s="159"/>
      <c r="M50" s="159"/>
      <c r="N50" s="159"/>
      <c r="O50" s="159"/>
      <c r="P50" s="159"/>
      <c r="Q50" s="159"/>
      <c r="R50" s="159"/>
      <c r="S50" s="159"/>
      <c r="T50" s="159"/>
      <c r="U50" s="159"/>
      <c r="V50" s="159"/>
      <c r="W50" s="159"/>
      <c r="X50" s="159"/>
      <c r="Y50" s="159"/>
      <c r="Z50" s="159"/>
    </row>
    <row r="51">
      <c r="A51" s="159"/>
      <c r="B51" s="159"/>
      <c r="C51" s="159"/>
      <c r="D51" s="159"/>
      <c r="E51" s="159"/>
      <c r="F51" s="159"/>
      <c r="G51" s="159"/>
      <c r="H51" s="159"/>
      <c r="I51" s="159"/>
      <c r="J51" s="159"/>
      <c r="K51" s="159"/>
      <c r="L51" s="159"/>
      <c r="M51" s="159"/>
      <c r="N51" s="159"/>
      <c r="O51" s="159"/>
      <c r="P51" s="159"/>
      <c r="Q51" s="159"/>
      <c r="R51" s="159"/>
      <c r="S51" s="159"/>
      <c r="T51" s="159"/>
      <c r="U51" s="159"/>
      <c r="V51" s="159"/>
      <c r="W51" s="159"/>
      <c r="X51" s="159"/>
      <c r="Y51" s="159"/>
      <c r="Z51" s="159"/>
    </row>
    <row r="52">
      <c r="A52" s="159"/>
      <c r="B52" s="159"/>
      <c r="C52" s="159"/>
      <c r="D52" s="159"/>
      <c r="E52" s="159"/>
      <c r="F52" s="159"/>
      <c r="G52" s="159"/>
      <c r="H52" s="159"/>
      <c r="I52" s="159"/>
      <c r="J52" s="159"/>
      <c r="K52" s="159"/>
      <c r="L52" s="159"/>
      <c r="M52" s="159"/>
      <c r="N52" s="159"/>
      <c r="O52" s="159"/>
      <c r="P52" s="159"/>
      <c r="Q52" s="159"/>
      <c r="R52" s="159"/>
      <c r="S52" s="159"/>
      <c r="T52" s="159"/>
      <c r="U52" s="159"/>
      <c r="V52" s="159"/>
      <c r="W52" s="159"/>
      <c r="X52" s="159"/>
      <c r="Y52" s="159"/>
      <c r="Z52" s="159"/>
    </row>
    <row r="53">
      <c r="A53" s="159"/>
      <c r="B53" s="159"/>
      <c r="C53" s="159"/>
      <c r="D53" s="159"/>
      <c r="E53" s="159"/>
      <c r="F53" s="159"/>
      <c r="G53" s="159"/>
      <c r="H53" s="159"/>
      <c r="I53" s="159"/>
      <c r="J53" s="159"/>
      <c r="K53" s="159"/>
      <c r="L53" s="159"/>
      <c r="M53" s="159"/>
      <c r="N53" s="159"/>
      <c r="O53" s="159"/>
      <c r="P53" s="159"/>
      <c r="Q53" s="159"/>
      <c r="R53" s="159"/>
      <c r="S53" s="159"/>
      <c r="T53" s="159"/>
      <c r="U53" s="159"/>
      <c r="V53" s="159"/>
      <c r="W53" s="159"/>
      <c r="X53" s="159"/>
      <c r="Y53" s="159"/>
      <c r="Z53" s="159"/>
    </row>
    <row r="54">
      <c r="A54" s="159"/>
      <c r="B54" s="159"/>
      <c r="C54" s="159"/>
      <c r="D54" s="159"/>
      <c r="E54" s="159"/>
      <c r="F54" s="159"/>
      <c r="G54" s="159"/>
      <c r="H54" s="159"/>
      <c r="I54" s="159"/>
      <c r="J54" s="159"/>
      <c r="K54" s="159"/>
      <c r="L54" s="159"/>
      <c r="M54" s="159"/>
      <c r="N54" s="159"/>
      <c r="O54" s="159"/>
      <c r="P54" s="159"/>
      <c r="Q54" s="159"/>
      <c r="R54" s="159"/>
      <c r="S54" s="159"/>
      <c r="T54" s="159"/>
      <c r="U54" s="159"/>
      <c r="V54" s="159"/>
      <c r="W54" s="159"/>
      <c r="X54" s="159"/>
      <c r="Y54" s="159"/>
      <c r="Z54" s="159"/>
    </row>
    <row r="55">
      <c r="A55" s="159"/>
      <c r="B55" s="159"/>
      <c r="C55" s="159"/>
      <c r="D55" s="159"/>
      <c r="E55" s="159"/>
      <c r="F55" s="159"/>
      <c r="G55" s="159"/>
      <c r="H55" s="159"/>
      <c r="I55" s="159"/>
      <c r="J55" s="159"/>
      <c r="K55" s="159"/>
      <c r="L55" s="159"/>
      <c r="M55" s="159"/>
      <c r="N55" s="159"/>
      <c r="O55" s="159"/>
      <c r="P55" s="159"/>
      <c r="Q55" s="159"/>
      <c r="R55" s="159"/>
      <c r="S55" s="159"/>
      <c r="T55" s="159"/>
      <c r="U55" s="159"/>
      <c r="V55" s="159"/>
      <c r="W55" s="159"/>
      <c r="X55" s="159"/>
      <c r="Y55" s="159"/>
      <c r="Z55" s="159"/>
    </row>
    <row r="56">
      <c r="A56" s="159"/>
      <c r="B56" s="159"/>
      <c r="C56" s="159"/>
      <c r="D56" s="159"/>
      <c r="E56" s="159"/>
      <c r="F56" s="159"/>
      <c r="G56" s="159"/>
      <c r="H56" s="159"/>
      <c r="I56" s="159"/>
      <c r="J56" s="159"/>
      <c r="K56" s="159"/>
      <c r="L56" s="159"/>
      <c r="M56" s="159"/>
      <c r="N56" s="159"/>
      <c r="O56" s="159"/>
      <c r="P56" s="159"/>
      <c r="Q56" s="159"/>
      <c r="R56" s="159"/>
      <c r="S56" s="159"/>
      <c r="T56" s="159"/>
      <c r="U56" s="159"/>
      <c r="V56" s="159"/>
      <c r="W56" s="159"/>
      <c r="X56" s="159"/>
      <c r="Y56" s="159"/>
      <c r="Z56" s="159"/>
    </row>
    <row r="57">
      <c r="A57" s="159"/>
      <c r="B57" s="159"/>
      <c r="C57" s="159"/>
      <c r="D57" s="159"/>
      <c r="E57" s="159"/>
      <c r="F57" s="159"/>
      <c r="G57" s="159"/>
      <c r="H57" s="159"/>
      <c r="I57" s="159"/>
      <c r="J57" s="159"/>
      <c r="K57" s="159"/>
      <c r="L57" s="159"/>
      <c r="M57" s="159"/>
      <c r="N57" s="159"/>
      <c r="O57" s="159"/>
      <c r="P57" s="159"/>
      <c r="Q57" s="159"/>
      <c r="R57" s="159"/>
      <c r="S57" s="159"/>
      <c r="T57" s="159"/>
      <c r="U57" s="159"/>
      <c r="V57" s="159"/>
      <c r="W57" s="159"/>
      <c r="X57" s="159"/>
      <c r="Y57" s="159"/>
      <c r="Z57" s="159"/>
    </row>
    <row r="58">
      <c r="A58" s="159"/>
      <c r="B58" s="159"/>
      <c r="C58" s="159"/>
      <c r="D58" s="159"/>
      <c r="E58" s="159"/>
      <c r="F58" s="159"/>
      <c r="G58" s="159"/>
      <c r="H58" s="159"/>
      <c r="I58" s="159"/>
      <c r="J58" s="159"/>
      <c r="K58" s="159"/>
      <c r="L58" s="159"/>
      <c r="M58" s="159"/>
      <c r="N58" s="159"/>
      <c r="O58" s="159"/>
      <c r="P58" s="159"/>
      <c r="Q58" s="159"/>
      <c r="R58" s="159"/>
      <c r="S58" s="159"/>
      <c r="T58" s="159"/>
      <c r="U58" s="159"/>
      <c r="V58" s="159"/>
      <c r="W58" s="159"/>
      <c r="X58" s="159"/>
      <c r="Y58" s="159"/>
      <c r="Z58" s="159"/>
    </row>
    <row r="59">
      <c r="A59" s="159"/>
      <c r="B59" s="159"/>
      <c r="C59" s="159"/>
      <c r="D59" s="159"/>
      <c r="E59" s="159"/>
      <c r="F59" s="159"/>
      <c r="G59" s="159"/>
      <c r="H59" s="159"/>
      <c r="I59" s="159"/>
      <c r="J59" s="159"/>
      <c r="K59" s="159"/>
      <c r="L59" s="159"/>
      <c r="M59" s="159"/>
      <c r="N59" s="159"/>
      <c r="O59" s="159"/>
      <c r="P59" s="159"/>
      <c r="Q59" s="159"/>
      <c r="R59" s="159"/>
      <c r="S59" s="159"/>
      <c r="T59" s="159"/>
      <c r="U59" s="159"/>
      <c r="V59" s="159"/>
      <c r="W59" s="159"/>
      <c r="X59" s="159"/>
      <c r="Y59" s="159"/>
      <c r="Z59" s="159"/>
    </row>
    <row r="60">
      <c r="A60" s="159"/>
      <c r="B60" s="159"/>
      <c r="C60" s="159"/>
      <c r="D60" s="159"/>
      <c r="E60" s="159"/>
      <c r="F60" s="159"/>
      <c r="G60" s="159"/>
      <c r="H60" s="159"/>
      <c r="I60" s="159"/>
      <c r="J60" s="159"/>
      <c r="K60" s="159"/>
      <c r="L60" s="159"/>
      <c r="M60" s="159"/>
      <c r="N60" s="159"/>
      <c r="O60" s="159"/>
      <c r="P60" s="159"/>
      <c r="Q60" s="159"/>
      <c r="R60" s="159"/>
      <c r="S60" s="159"/>
      <c r="T60" s="159"/>
      <c r="U60" s="159"/>
      <c r="V60" s="159"/>
      <c r="W60" s="159"/>
      <c r="X60" s="159"/>
      <c r="Y60" s="159"/>
      <c r="Z60" s="159"/>
    </row>
    <row r="61">
      <c r="A61" s="159"/>
      <c r="B61" s="159"/>
      <c r="C61" s="159"/>
      <c r="D61" s="159"/>
      <c r="E61" s="159"/>
      <c r="F61" s="159"/>
      <c r="G61" s="159"/>
      <c r="H61" s="159"/>
      <c r="I61" s="159"/>
      <c r="J61" s="159"/>
      <c r="K61" s="159"/>
      <c r="L61" s="159"/>
      <c r="M61" s="159"/>
      <c r="N61" s="159"/>
      <c r="O61" s="159"/>
      <c r="P61" s="159"/>
      <c r="Q61" s="159"/>
      <c r="R61" s="159"/>
      <c r="S61" s="159"/>
      <c r="T61" s="159"/>
      <c r="U61" s="159"/>
      <c r="V61" s="159"/>
      <c r="W61" s="159"/>
      <c r="X61" s="159"/>
      <c r="Y61" s="159"/>
      <c r="Z61" s="159"/>
    </row>
    <row r="62">
      <c r="A62" s="159"/>
      <c r="B62" s="159"/>
      <c r="C62" s="159"/>
      <c r="D62" s="159"/>
      <c r="E62" s="159"/>
      <c r="F62" s="159"/>
      <c r="G62" s="159"/>
      <c r="H62" s="159"/>
      <c r="I62" s="159"/>
      <c r="J62" s="159"/>
      <c r="K62" s="159"/>
      <c r="L62" s="159"/>
      <c r="M62" s="159"/>
      <c r="N62" s="159"/>
      <c r="O62" s="159"/>
      <c r="P62" s="159"/>
      <c r="Q62" s="159"/>
      <c r="R62" s="159"/>
      <c r="S62" s="159"/>
      <c r="T62" s="159"/>
      <c r="U62" s="159"/>
      <c r="V62" s="159"/>
      <c r="W62" s="159"/>
      <c r="X62" s="159"/>
      <c r="Y62" s="159"/>
      <c r="Z62" s="159"/>
    </row>
    <row r="63">
      <c r="A63" s="159"/>
      <c r="B63" s="159"/>
      <c r="C63" s="159"/>
      <c r="D63" s="159"/>
      <c r="E63" s="159"/>
      <c r="F63" s="159"/>
      <c r="G63" s="159"/>
      <c r="H63" s="159"/>
      <c r="I63" s="159"/>
      <c r="J63" s="159"/>
      <c r="K63" s="159"/>
      <c r="L63" s="159"/>
      <c r="M63" s="159"/>
      <c r="N63" s="159"/>
      <c r="O63" s="159"/>
      <c r="P63" s="159"/>
      <c r="Q63" s="159"/>
      <c r="R63" s="159"/>
      <c r="S63" s="159"/>
      <c r="T63" s="159"/>
      <c r="U63" s="159"/>
      <c r="V63" s="159"/>
      <c r="W63" s="159"/>
      <c r="X63" s="159"/>
      <c r="Y63" s="159"/>
      <c r="Z63" s="159"/>
    </row>
    <row r="64">
      <c r="A64" s="159"/>
      <c r="B64" s="159"/>
      <c r="C64" s="159"/>
      <c r="D64" s="159"/>
      <c r="E64" s="159"/>
      <c r="F64" s="159"/>
      <c r="G64" s="159"/>
      <c r="H64" s="159"/>
      <c r="I64" s="159"/>
      <c r="J64" s="159"/>
      <c r="K64" s="159"/>
      <c r="L64" s="159"/>
      <c r="M64" s="159"/>
      <c r="N64" s="159"/>
      <c r="O64" s="159"/>
      <c r="P64" s="159"/>
      <c r="Q64" s="159"/>
      <c r="R64" s="159"/>
      <c r="S64" s="159"/>
      <c r="T64" s="159"/>
      <c r="U64" s="159"/>
      <c r="V64" s="159"/>
      <c r="W64" s="159"/>
      <c r="X64" s="159"/>
      <c r="Y64" s="159"/>
      <c r="Z64" s="159"/>
    </row>
    <row r="65">
      <c r="A65" s="159"/>
      <c r="B65" s="159"/>
      <c r="C65" s="159"/>
      <c r="D65" s="159"/>
      <c r="E65" s="159"/>
      <c r="F65" s="159"/>
      <c r="G65" s="159"/>
      <c r="H65" s="159"/>
      <c r="I65" s="159"/>
      <c r="J65" s="159"/>
      <c r="K65" s="159"/>
      <c r="L65" s="159"/>
      <c r="M65" s="159"/>
      <c r="N65" s="159"/>
      <c r="O65" s="159"/>
      <c r="P65" s="159"/>
      <c r="Q65" s="159"/>
      <c r="R65" s="159"/>
      <c r="S65" s="159"/>
      <c r="T65" s="159"/>
      <c r="U65" s="159"/>
      <c r="V65" s="159"/>
      <c r="W65" s="159"/>
      <c r="X65" s="159"/>
      <c r="Y65" s="159"/>
      <c r="Z65" s="159"/>
    </row>
    <row r="66">
      <c r="A66" s="159"/>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row>
    <row r="67">
      <c r="A67" s="159"/>
      <c r="B67" s="159"/>
      <c r="C67" s="159"/>
      <c r="D67" s="159"/>
      <c r="E67" s="159"/>
      <c r="F67" s="159"/>
      <c r="G67" s="159"/>
      <c r="H67" s="159"/>
      <c r="I67" s="159"/>
      <c r="J67" s="159"/>
      <c r="K67" s="159"/>
      <c r="L67" s="159"/>
      <c r="M67" s="159"/>
      <c r="N67" s="159"/>
      <c r="O67" s="159"/>
      <c r="P67" s="159"/>
      <c r="Q67" s="159"/>
      <c r="R67" s="159"/>
      <c r="S67" s="159"/>
      <c r="T67" s="159"/>
      <c r="U67" s="159"/>
      <c r="V67" s="159"/>
      <c r="W67" s="159"/>
      <c r="X67" s="159"/>
      <c r="Y67" s="159"/>
      <c r="Z67" s="159"/>
    </row>
    <row r="68">
      <c r="A68" s="159"/>
      <c r="B68" s="159"/>
      <c r="C68" s="159"/>
      <c r="D68" s="159"/>
      <c r="E68" s="159"/>
      <c r="F68" s="159"/>
      <c r="G68" s="159"/>
      <c r="H68" s="159"/>
      <c r="I68" s="159"/>
      <c r="J68" s="159"/>
      <c r="K68" s="159"/>
      <c r="L68" s="159"/>
      <c r="M68" s="159"/>
      <c r="N68" s="159"/>
      <c r="O68" s="159"/>
      <c r="P68" s="159"/>
      <c r="Q68" s="159"/>
      <c r="R68" s="159"/>
      <c r="S68" s="159"/>
      <c r="T68" s="159"/>
      <c r="U68" s="159"/>
      <c r="V68" s="159"/>
      <c r="W68" s="159"/>
      <c r="X68" s="159"/>
      <c r="Y68" s="159"/>
      <c r="Z68" s="159"/>
    </row>
    <row r="69">
      <c r="A69" s="159"/>
      <c r="B69" s="159"/>
      <c r="C69" s="159"/>
      <c r="D69" s="159"/>
      <c r="E69" s="159"/>
      <c r="F69" s="159"/>
      <c r="G69" s="159"/>
      <c r="H69" s="159"/>
      <c r="I69" s="159"/>
      <c r="J69" s="159"/>
      <c r="K69" s="159"/>
      <c r="L69" s="159"/>
      <c r="M69" s="159"/>
      <c r="N69" s="159"/>
      <c r="O69" s="159"/>
      <c r="P69" s="159"/>
      <c r="Q69" s="159"/>
      <c r="R69" s="159"/>
      <c r="S69" s="159"/>
      <c r="T69" s="159"/>
      <c r="U69" s="159"/>
      <c r="V69" s="159"/>
      <c r="W69" s="159"/>
      <c r="X69" s="159"/>
      <c r="Y69" s="159"/>
      <c r="Z69" s="159"/>
    </row>
    <row r="70">
      <c r="A70" s="159"/>
      <c r="B70" s="159"/>
      <c r="C70" s="159"/>
      <c r="D70" s="159"/>
      <c r="E70" s="159"/>
      <c r="F70" s="159"/>
      <c r="G70" s="159"/>
      <c r="H70" s="159"/>
      <c r="I70" s="159"/>
      <c r="J70" s="159"/>
      <c r="K70" s="159"/>
      <c r="L70" s="159"/>
      <c r="M70" s="159"/>
      <c r="N70" s="159"/>
      <c r="O70" s="159"/>
      <c r="P70" s="159"/>
      <c r="Q70" s="159"/>
      <c r="R70" s="159"/>
      <c r="S70" s="159"/>
      <c r="T70" s="159"/>
      <c r="U70" s="159"/>
      <c r="V70" s="159"/>
      <c r="W70" s="159"/>
      <c r="X70" s="159"/>
      <c r="Y70" s="159"/>
      <c r="Z70" s="159"/>
    </row>
    <row r="71">
      <c r="A71" s="159"/>
      <c r="B71" s="159"/>
      <c r="C71" s="159"/>
      <c r="D71" s="159"/>
      <c r="E71" s="159"/>
      <c r="F71" s="159"/>
      <c r="G71" s="159"/>
      <c r="H71" s="159"/>
      <c r="I71" s="159"/>
      <c r="J71" s="159"/>
      <c r="K71" s="159"/>
      <c r="L71" s="159"/>
      <c r="M71" s="159"/>
      <c r="N71" s="159"/>
      <c r="O71" s="159"/>
      <c r="P71" s="159"/>
      <c r="Q71" s="159"/>
      <c r="R71" s="159"/>
      <c r="S71" s="159"/>
      <c r="T71" s="159"/>
      <c r="U71" s="159"/>
      <c r="V71" s="159"/>
      <c r="W71" s="159"/>
      <c r="X71" s="159"/>
      <c r="Y71" s="159"/>
      <c r="Z71" s="159"/>
    </row>
    <row r="72">
      <c r="A72" s="159"/>
      <c r="B72" s="159"/>
      <c r="C72" s="159"/>
      <c r="D72" s="159"/>
      <c r="E72" s="159"/>
      <c r="F72" s="159"/>
      <c r="G72" s="159"/>
      <c r="H72" s="159"/>
      <c r="I72" s="159"/>
      <c r="J72" s="159"/>
      <c r="K72" s="159"/>
      <c r="L72" s="159"/>
      <c r="M72" s="159"/>
      <c r="N72" s="159"/>
      <c r="O72" s="159"/>
      <c r="P72" s="159"/>
      <c r="Q72" s="159"/>
      <c r="R72" s="159"/>
      <c r="S72" s="159"/>
      <c r="T72" s="159"/>
      <c r="U72" s="159"/>
      <c r="V72" s="159"/>
      <c r="W72" s="159"/>
      <c r="X72" s="159"/>
      <c r="Y72" s="159"/>
      <c r="Z72" s="159"/>
    </row>
    <row r="73">
      <c r="A73" s="159"/>
      <c r="B73" s="159"/>
      <c r="C73" s="159"/>
      <c r="D73" s="159"/>
      <c r="E73" s="159"/>
      <c r="F73" s="159"/>
      <c r="G73" s="159"/>
      <c r="H73" s="159"/>
      <c r="I73" s="159"/>
      <c r="J73" s="159"/>
      <c r="K73" s="159"/>
      <c r="L73" s="159"/>
      <c r="M73" s="159"/>
      <c r="N73" s="159"/>
      <c r="O73" s="159"/>
      <c r="P73" s="159"/>
      <c r="Q73" s="159"/>
      <c r="R73" s="159"/>
      <c r="S73" s="159"/>
      <c r="T73" s="159"/>
      <c r="U73" s="159"/>
      <c r="V73" s="159"/>
      <c r="W73" s="159"/>
      <c r="X73" s="159"/>
      <c r="Y73" s="159"/>
      <c r="Z73" s="159"/>
    </row>
    <row r="74">
      <c r="A74" s="159"/>
      <c r="B74" s="159"/>
      <c r="C74" s="159"/>
      <c r="D74" s="159"/>
      <c r="E74" s="159"/>
      <c r="F74" s="159"/>
      <c r="G74" s="159"/>
      <c r="H74" s="159"/>
      <c r="I74" s="159"/>
      <c r="J74" s="159"/>
      <c r="K74" s="159"/>
      <c r="L74" s="159"/>
      <c r="M74" s="159"/>
      <c r="N74" s="159"/>
      <c r="O74" s="159"/>
      <c r="P74" s="159"/>
      <c r="Q74" s="159"/>
      <c r="R74" s="159"/>
      <c r="S74" s="159"/>
      <c r="T74" s="159"/>
      <c r="U74" s="159"/>
      <c r="V74" s="159"/>
      <c r="W74" s="159"/>
      <c r="X74" s="159"/>
      <c r="Y74" s="159"/>
      <c r="Z74" s="159"/>
    </row>
    <row r="75">
      <c r="A75" s="159"/>
      <c r="B75" s="159"/>
      <c r="C75" s="159"/>
      <c r="D75" s="159"/>
      <c r="E75" s="159"/>
      <c r="F75" s="159"/>
      <c r="G75" s="159"/>
      <c r="H75" s="159"/>
      <c r="I75" s="159"/>
      <c r="J75" s="159"/>
      <c r="K75" s="159"/>
      <c r="L75" s="159"/>
      <c r="M75" s="159"/>
      <c r="N75" s="159"/>
      <c r="O75" s="159"/>
      <c r="P75" s="159"/>
      <c r="Q75" s="159"/>
      <c r="R75" s="159"/>
      <c r="S75" s="159"/>
      <c r="T75" s="159"/>
      <c r="U75" s="159"/>
      <c r="V75" s="159"/>
      <c r="W75" s="159"/>
      <c r="X75" s="159"/>
      <c r="Y75" s="159"/>
      <c r="Z75" s="159"/>
    </row>
    <row r="76">
      <c r="A76" s="159"/>
      <c r="B76" s="159"/>
      <c r="C76" s="159"/>
      <c r="D76" s="159"/>
      <c r="E76" s="159"/>
      <c r="F76" s="159"/>
      <c r="G76" s="159"/>
      <c r="H76" s="159"/>
      <c r="I76" s="159"/>
      <c r="J76" s="159"/>
      <c r="K76" s="159"/>
      <c r="L76" s="159"/>
      <c r="M76" s="159"/>
      <c r="N76" s="159"/>
      <c r="O76" s="159"/>
      <c r="P76" s="159"/>
      <c r="Q76" s="159"/>
      <c r="R76" s="159"/>
      <c r="S76" s="159"/>
      <c r="T76" s="159"/>
      <c r="U76" s="159"/>
      <c r="V76" s="159"/>
      <c r="W76" s="159"/>
      <c r="X76" s="159"/>
      <c r="Y76" s="159"/>
      <c r="Z76" s="159"/>
    </row>
    <row r="77">
      <c r="A77" s="159"/>
      <c r="B77" s="159"/>
      <c r="C77" s="159"/>
      <c r="D77" s="159"/>
      <c r="E77" s="159"/>
      <c r="F77" s="159"/>
      <c r="G77" s="159"/>
      <c r="H77" s="159"/>
      <c r="I77" s="159"/>
      <c r="J77" s="159"/>
      <c r="K77" s="159"/>
      <c r="L77" s="159"/>
      <c r="M77" s="159"/>
      <c r="N77" s="159"/>
      <c r="O77" s="159"/>
      <c r="P77" s="159"/>
      <c r="Q77" s="159"/>
      <c r="R77" s="159"/>
      <c r="S77" s="159"/>
      <c r="T77" s="159"/>
      <c r="U77" s="159"/>
      <c r="V77" s="159"/>
      <c r="W77" s="159"/>
      <c r="X77" s="159"/>
      <c r="Y77" s="159"/>
      <c r="Z77" s="159"/>
    </row>
    <row r="78">
      <c r="A78" s="159"/>
      <c r="B78" s="159"/>
      <c r="C78" s="159"/>
      <c r="D78" s="159"/>
      <c r="E78" s="159"/>
      <c r="F78" s="159"/>
      <c r="G78" s="159"/>
      <c r="H78" s="159"/>
      <c r="I78" s="159"/>
      <c r="J78" s="159"/>
      <c r="K78" s="159"/>
      <c r="L78" s="159"/>
      <c r="M78" s="159"/>
      <c r="N78" s="159"/>
      <c r="O78" s="159"/>
      <c r="P78" s="159"/>
      <c r="Q78" s="159"/>
      <c r="R78" s="159"/>
      <c r="S78" s="159"/>
      <c r="T78" s="159"/>
      <c r="U78" s="159"/>
      <c r="V78" s="159"/>
      <c r="W78" s="159"/>
      <c r="X78" s="159"/>
      <c r="Y78" s="159"/>
      <c r="Z78" s="159"/>
    </row>
    <row r="79">
      <c r="A79" s="159"/>
      <c r="B79" s="159"/>
      <c r="C79" s="159"/>
      <c r="D79" s="159"/>
      <c r="E79" s="159"/>
      <c r="F79" s="159"/>
      <c r="G79" s="159"/>
      <c r="H79" s="159"/>
      <c r="I79" s="159"/>
      <c r="J79" s="159"/>
      <c r="K79" s="159"/>
      <c r="L79" s="159"/>
      <c r="M79" s="159"/>
      <c r="N79" s="159"/>
      <c r="O79" s="159"/>
      <c r="P79" s="159"/>
      <c r="Q79" s="159"/>
      <c r="R79" s="159"/>
      <c r="S79" s="159"/>
      <c r="T79" s="159"/>
      <c r="U79" s="159"/>
      <c r="V79" s="159"/>
      <c r="W79" s="159"/>
      <c r="X79" s="159"/>
      <c r="Y79" s="159"/>
      <c r="Z79" s="159"/>
    </row>
    <row r="80">
      <c r="A80" s="159"/>
      <c r="B80" s="159"/>
      <c r="C80" s="159"/>
      <c r="D80" s="159"/>
      <c r="E80" s="159"/>
      <c r="F80" s="159"/>
      <c r="G80" s="159"/>
      <c r="H80" s="159"/>
      <c r="I80" s="159"/>
      <c r="J80" s="159"/>
      <c r="K80" s="159"/>
      <c r="L80" s="159"/>
      <c r="M80" s="159"/>
      <c r="N80" s="159"/>
      <c r="O80" s="159"/>
      <c r="P80" s="159"/>
      <c r="Q80" s="159"/>
      <c r="R80" s="159"/>
      <c r="S80" s="159"/>
      <c r="T80" s="159"/>
      <c r="U80" s="159"/>
      <c r="V80" s="159"/>
      <c r="W80" s="159"/>
      <c r="X80" s="159"/>
      <c r="Y80" s="159"/>
      <c r="Z80" s="159"/>
    </row>
    <row r="81">
      <c r="A81" s="159"/>
      <c r="B81" s="159"/>
      <c r="C81" s="159"/>
      <c r="D81" s="159"/>
      <c r="E81" s="159"/>
      <c r="F81" s="159"/>
      <c r="G81" s="159"/>
      <c r="H81" s="159"/>
      <c r="I81" s="159"/>
      <c r="J81" s="159"/>
      <c r="K81" s="159"/>
      <c r="L81" s="159"/>
      <c r="M81" s="159"/>
      <c r="N81" s="159"/>
      <c r="O81" s="159"/>
      <c r="P81" s="159"/>
      <c r="Q81" s="159"/>
      <c r="R81" s="159"/>
      <c r="S81" s="159"/>
      <c r="T81" s="159"/>
      <c r="U81" s="159"/>
      <c r="V81" s="159"/>
      <c r="W81" s="159"/>
      <c r="X81" s="159"/>
      <c r="Y81" s="159"/>
      <c r="Z81" s="159"/>
    </row>
    <row r="82">
      <c r="A82" s="159"/>
      <c r="B82" s="159"/>
      <c r="C82" s="159"/>
      <c r="D82" s="159"/>
      <c r="E82" s="159"/>
      <c r="F82" s="159"/>
      <c r="G82" s="159"/>
      <c r="H82" s="159"/>
      <c r="I82" s="159"/>
      <c r="J82" s="159"/>
      <c r="K82" s="159"/>
      <c r="L82" s="159"/>
      <c r="M82" s="159"/>
      <c r="N82" s="159"/>
      <c r="O82" s="159"/>
      <c r="P82" s="159"/>
      <c r="Q82" s="159"/>
      <c r="R82" s="159"/>
      <c r="S82" s="159"/>
      <c r="T82" s="159"/>
      <c r="U82" s="159"/>
      <c r="V82" s="159"/>
      <c r="W82" s="159"/>
      <c r="X82" s="159"/>
      <c r="Y82" s="159"/>
      <c r="Z82" s="159"/>
    </row>
    <row r="83">
      <c r="A83" s="159"/>
      <c r="B83" s="159"/>
      <c r="C83" s="159"/>
      <c r="D83" s="159"/>
      <c r="E83" s="159"/>
      <c r="F83" s="159"/>
      <c r="G83" s="159"/>
      <c r="H83" s="159"/>
      <c r="I83" s="159"/>
      <c r="J83" s="159"/>
      <c r="K83" s="159"/>
      <c r="L83" s="159"/>
      <c r="M83" s="159"/>
      <c r="N83" s="159"/>
      <c r="O83" s="159"/>
      <c r="P83" s="159"/>
      <c r="Q83" s="159"/>
      <c r="R83" s="159"/>
      <c r="S83" s="159"/>
      <c r="T83" s="159"/>
      <c r="U83" s="159"/>
      <c r="V83" s="159"/>
      <c r="W83" s="159"/>
      <c r="X83" s="159"/>
      <c r="Y83" s="159"/>
      <c r="Z83" s="159"/>
    </row>
    <row r="84">
      <c r="A84" s="159"/>
      <c r="B84" s="159"/>
      <c r="C84" s="159"/>
      <c r="D84" s="159"/>
      <c r="E84" s="159"/>
      <c r="F84" s="159"/>
      <c r="G84" s="159"/>
      <c r="H84" s="159"/>
      <c r="I84" s="159"/>
      <c r="J84" s="159"/>
      <c r="K84" s="159"/>
      <c r="L84" s="159"/>
      <c r="M84" s="159"/>
      <c r="N84" s="159"/>
      <c r="O84" s="159"/>
      <c r="P84" s="159"/>
      <c r="Q84" s="159"/>
      <c r="R84" s="159"/>
      <c r="S84" s="159"/>
      <c r="T84" s="159"/>
      <c r="U84" s="159"/>
      <c r="V84" s="159"/>
      <c r="W84" s="159"/>
      <c r="X84" s="159"/>
      <c r="Y84" s="159"/>
      <c r="Z84" s="159"/>
    </row>
    <row r="85">
      <c r="A85" s="159"/>
      <c r="B85" s="159"/>
      <c r="C85" s="159"/>
      <c r="D85" s="159"/>
      <c r="E85" s="159"/>
      <c r="F85" s="159"/>
      <c r="G85" s="159"/>
      <c r="H85" s="159"/>
      <c r="I85" s="159"/>
      <c r="J85" s="159"/>
      <c r="K85" s="159"/>
      <c r="L85" s="159"/>
      <c r="M85" s="159"/>
      <c r="N85" s="159"/>
      <c r="O85" s="159"/>
      <c r="P85" s="159"/>
      <c r="Q85" s="159"/>
      <c r="R85" s="159"/>
      <c r="S85" s="159"/>
      <c r="T85" s="159"/>
      <c r="U85" s="159"/>
      <c r="V85" s="159"/>
      <c r="W85" s="159"/>
      <c r="X85" s="159"/>
      <c r="Y85" s="159"/>
      <c r="Z85" s="159"/>
    </row>
    <row r="86">
      <c r="A86" s="159"/>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row>
    <row r="87">
      <c r="A87" s="159"/>
      <c r="B87" s="159"/>
      <c r="C87" s="159"/>
      <c r="D87" s="159"/>
      <c r="E87" s="159"/>
      <c r="F87" s="159"/>
      <c r="G87" s="159"/>
      <c r="H87" s="159"/>
      <c r="I87" s="159"/>
      <c r="J87" s="159"/>
      <c r="K87" s="159"/>
      <c r="L87" s="159"/>
      <c r="M87" s="159"/>
      <c r="N87" s="159"/>
      <c r="O87" s="159"/>
      <c r="P87" s="159"/>
      <c r="Q87" s="159"/>
      <c r="R87" s="159"/>
      <c r="S87" s="159"/>
      <c r="T87" s="159"/>
      <c r="U87" s="159"/>
      <c r="V87" s="159"/>
      <c r="W87" s="159"/>
      <c r="X87" s="159"/>
      <c r="Y87" s="159"/>
      <c r="Z87" s="159"/>
    </row>
    <row r="88">
      <c r="A88" s="159"/>
      <c r="B88" s="159"/>
      <c r="C88" s="159"/>
      <c r="D88" s="159"/>
      <c r="E88" s="159"/>
      <c r="F88" s="159"/>
      <c r="G88" s="159"/>
      <c r="H88" s="159"/>
      <c r="I88" s="159"/>
      <c r="J88" s="159"/>
      <c r="K88" s="159"/>
      <c r="L88" s="159"/>
      <c r="M88" s="159"/>
      <c r="N88" s="159"/>
      <c r="O88" s="159"/>
      <c r="P88" s="159"/>
      <c r="Q88" s="159"/>
      <c r="R88" s="159"/>
      <c r="S88" s="159"/>
      <c r="T88" s="159"/>
      <c r="U88" s="159"/>
      <c r="V88" s="159"/>
      <c r="W88" s="159"/>
      <c r="X88" s="159"/>
      <c r="Y88" s="159"/>
      <c r="Z88" s="159"/>
    </row>
    <row r="89">
      <c r="A89" s="159"/>
      <c r="B89" s="159"/>
      <c r="C89" s="159"/>
      <c r="D89" s="159"/>
      <c r="E89" s="159"/>
      <c r="F89" s="159"/>
      <c r="G89" s="159"/>
      <c r="H89" s="159"/>
      <c r="I89" s="159"/>
      <c r="J89" s="159"/>
      <c r="K89" s="159"/>
      <c r="L89" s="159"/>
      <c r="M89" s="159"/>
      <c r="N89" s="159"/>
      <c r="O89" s="159"/>
      <c r="P89" s="159"/>
      <c r="Q89" s="159"/>
      <c r="R89" s="159"/>
      <c r="S89" s="159"/>
      <c r="T89" s="159"/>
      <c r="U89" s="159"/>
      <c r="V89" s="159"/>
      <c r="W89" s="159"/>
      <c r="X89" s="159"/>
      <c r="Y89" s="159"/>
      <c r="Z89" s="159"/>
    </row>
    <row r="90">
      <c r="A90" s="159"/>
      <c r="B90" s="159"/>
      <c r="C90" s="159"/>
      <c r="D90" s="159"/>
      <c r="E90" s="159"/>
      <c r="F90" s="159"/>
      <c r="G90" s="159"/>
      <c r="H90" s="159"/>
      <c r="I90" s="159"/>
      <c r="J90" s="159"/>
      <c r="K90" s="159"/>
      <c r="L90" s="159"/>
      <c r="M90" s="159"/>
      <c r="N90" s="159"/>
      <c r="O90" s="159"/>
      <c r="P90" s="159"/>
      <c r="Q90" s="159"/>
      <c r="R90" s="159"/>
      <c r="S90" s="159"/>
      <c r="T90" s="159"/>
      <c r="U90" s="159"/>
      <c r="V90" s="159"/>
      <c r="W90" s="159"/>
      <c r="X90" s="159"/>
      <c r="Y90" s="159"/>
      <c r="Z90" s="159"/>
    </row>
    <row r="91">
      <c r="A91" s="159"/>
      <c r="B91" s="159"/>
      <c r="C91" s="159"/>
      <c r="D91" s="159"/>
      <c r="E91" s="159"/>
      <c r="F91" s="159"/>
      <c r="G91" s="159"/>
      <c r="H91" s="159"/>
      <c r="I91" s="159"/>
      <c r="J91" s="159"/>
      <c r="K91" s="159"/>
      <c r="L91" s="159"/>
      <c r="M91" s="159"/>
      <c r="N91" s="159"/>
      <c r="O91" s="159"/>
      <c r="P91" s="159"/>
      <c r="Q91" s="159"/>
      <c r="R91" s="159"/>
      <c r="S91" s="159"/>
      <c r="T91" s="159"/>
      <c r="U91" s="159"/>
      <c r="V91" s="159"/>
      <c r="W91" s="159"/>
      <c r="X91" s="159"/>
      <c r="Y91" s="159"/>
      <c r="Z91" s="159"/>
    </row>
    <row r="92">
      <c r="A92" s="159"/>
      <c r="B92" s="159"/>
      <c r="C92" s="159"/>
      <c r="D92" s="159"/>
      <c r="E92" s="159"/>
      <c r="F92" s="159"/>
      <c r="G92" s="159"/>
      <c r="H92" s="159"/>
      <c r="I92" s="159"/>
      <c r="J92" s="159"/>
      <c r="K92" s="159"/>
      <c r="L92" s="159"/>
      <c r="M92" s="159"/>
      <c r="N92" s="159"/>
      <c r="O92" s="159"/>
      <c r="P92" s="159"/>
      <c r="Q92" s="159"/>
      <c r="R92" s="159"/>
      <c r="S92" s="159"/>
      <c r="T92" s="159"/>
      <c r="U92" s="159"/>
      <c r="V92" s="159"/>
      <c r="W92" s="159"/>
      <c r="X92" s="159"/>
      <c r="Y92" s="159"/>
      <c r="Z92" s="159"/>
    </row>
    <row r="93">
      <c r="A93" s="159"/>
      <c r="B93" s="159"/>
      <c r="C93" s="159"/>
      <c r="D93" s="159"/>
      <c r="E93" s="159"/>
      <c r="F93" s="159"/>
      <c r="G93" s="159"/>
      <c r="H93" s="159"/>
      <c r="I93" s="159"/>
      <c r="J93" s="159"/>
      <c r="K93" s="159"/>
      <c r="L93" s="159"/>
      <c r="M93" s="159"/>
      <c r="N93" s="159"/>
      <c r="O93" s="159"/>
      <c r="P93" s="159"/>
      <c r="Q93" s="159"/>
      <c r="R93" s="159"/>
      <c r="S93" s="159"/>
      <c r="T93" s="159"/>
      <c r="U93" s="159"/>
      <c r="V93" s="159"/>
      <c r="W93" s="159"/>
      <c r="X93" s="159"/>
      <c r="Y93" s="159"/>
      <c r="Z93" s="159"/>
    </row>
    <row r="94">
      <c r="A94" s="159"/>
      <c r="B94" s="159"/>
      <c r="C94" s="159"/>
      <c r="D94" s="159"/>
      <c r="E94" s="159"/>
      <c r="F94" s="159"/>
      <c r="G94" s="159"/>
      <c r="H94" s="159"/>
      <c r="I94" s="159"/>
      <c r="J94" s="159"/>
      <c r="K94" s="159"/>
      <c r="L94" s="159"/>
      <c r="M94" s="159"/>
      <c r="N94" s="159"/>
      <c r="O94" s="159"/>
      <c r="P94" s="159"/>
      <c r="Q94" s="159"/>
      <c r="R94" s="159"/>
      <c r="S94" s="159"/>
      <c r="T94" s="159"/>
      <c r="U94" s="159"/>
      <c r="V94" s="159"/>
      <c r="W94" s="159"/>
      <c r="X94" s="159"/>
      <c r="Y94" s="159"/>
      <c r="Z94" s="159"/>
    </row>
    <row r="95">
      <c r="A95" s="159"/>
      <c r="B95" s="159"/>
      <c r="C95" s="159"/>
      <c r="D95" s="159"/>
      <c r="E95" s="159"/>
      <c r="F95" s="159"/>
      <c r="G95" s="159"/>
      <c r="H95" s="159"/>
      <c r="I95" s="159"/>
      <c r="J95" s="159"/>
      <c r="K95" s="159"/>
      <c r="L95" s="159"/>
      <c r="M95" s="159"/>
      <c r="N95" s="159"/>
      <c r="O95" s="159"/>
      <c r="P95" s="159"/>
      <c r="Q95" s="159"/>
      <c r="R95" s="159"/>
      <c r="S95" s="159"/>
      <c r="T95" s="159"/>
      <c r="U95" s="159"/>
      <c r="V95" s="159"/>
      <c r="W95" s="159"/>
      <c r="X95" s="159"/>
      <c r="Y95" s="159"/>
      <c r="Z95" s="159"/>
    </row>
    <row r="96">
      <c r="A96" s="159"/>
      <c r="B96" s="159"/>
      <c r="C96" s="159"/>
      <c r="D96" s="159"/>
      <c r="E96" s="159"/>
      <c r="F96" s="159"/>
      <c r="G96" s="159"/>
      <c r="H96" s="159"/>
      <c r="I96" s="159"/>
      <c r="J96" s="159"/>
      <c r="K96" s="159"/>
      <c r="L96" s="159"/>
      <c r="M96" s="159"/>
      <c r="N96" s="159"/>
      <c r="O96" s="159"/>
      <c r="P96" s="159"/>
      <c r="Q96" s="159"/>
      <c r="R96" s="159"/>
      <c r="S96" s="159"/>
      <c r="T96" s="159"/>
      <c r="U96" s="159"/>
      <c r="V96" s="159"/>
      <c r="W96" s="159"/>
      <c r="X96" s="159"/>
      <c r="Y96" s="159"/>
      <c r="Z96" s="159"/>
    </row>
    <row r="97">
      <c r="A97" s="159"/>
      <c r="B97" s="159"/>
      <c r="C97" s="159"/>
      <c r="D97" s="159"/>
      <c r="E97" s="159"/>
      <c r="F97" s="159"/>
      <c r="G97" s="159"/>
      <c r="H97" s="159"/>
      <c r="I97" s="159"/>
      <c r="J97" s="159"/>
      <c r="K97" s="159"/>
      <c r="L97" s="159"/>
      <c r="M97" s="159"/>
      <c r="N97" s="159"/>
      <c r="O97" s="159"/>
      <c r="P97" s="159"/>
      <c r="Q97" s="159"/>
      <c r="R97" s="159"/>
      <c r="S97" s="159"/>
      <c r="T97" s="159"/>
      <c r="U97" s="159"/>
      <c r="V97" s="159"/>
      <c r="W97" s="159"/>
      <c r="X97" s="159"/>
      <c r="Y97" s="159"/>
      <c r="Z97" s="159"/>
    </row>
    <row r="98">
      <c r="A98" s="159"/>
      <c r="B98" s="159"/>
      <c r="C98" s="159"/>
      <c r="D98" s="159"/>
      <c r="E98" s="159"/>
      <c r="F98" s="159"/>
      <c r="G98" s="159"/>
      <c r="H98" s="159"/>
      <c r="I98" s="159"/>
      <c r="J98" s="159"/>
      <c r="K98" s="159"/>
      <c r="L98" s="159"/>
      <c r="M98" s="159"/>
      <c r="N98" s="159"/>
      <c r="O98" s="159"/>
      <c r="P98" s="159"/>
      <c r="Q98" s="159"/>
      <c r="R98" s="159"/>
      <c r="S98" s="159"/>
      <c r="T98" s="159"/>
      <c r="U98" s="159"/>
      <c r="V98" s="159"/>
      <c r="W98" s="159"/>
      <c r="X98" s="159"/>
      <c r="Y98" s="159"/>
      <c r="Z98" s="159"/>
    </row>
    <row r="99">
      <c r="A99" s="159"/>
      <c r="B99" s="159"/>
      <c r="C99" s="159"/>
      <c r="D99" s="159"/>
      <c r="E99" s="159"/>
      <c r="F99" s="159"/>
      <c r="G99" s="159"/>
      <c r="H99" s="159"/>
      <c r="I99" s="159"/>
      <c r="J99" s="159"/>
      <c r="K99" s="159"/>
      <c r="L99" s="159"/>
      <c r="M99" s="159"/>
      <c r="N99" s="159"/>
      <c r="O99" s="159"/>
      <c r="P99" s="159"/>
      <c r="Q99" s="159"/>
      <c r="R99" s="159"/>
      <c r="S99" s="159"/>
      <c r="T99" s="159"/>
      <c r="U99" s="159"/>
      <c r="V99" s="159"/>
      <c r="W99" s="159"/>
      <c r="X99" s="159"/>
      <c r="Y99" s="159"/>
      <c r="Z99" s="159"/>
    </row>
    <row r="100">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row>
    <row r="10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c r="X101" s="159"/>
      <c r="Y101" s="159"/>
      <c r="Z101" s="159"/>
    </row>
    <row r="102">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c r="X102" s="159"/>
      <c r="Y102" s="159"/>
      <c r="Z102" s="159"/>
    </row>
    <row r="103">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c r="X103" s="159"/>
      <c r="Y103" s="159"/>
      <c r="Z103" s="159"/>
    </row>
    <row r="104">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c r="X104" s="159"/>
      <c r="Y104" s="159"/>
      <c r="Z104" s="159"/>
    </row>
    <row r="105">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row>
    <row r="106">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c r="X106" s="159"/>
      <c r="Y106" s="159"/>
      <c r="Z106" s="159"/>
    </row>
    <row r="107">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c r="Z107" s="159"/>
    </row>
    <row r="108">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c r="X108" s="159"/>
      <c r="Y108" s="159"/>
      <c r="Z108" s="159"/>
    </row>
    <row r="109">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row>
    <row r="110">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c r="X110" s="159"/>
      <c r="Y110" s="159"/>
      <c r="Z110" s="159"/>
    </row>
    <row r="11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c r="X111" s="159"/>
      <c r="Y111" s="159"/>
      <c r="Z111" s="159"/>
    </row>
    <row r="112">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c r="X112" s="159"/>
      <c r="Y112" s="159"/>
      <c r="Z112" s="159"/>
    </row>
    <row r="113">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c r="X113" s="159"/>
      <c r="Y113" s="159"/>
      <c r="Z113" s="159"/>
    </row>
    <row r="114">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c r="X114" s="159"/>
      <c r="Y114" s="159"/>
      <c r="Z114" s="159"/>
    </row>
    <row r="115">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c r="X115" s="159"/>
      <c r="Y115" s="159"/>
      <c r="Z115" s="159"/>
    </row>
    <row r="116">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c r="X116" s="159"/>
      <c r="Y116" s="159"/>
      <c r="Z116" s="159"/>
    </row>
    <row r="117">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c r="X117" s="159"/>
      <c r="Y117" s="159"/>
      <c r="Z117" s="159"/>
    </row>
    <row r="118">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c r="X118" s="159"/>
      <c r="Y118" s="159"/>
      <c r="Z118" s="159"/>
    </row>
    <row r="119">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row>
    <row r="120">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row>
    <row r="12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c r="X121" s="159"/>
      <c r="Y121" s="159"/>
      <c r="Z121" s="159"/>
    </row>
    <row r="122">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c r="X122" s="159"/>
      <c r="Y122" s="159"/>
      <c r="Z122" s="159"/>
    </row>
    <row r="123">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59"/>
    </row>
    <row r="124">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c r="X124" s="159"/>
      <c r="Y124" s="159"/>
      <c r="Z124" s="159"/>
    </row>
    <row r="125">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c r="Z125" s="159"/>
    </row>
    <row r="126">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c r="X126" s="159"/>
      <c r="Y126" s="159"/>
      <c r="Z126" s="159"/>
    </row>
    <row r="127">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c r="X127" s="159"/>
      <c r="Y127" s="159"/>
      <c r="Z127" s="159"/>
    </row>
    <row r="128">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c r="X128" s="159"/>
      <c r="Y128" s="159"/>
      <c r="Z128" s="159"/>
    </row>
    <row r="129">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c r="X129" s="159"/>
      <c r="Y129" s="159"/>
      <c r="Z129" s="159"/>
    </row>
    <row r="130">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c r="X130" s="159"/>
      <c r="Y130" s="159"/>
      <c r="Z130" s="159"/>
    </row>
    <row r="13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c r="X131" s="159"/>
      <c r="Y131" s="159"/>
      <c r="Z131" s="159"/>
    </row>
    <row r="132">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c r="X132" s="159"/>
      <c r="Y132" s="159"/>
      <c r="Z132" s="159"/>
    </row>
    <row r="133">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c r="X133" s="159"/>
      <c r="Y133" s="159"/>
      <c r="Z133" s="159"/>
    </row>
    <row r="134">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c r="X134" s="159"/>
      <c r="Y134" s="159"/>
      <c r="Z134" s="159"/>
    </row>
    <row r="135">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c r="X135" s="159"/>
      <c r="Y135" s="159"/>
      <c r="Z135" s="159"/>
    </row>
    <row r="136">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c r="X136" s="159"/>
      <c r="Y136" s="159"/>
      <c r="Z136" s="159"/>
    </row>
    <row r="137">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c r="X137" s="159"/>
      <c r="Y137" s="159"/>
      <c r="Z137" s="159"/>
    </row>
    <row r="138">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59"/>
      <c r="Z138" s="159"/>
    </row>
    <row r="139">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c r="X139" s="159"/>
      <c r="Y139" s="159"/>
      <c r="Z139" s="159"/>
    </row>
    <row r="140">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c r="X140" s="159"/>
      <c r="Y140" s="159"/>
      <c r="Z140" s="159"/>
    </row>
    <row r="14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c r="X141" s="159"/>
      <c r="Y141" s="159"/>
      <c r="Z141" s="159"/>
    </row>
    <row r="142">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c r="X142" s="159"/>
      <c r="Y142" s="159"/>
      <c r="Z142" s="159"/>
    </row>
    <row r="143">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c r="X143" s="159"/>
      <c r="Y143" s="159"/>
      <c r="Z143" s="159"/>
    </row>
    <row r="144">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c r="X144" s="159"/>
      <c r="Y144" s="159"/>
      <c r="Z144" s="159"/>
    </row>
    <row r="14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c r="X145" s="159"/>
      <c r="Y145" s="159"/>
      <c r="Z145" s="159"/>
    </row>
    <row r="146">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c r="X146" s="159"/>
      <c r="Y146" s="159"/>
      <c r="Z146" s="159"/>
    </row>
    <row r="147">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c r="X147" s="159"/>
      <c r="Y147" s="159"/>
      <c r="Z147" s="159"/>
    </row>
    <row r="148">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c r="X148" s="159"/>
      <c r="Y148" s="159"/>
      <c r="Z148" s="159"/>
    </row>
    <row r="149">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c r="X149" s="159"/>
      <c r="Y149" s="159"/>
      <c r="Z149" s="159"/>
    </row>
    <row r="150">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c r="X150" s="159"/>
      <c r="Y150" s="159"/>
      <c r="Z150" s="159"/>
    </row>
    <row r="15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c r="X151" s="159"/>
      <c r="Y151" s="159"/>
      <c r="Z151" s="159"/>
    </row>
    <row r="152">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c r="X152" s="159"/>
      <c r="Y152" s="159"/>
      <c r="Z152" s="159"/>
    </row>
    <row r="153">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c r="X153" s="159"/>
      <c r="Y153" s="159"/>
      <c r="Z153" s="159"/>
    </row>
    <row r="154">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c r="X154" s="159"/>
      <c r="Y154" s="159"/>
      <c r="Z154" s="159"/>
    </row>
    <row r="155">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c r="X155" s="159"/>
      <c r="Y155" s="159"/>
      <c r="Z155" s="159"/>
    </row>
    <row r="156">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c r="X156" s="159"/>
      <c r="Y156" s="159"/>
      <c r="Z156" s="159"/>
    </row>
    <row r="157">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row>
    <row r="158">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row>
    <row r="159">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c r="Z159" s="159"/>
    </row>
    <row r="160">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c r="Z160" s="159"/>
    </row>
    <row r="16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c r="X161" s="159"/>
      <c r="Y161" s="159"/>
      <c r="Z161" s="159"/>
    </row>
    <row r="162">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c r="Z162" s="159"/>
    </row>
    <row r="163">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c r="X163" s="159"/>
      <c r="Y163" s="159"/>
      <c r="Z163" s="159"/>
    </row>
    <row r="164">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c r="X164" s="159"/>
      <c r="Y164" s="159"/>
      <c r="Z164" s="159"/>
    </row>
    <row r="165">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c r="X165" s="159"/>
      <c r="Y165" s="159"/>
      <c r="Z165" s="159"/>
    </row>
    <row r="166">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c r="X166" s="159"/>
      <c r="Y166" s="159"/>
      <c r="Z166" s="159"/>
    </row>
    <row r="167">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c r="X167" s="159"/>
      <c r="Y167" s="159"/>
      <c r="Z167" s="159"/>
    </row>
    <row r="168">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c r="X168" s="159"/>
      <c r="Y168" s="159"/>
      <c r="Z168" s="159"/>
    </row>
    <row r="169">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c r="X169" s="159"/>
      <c r="Y169" s="159"/>
      <c r="Z169" s="159"/>
    </row>
    <row r="170">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c r="X170" s="159"/>
      <c r="Y170" s="159"/>
      <c r="Z170" s="159"/>
    </row>
    <row r="17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c r="X171" s="159"/>
      <c r="Y171" s="159"/>
      <c r="Z171" s="159"/>
    </row>
    <row r="172">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c r="Z172" s="159"/>
    </row>
    <row r="173">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row>
    <row r="174">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row>
    <row r="175">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c r="X175" s="159"/>
      <c r="Y175" s="159"/>
      <c r="Z175" s="159"/>
    </row>
    <row r="176">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c r="X176" s="159"/>
      <c r="Y176" s="159"/>
      <c r="Z176" s="159"/>
    </row>
    <row r="177">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c r="X177" s="159"/>
      <c r="Y177" s="159"/>
      <c r="Z177" s="159"/>
    </row>
    <row r="178">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c r="X178" s="159"/>
      <c r="Y178" s="159"/>
      <c r="Z178" s="159"/>
    </row>
    <row r="179">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c r="X179" s="159"/>
      <c r="Y179" s="159"/>
      <c r="Z179" s="159"/>
    </row>
    <row r="180">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c r="X180" s="159"/>
      <c r="Y180" s="159"/>
      <c r="Z180" s="159"/>
    </row>
    <row r="181">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c r="X181" s="159"/>
      <c r="Y181" s="159"/>
      <c r="Z181" s="159"/>
    </row>
    <row r="182">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c r="X182" s="159"/>
      <c r="Y182" s="159"/>
      <c r="Z182" s="159"/>
    </row>
    <row r="183">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c r="Z183" s="159"/>
    </row>
    <row r="184">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c r="X184" s="159"/>
      <c r="Y184" s="159"/>
      <c r="Z184" s="159"/>
    </row>
    <row r="185">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c r="X185" s="159"/>
      <c r="Y185" s="159"/>
      <c r="Z185" s="159"/>
    </row>
    <row r="186">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c r="X186" s="159"/>
      <c r="Y186" s="159"/>
      <c r="Z186" s="159"/>
    </row>
    <row r="187">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c r="X187" s="159"/>
      <c r="Y187" s="159"/>
      <c r="Z187" s="159"/>
    </row>
    <row r="188">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c r="X188" s="159"/>
      <c r="Y188" s="159"/>
      <c r="Z188" s="159"/>
    </row>
    <row r="189">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c r="X189" s="159"/>
      <c r="Y189" s="159"/>
      <c r="Z189" s="159"/>
    </row>
    <row r="190">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c r="X190" s="159"/>
      <c r="Y190" s="159"/>
      <c r="Z190" s="159"/>
    </row>
    <row r="191">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c r="X191" s="159"/>
      <c r="Y191" s="159"/>
      <c r="Z191" s="159"/>
    </row>
    <row r="192">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c r="X192" s="159"/>
      <c r="Y192" s="159"/>
      <c r="Z192" s="159"/>
    </row>
    <row r="193">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c r="X193" s="159"/>
      <c r="Y193" s="159"/>
      <c r="Z193" s="159"/>
    </row>
    <row r="194">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c r="X194" s="159"/>
      <c r="Y194" s="159"/>
      <c r="Z194" s="159"/>
    </row>
    <row r="195">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c r="X195" s="159"/>
      <c r="Y195" s="159"/>
      <c r="Z195" s="159"/>
    </row>
    <row r="196">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c r="X196" s="159"/>
      <c r="Y196" s="159"/>
      <c r="Z196" s="159"/>
    </row>
    <row r="197">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c r="X197" s="159"/>
      <c r="Y197" s="159"/>
      <c r="Z197" s="159"/>
    </row>
    <row r="198">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c r="X198" s="159"/>
      <c r="Y198" s="159"/>
      <c r="Z198" s="159"/>
    </row>
    <row r="199">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c r="X199" s="159"/>
      <c r="Y199" s="159"/>
      <c r="Z199" s="159"/>
    </row>
    <row r="200">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c r="X200" s="159"/>
      <c r="Y200" s="159"/>
      <c r="Z200" s="159"/>
    </row>
    <row r="201">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c r="X201" s="159"/>
      <c r="Y201" s="159"/>
      <c r="Z201" s="159"/>
    </row>
    <row r="202">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c r="X202" s="159"/>
      <c r="Y202" s="159"/>
      <c r="Z202" s="159"/>
    </row>
    <row r="203">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c r="X203" s="159"/>
      <c r="Y203" s="159"/>
      <c r="Z203" s="159"/>
    </row>
    <row r="204">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c r="X204" s="159"/>
      <c r="Y204" s="159"/>
      <c r="Z204" s="159"/>
    </row>
    <row r="205">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c r="X205" s="159"/>
      <c r="Y205" s="159"/>
      <c r="Z205" s="159"/>
    </row>
    <row r="206">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c r="X206" s="159"/>
      <c r="Y206" s="159"/>
      <c r="Z206" s="159"/>
    </row>
    <row r="207">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c r="X207" s="159"/>
      <c r="Y207" s="159"/>
      <c r="Z207" s="159"/>
    </row>
    <row r="208">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c r="X208" s="159"/>
      <c r="Y208" s="159"/>
      <c r="Z208" s="159"/>
    </row>
    <row r="209">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c r="X209" s="159"/>
      <c r="Y209" s="159"/>
      <c r="Z209" s="159"/>
    </row>
    <row r="210">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c r="X210" s="159"/>
      <c r="Y210" s="159"/>
      <c r="Z210" s="159"/>
    </row>
    <row r="211">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c r="X211" s="159"/>
      <c r="Y211" s="159"/>
      <c r="Z211" s="159"/>
    </row>
    <row r="212">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c r="X212" s="159"/>
      <c r="Y212" s="159"/>
      <c r="Z212" s="159"/>
    </row>
    <row r="213">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c r="X213" s="159"/>
      <c r="Y213" s="159"/>
      <c r="Z213" s="159"/>
    </row>
    <row r="214">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c r="X214" s="159"/>
      <c r="Y214" s="159"/>
      <c r="Z214" s="159"/>
    </row>
    <row r="215">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c r="X215" s="159"/>
      <c r="Y215" s="159"/>
      <c r="Z215" s="159"/>
    </row>
    <row r="216">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c r="X216" s="159"/>
      <c r="Y216" s="159"/>
      <c r="Z216" s="159"/>
    </row>
    <row r="217">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c r="X217" s="159"/>
      <c r="Y217" s="159"/>
      <c r="Z217" s="159"/>
    </row>
    <row r="218">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c r="X218" s="159"/>
      <c r="Y218" s="159"/>
      <c r="Z218" s="159"/>
    </row>
    <row r="219">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c r="X219" s="159"/>
      <c r="Y219" s="159"/>
      <c r="Z219" s="159"/>
    </row>
    <row r="220">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c r="X220" s="159"/>
      <c r="Y220" s="159"/>
      <c r="Z220" s="159"/>
    </row>
    <row r="221">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c r="X221" s="159"/>
      <c r="Y221" s="159"/>
      <c r="Z221" s="159"/>
    </row>
    <row r="222">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c r="X222" s="159"/>
      <c r="Y222" s="159"/>
      <c r="Z222" s="159"/>
    </row>
    <row r="223">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c r="X223" s="159"/>
      <c r="Y223" s="159"/>
      <c r="Z223" s="159"/>
    </row>
    <row r="224">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c r="X224" s="159"/>
      <c r="Y224" s="159"/>
      <c r="Z224" s="159"/>
    </row>
    <row r="225">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c r="X225" s="159"/>
      <c r="Y225" s="159"/>
      <c r="Z225" s="159"/>
    </row>
    <row r="226">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c r="X226" s="159"/>
      <c r="Y226" s="159"/>
      <c r="Z226" s="159"/>
    </row>
    <row r="227">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c r="X227" s="159"/>
      <c r="Y227" s="159"/>
      <c r="Z227" s="159"/>
    </row>
    <row r="228">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c r="X228" s="159"/>
      <c r="Y228" s="159"/>
      <c r="Z228" s="159"/>
    </row>
    <row r="229">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c r="X229" s="159"/>
      <c r="Y229" s="159"/>
      <c r="Z229" s="159"/>
    </row>
    <row r="230">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c r="X230" s="159"/>
      <c r="Y230" s="159"/>
      <c r="Z230" s="159"/>
    </row>
    <row r="231">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c r="X231" s="159"/>
      <c r="Y231" s="159"/>
      <c r="Z231" s="159"/>
    </row>
    <row r="232">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c r="X232" s="159"/>
      <c r="Y232" s="159"/>
      <c r="Z232" s="159"/>
    </row>
    <row r="233">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c r="X233" s="159"/>
      <c r="Y233" s="159"/>
      <c r="Z233" s="159"/>
    </row>
    <row r="234">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c r="X234" s="159"/>
      <c r="Y234" s="159"/>
      <c r="Z234" s="159"/>
    </row>
    <row r="235">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c r="X235" s="159"/>
      <c r="Y235" s="159"/>
      <c r="Z235" s="159"/>
    </row>
    <row r="236">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c r="X236" s="159"/>
      <c r="Y236" s="159"/>
      <c r="Z236" s="159"/>
    </row>
    <row r="237">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c r="X237" s="159"/>
      <c r="Y237" s="159"/>
      <c r="Z237" s="159"/>
    </row>
    <row r="238">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c r="X238" s="159"/>
      <c r="Y238" s="159"/>
      <c r="Z238" s="159"/>
    </row>
    <row r="239">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c r="X239" s="159"/>
      <c r="Y239" s="159"/>
      <c r="Z239" s="159"/>
    </row>
    <row r="240">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c r="X240" s="159"/>
      <c r="Y240" s="159"/>
      <c r="Z240" s="159"/>
    </row>
    <row r="241">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c r="X241" s="159"/>
      <c r="Y241" s="159"/>
      <c r="Z241" s="159"/>
    </row>
    <row r="242">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c r="X242" s="159"/>
      <c r="Y242" s="159"/>
      <c r="Z242" s="159"/>
    </row>
    <row r="243">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c r="X243" s="159"/>
      <c r="Y243" s="159"/>
      <c r="Z243" s="159"/>
    </row>
    <row r="244">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c r="X244" s="159"/>
      <c r="Y244" s="159"/>
      <c r="Z244" s="159"/>
    </row>
    <row r="245">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c r="X245" s="159"/>
      <c r="Y245" s="159"/>
      <c r="Z245" s="159"/>
    </row>
    <row r="246">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c r="X246" s="159"/>
      <c r="Y246" s="159"/>
      <c r="Z246" s="159"/>
    </row>
    <row r="247">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c r="X247" s="159"/>
      <c r="Y247" s="159"/>
      <c r="Z247" s="159"/>
    </row>
    <row r="248">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c r="X248" s="159"/>
      <c r="Y248" s="159"/>
      <c r="Z248" s="159"/>
    </row>
    <row r="249">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c r="X249" s="159"/>
      <c r="Y249" s="159"/>
      <c r="Z249" s="159"/>
    </row>
    <row r="250">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c r="X250" s="159"/>
      <c r="Y250" s="159"/>
      <c r="Z250" s="159"/>
    </row>
    <row r="251">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c r="X251" s="159"/>
      <c r="Y251" s="159"/>
      <c r="Z251" s="159"/>
    </row>
    <row r="252">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c r="X252" s="159"/>
      <c r="Y252" s="159"/>
      <c r="Z252" s="159"/>
    </row>
    <row r="253">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c r="X253" s="159"/>
      <c r="Y253" s="159"/>
      <c r="Z253" s="159"/>
    </row>
    <row r="254">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c r="X254" s="159"/>
      <c r="Y254" s="159"/>
      <c r="Z254" s="159"/>
    </row>
    <row r="255">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c r="X255" s="159"/>
      <c r="Y255" s="159"/>
      <c r="Z255" s="159"/>
    </row>
    <row r="256">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c r="X256" s="159"/>
      <c r="Y256" s="159"/>
      <c r="Z256" s="159"/>
    </row>
    <row r="257">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c r="X257" s="159"/>
      <c r="Y257" s="159"/>
      <c r="Z257" s="159"/>
    </row>
    <row r="258">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c r="X258" s="159"/>
      <c r="Y258" s="159"/>
      <c r="Z258" s="159"/>
    </row>
    <row r="259">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c r="X259" s="159"/>
      <c r="Y259" s="159"/>
      <c r="Z259" s="159"/>
    </row>
    <row r="260">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c r="X260" s="159"/>
      <c r="Y260" s="159"/>
      <c r="Z260" s="159"/>
    </row>
    <row r="261">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c r="X261" s="159"/>
      <c r="Y261" s="159"/>
      <c r="Z261" s="159"/>
    </row>
    <row r="262">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c r="X262" s="159"/>
      <c r="Y262" s="159"/>
      <c r="Z262" s="159"/>
    </row>
    <row r="263">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c r="X263" s="159"/>
      <c r="Y263" s="159"/>
      <c r="Z263" s="159"/>
    </row>
    <row r="264">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c r="X264" s="159"/>
      <c r="Y264" s="159"/>
      <c r="Z264" s="159"/>
    </row>
    <row r="265">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c r="X265" s="159"/>
      <c r="Y265" s="159"/>
      <c r="Z265" s="159"/>
    </row>
    <row r="266">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c r="X266" s="159"/>
      <c r="Y266" s="159"/>
      <c r="Z266" s="159"/>
    </row>
    <row r="267">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c r="X267" s="159"/>
      <c r="Y267" s="159"/>
      <c r="Z267" s="159"/>
    </row>
    <row r="268">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c r="X268" s="159"/>
      <c r="Y268" s="159"/>
      <c r="Z268" s="159"/>
    </row>
    <row r="269">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c r="X269" s="159"/>
      <c r="Y269" s="159"/>
      <c r="Z269" s="159"/>
    </row>
    <row r="270">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c r="X270" s="159"/>
      <c r="Y270" s="159"/>
      <c r="Z270" s="159"/>
    </row>
    <row r="271">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c r="X271" s="159"/>
      <c r="Y271" s="159"/>
      <c r="Z271" s="159"/>
    </row>
    <row r="272">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c r="X272" s="159"/>
      <c r="Y272" s="159"/>
      <c r="Z272" s="159"/>
    </row>
    <row r="273">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c r="X273" s="159"/>
      <c r="Y273" s="159"/>
      <c r="Z273" s="159"/>
    </row>
    <row r="274">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c r="X274" s="159"/>
      <c r="Y274" s="159"/>
      <c r="Z274" s="159"/>
    </row>
    <row r="275">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c r="X275" s="159"/>
      <c r="Y275" s="159"/>
      <c r="Z275" s="159"/>
    </row>
    <row r="276">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c r="X276" s="159"/>
      <c r="Y276" s="159"/>
      <c r="Z276" s="159"/>
    </row>
    <row r="277">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c r="X277" s="159"/>
      <c r="Y277" s="159"/>
      <c r="Z277" s="159"/>
    </row>
    <row r="278">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c r="X278" s="159"/>
      <c r="Y278" s="159"/>
      <c r="Z278" s="159"/>
    </row>
    <row r="279">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c r="X279" s="159"/>
      <c r="Y279" s="159"/>
      <c r="Z279" s="159"/>
    </row>
    <row r="280">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c r="X280" s="159"/>
      <c r="Y280" s="159"/>
      <c r="Z280" s="159"/>
    </row>
    <row r="281">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c r="X281" s="159"/>
      <c r="Y281" s="159"/>
      <c r="Z281" s="159"/>
    </row>
    <row r="282">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c r="X282" s="159"/>
      <c r="Y282" s="159"/>
      <c r="Z282" s="159"/>
    </row>
    <row r="283">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c r="X283" s="159"/>
      <c r="Y283" s="159"/>
      <c r="Z283" s="159"/>
    </row>
    <row r="284">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c r="X284" s="159"/>
      <c r="Y284" s="159"/>
      <c r="Z284" s="159"/>
    </row>
    <row r="285">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c r="X285" s="159"/>
      <c r="Y285" s="159"/>
      <c r="Z285" s="159"/>
    </row>
    <row r="286">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c r="X286" s="159"/>
      <c r="Y286" s="159"/>
      <c r="Z286" s="159"/>
    </row>
    <row r="287">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c r="X287" s="159"/>
      <c r="Y287" s="159"/>
      <c r="Z287" s="159"/>
    </row>
    <row r="288">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c r="X288" s="159"/>
      <c r="Y288" s="159"/>
      <c r="Z288" s="159"/>
    </row>
    <row r="289">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c r="X289" s="159"/>
      <c r="Y289" s="159"/>
      <c r="Z289" s="159"/>
    </row>
    <row r="290">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c r="X290" s="159"/>
      <c r="Y290" s="159"/>
      <c r="Z290" s="159"/>
    </row>
    <row r="291">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c r="X291" s="159"/>
      <c r="Y291" s="159"/>
      <c r="Z291" s="159"/>
    </row>
    <row r="292">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c r="X292" s="159"/>
      <c r="Y292" s="159"/>
      <c r="Z292" s="159"/>
    </row>
    <row r="293">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c r="X293" s="159"/>
      <c r="Y293" s="159"/>
      <c r="Z293" s="159"/>
    </row>
    <row r="294">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c r="X294" s="159"/>
      <c r="Y294" s="159"/>
      <c r="Z294" s="159"/>
    </row>
    <row r="295">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c r="X295" s="159"/>
      <c r="Y295" s="159"/>
      <c r="Z295" s="159"/>
    </row>
    <row r="296">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c r="X296" s="159"/>
      <c r="Y296" s="159"/>
      <c r="Z296" s="159"/>
    </row>
    <row r="297">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c r="X297" s="159"/>
      <c r="Y297" s="159"/>
      <c r="Z297" s="159"/>
    </row>
    <row r="298">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c r="X298" s="159"/>
      <c r="Y298" s="159"/>
      <c r="Z298" s="159"/>
    </row>
    <row r="299">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c r="X299" s="159"/>
      <c r="Y299" s="159"/>
      <c r="Z299" s="159"/>
    </row>
    <row r="300">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c r="X300" s="159"/>
      <c r="Y300" s="159"/>
      <c r="Z300" s="159"/>
    </row>
    <row r="301">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c r="X301" s="159"/>
      <c r="Y301" s="159"/>
      <c r="Z301" s="159"/>
    </row>
    <row r="302">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c r="X302" s="159"/>
      <c r="Y302" s="159"/>
      <c r="Z302" s="159"/>
    </row>
    <row r="303">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c r="X303" s="159"/>
      <c r="Y303" s="159"/>
      <c r="Z303" s="159"/>
    </row>
    <row r="304">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c r="X304" s="159"/>
      <c r="Y304" s="159"/>
      <c r="Z304" s="159"/>
    </row>
    <row r="305">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c r="X305" s="159"/>
      <c r="Y305" s="159"/>
      <c r="Z305" s="159"/>
    </row>
    <row r="306">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c r="X306" s="159"/>
      <c r="Y306" s="159"/>
      <c r="Z306" s="159"/>
    </row>
    <row r="307">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c r="X307" s="159"/>
      <c r="Y307" s="159"/>
      <c r="Z307" s="159"/>
    </row>
    <row r="308">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c r="X308" s="159"/>
      <c r="Y308" s="159"/>
      <c r="Z308" s="159"/>
    </row>
    <row r="309">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c r="X309" s="159"/>
      <c r="Y309" s="159"/>
      <c r="Z309" s="159"/>
    </row>
    <row r="310">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c r="X310" s="159"/>
      <c r="Y310" s="159"/>
      <c r="Z310" s="159"/>
    </row>
    <row r="311">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c r="X311" s="159"/>
      <c r="Y311" s="159"/>
      <c r="Z311" s="159"/>
    </row>
    <row r="312">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c r="X312" s="159"/>
      <c r="Y312" s="159"/>
      <c r="Z312" s="159"/>
    </row>
    <row r="313">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c r="X313" s="159"/>
      <c r="Y313" s="159"/>
      <c r="Z313" s="159"/>
    </row>
    <row r="314">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c r="X314" s="159"/>
      <c r="Y314" s="159"/>
      <c r="Z314" s="159"/>
    </row>
    <row r="315">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c r="X315" s="159"/>
      <c r="Y315" s="159"/>
      <c r="Z315" s="159"/>
    </row>
    <row r="316">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c r="X316" s="159"/>
      <c r="Y316" s="159"/>
      <c r="Z316" s="159"/>
    </row>
    <row r="317">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c r="X317" s="159"/>
      <c r="Y317" s="159"/>
      <c r="Z317" s="159"/>
    </row>
    <row r="318">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c r="X318" s="159"/>
      <c r="Y318" s="159"/>
      <c r="Z318" s="159"/>
    </row>
    <row r="319">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c r="X319" s="159"/>
      <c r="Y319" s="159"/>
      <c r="Z319" s="159"/>
    </row>
    <row r="320">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c r="X320" s="159"/>
      <c r="Y320" s="159"/>
      <c r="Z320" s="159"/>
    </row>
    <row r="321">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c r="X321" s="159"/>
      <c r="Y321" s="159"/>
      <c r="Z321" s="159"/>
    </row>
    <row r="322">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c r="X322" s="159"/>
      <c r="Y322" s="159"/>
      <c r="Z322" s="159"/>
    </row>
    <row r="323">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c r="X323" s="159"/>
      <c r="Y323" s="159"/>
      <c r="Z323" s="159"/>
    </row>
    <row r="324">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c r="X324" s="159"/>
      <c r="Y324" s="159"/>
      <c r="Z324" s="159"/>
    </row>
    <row r="325">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c r="X325" s="159"/>
      <c r="Y325" s="159"/>
      <c r="Z325" s="159"/>
    </row>
    <row r="326">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c r="X326" s="159"/>
      <c r="Y326" s="159"/>
      <c r="Z326" s="159"/>
    </row>
    <row r="327">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c r="X327" s="159"/>
      <c r="Y327" s="159"/>
      <c r="Z327" s="159"/>
    </row>
    <row r="328">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c r="X328" s="159"/>
      <c r="Y328" s="159"/>
      <c r="Z328" s="159"/>
    </row>
    <row r="329">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row>
    <row r="330">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row>
    <row r="331">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row>
    <row r="332">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row>
    <row r="333">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c r="X333" s="159"/>
      <c r="Y333" s="159"/>
      <c r="Z333" s="159"/>
    </row>
    <row r="334">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c r="X334" s="159"/>
      <c r="Y334" s="159"/>
      <c r="Z334" s="159"/>
    </row>
    <row r="335">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c r="X335" s="159"/>
      <c r="Y335" s="159"/>
      <c r="Z335" s="159"/>
    </row>
    <row r="336">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c r="X336" s="159"/>
      <c r="Y336" s="159"/>
      <c r="Z336" s="159"/>
    </row>
    <row r="337">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c r="X337" s="159"/>
      <c r="Y337" s="159"/>
      <c r="Z337" s="159"/>
    </row>
    <row r="338">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c r="X338" s="159"/>
      <c r="Y338" s="159"/>
      <c r="Z338" s="159"/>
    </row>
    <row r="339">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c r="X339" s="159"/>
      <c r="Y339" s="159"/>
      <c r="Z339" s="159"/>
    </row>
    <row r="340">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c r="X340" s="159"/>
      <c r="Y340" s="159"/>
      <c r="Z340" s="159"/>
    </row>
    <row r="341">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c r="X341" s="159"/>
      <c r="Y341" s="159"/>
      <c r="Z341" s="159"/>
    </row>
    <row r="342">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c r="X342" s="159"/>
      <c r="Y342" s="159"/>
      <c r="Z342" s="159"/>
    </row>
    <row r="343">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c r="X343" s="159"/>
      <c r="Y343" s="159"/>
      <c r="Z343" s="159"/>
    </row>
    <row r="344">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c r="X344" s="159"/>
      <c r="Y344" s="159"/>
      <c r="Z344" s="159"/>
    </row>
    <row r="345">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c r="X345" s="159"/>
      <c r="Y345" s="159"/>
      <c r="Z345" s="159"/>
    </row>
    <row r="346">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c r="X346" s="159"/>
      <c r="Y346" s="159"/>
      <c r="Z346" s="159"/>
    </row>
    <row r="347">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c r="X347" s="159"/>
      <c r="Y347" s="159"/>
      <c r="Z347" s="159"/>
    </row>
    <row r="348">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c r="X348" s="159"/>
      <c r="Y348" s="159"/>
      <c r="Z348" s="159"/>
    </row>
    <row r="349">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c r="X349" s="159"/>
      <c r="Y349" s="159"/>
      <c r="Z349" s="159"/>
    </row>
    <row r="350">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c r="X350" s="159"/>
      <c r="Y350" s="159"/>
      <c r="Z350" s="159"/>
    </row>
    <row r="351">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c r="X351" s="159"/>
      <c r="Y351" s="159"/>
      <c r="Z351" s="159"/>
    </row>
    <row r="352">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c r="X352" s="159"/>
      <c r="Y352" s="159"/>
      <c r="Z352" s="159"/>
    </row>
    <row r="353">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c r="X353" s="159"/>
      <c r="Y353" s="159"/>
      <c r="Z353" s="159"/>
    </row>
    <row r="354">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c r="X354" s="159"/>
      <c r="Y354" s="159"/>
      <c r="Z354" s="159"/>
    </row>
    <row r="355">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c r="X355" s="159"/>
      <c r="Y355" s="159"/>
      <c r="Z355" s="159"/>
    </row>
    <row r="356">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c r="X356" s="159"/>
      <c r="Y356" s="159"/>
      <c r="Z356" s="159"/>
    </row>
    <row r="357">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c r="X357" s="159"/>
      <c r="Y357" s="159"/>
      <c r="Z357" s="159"/>
    </row>
    <row r="358">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c r="X358" s="159"/>
      <c r="Y358" s="159"/>
      <c r="Z358" s="159"/>
    </row>
    <row r="359">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c r="X359" s="159"/>
      <c r="Y359" s="159"/>
      <c r="Z359" s="159"/>
    </row>
    <row r="360">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c r="X360" s="159"/>
      <c r="Y360" s="159"/>
      <c r="Z360" s="159"/>
    </row>
    <row r="361">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c r="X361" s="159"/>
      <c r="Y361" s="159"/>
      <c r="Z361" s="159"/>
    </row>
    <row r="362">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c r="X362" s="159"/>
      <c r="Y362" s="159"/>
      <c r="Z362" s="159"/>
    </row>
    <row r="363">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c r="X363" s="159"/>
      <c r="Y363" s="159"/>
      <c r="Z363" s="159"/>
    </row>
    <row r="364">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c r="X364" s="159"/>
      <c r="Y364" s="159"/>
      <c r="Z364" s="159"/>
    </row>
    <row r="365">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c r="X365" s="159"/>
      <c r="Y365" s="159"/>
      <c r="Z365" s="159"/>
    </row>
    <row r="366">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c r="X366" s="159"/>
      <c r="Y366" s="159"/>
      <c r="Z366" s="159"/>
    </row>
    <row r="367">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c r="X367" s="159"/>
      <c r="Y367" s="159"/>
      <c r="Z367" s="159"/>
    </row>
    <row r="368">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c r="X368" s="159"/>
      <c r="Y368" s="159"/>
      <c r="Z368" s="159"/>
    </row>
    <row r="369">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c r="X369" s="159"/>
      <c r="Y369" s="159"/>
      <c r="Z369" s="159"/>
    </row>
    <row r="370">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c r="X370" s="159"/>
      <c r="Y370" s="159"/>
      <c r="Z370" s="159"/>
    </row>
    <row r="371">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c r="X371" s="159"/>
      <c r="Y371" s="159"/>
      <c r="Z371" s="159"/>
    </row>
    <row r="372">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c r="X372" s="159"/>
      <c r="Y372" s="159"/>
      <c r="Z372" s="159"/>
    </row>
    <row r="373">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c r="X373" s="159"/>
      <c r="Y373" s="159"/>
      <c r="Z373" s="159"/>
    </row>
    <row r="374">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c r="X374" s="159"/>
      <c r="Y374" s="159"/>
      <c r="Z374" s="159"/>
    </row>
    <row r="375">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c r="X375" s="159"/>
      <c r="Y375" s="159"/>
      <c r="Z375" s="159"/>
    </row>
    <row r="376">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c r="X376" s="159"/>
      <c r="Y376" s="159"/>
      <c r="Z376" s="159"/>
    </row>
    <row r="377">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c r="X377" s="159"/>
      <c r="Y377" s="159"/>
      <c r="Z377" s="159"/>
    </row>
    <row r="378">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c r="X378" s="159"/>
      <c r="Y378" s="159"/>
      <c r="Z378" s="159"/>
    </row>
    <row r="379">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c r="X379" s="159"/>
      <c r="Y379" s="159"/>
      <c r="Z379" s="159"/>
    </row>
    <row r="380">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c r="X380" s="159"/>
      <c r="Y380" s="159"/>
      <c r="Z380" s="159"/>
    </row>
    <row r="381">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c r="X381" s="159"/>
      <c r="Y381" s="159"/>
      <c r="Z381" s="159"/>
    </row>
    <row r="382">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c r="X382" s="159"/>
      <c r="Y382" s="159"/>
      <c r="Z382" s="159"/>
    </row>
    <row r="383">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c r="X383" s="159"/>
      <c r="Y383" s="159"/>
      <c r="Z383" s="159"/>
    </row>
    <row r="384">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c r="X384" s="159"/>
      <c r="Y384" s="159"/>
      <c r="Z384" s="159"/>
    </row>
    <row r="385">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c r="X385" s="159"/>
      <c r="Y385" s="159"/>
      <c r="Z385" s="159"/>
    </row>
    <row r="386">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c r="X386" s="159"/>
      <c r="Y386" s="159"/>
      <c r="Z386" s="159"/>
    </row>
    <row r="387">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c r="X387" s="159"/>
      <c r="Y387" s="159"/>
      <c r="Z387" s="159"/>
    </row>
    <row r="388">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c r="X388" s="159"/>
      <c r="Y388" s="159"/>
      <c r="Z388" s="159"/>
    </row>
    <row r="389">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c r="X389" s="159"/>
      <c r="Y389" s="159"/>
      <c r="Z389" s="159"/>
    </row>
    <row r="390">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c r="X390" s="159"/>
      <c r="Y390" s="159"/>
      <c r="Z390" s="159"/>
    </row>
    <row r="391">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c r="X391" s="159"/>
      <c r="Y391" s="159"/>
      <c r="Z391" s="159"/>
    </row>
    <row r="392">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c r="X392" s="159"/>
      <c r="Y392" s="159"/>
      <c r="Z392" s="159"/>
    </row>
    <row r="393">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c r="X393" s="159"/>
      <c r="Y393" s="159"/>
      <c r="Z393" s="159"/>
    </row>
    <row r="394">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c r="X394" s="159"/>
      <c r="Y394" s="159"/>
      <c r="Z394" s="159"/>
    </row>
    <row r="395">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c r="X395" s="159"/>
      <c r="Y395" s="159"/>
      <c r="Z395" s="159"/>
    </row>
    <row r="396">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c r="X396" s="159"/>
      <c r="Y396" s="159"/>
      <c r="Z396" s="159"/>
    </row>
    <row r="397">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c r="X397" s="159"/>
      <c r="Y397" s="159"/>
      <c r="Z397" s="159"/>
    </row>
    <row r="398">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c r="X398" s="159"/>
      <c r="Y398" s="159"/>
      <c r="Z398" s="159"/>
    </row>
    <row r="399">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c r="X399" s="159"/>
      <c r="Y399" s="159"/>
      <c r="Z399" s="159"/>
    </row>
    <row r="400">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c r="X400" s="159"/>
      <c r="Y400" s="159"/>
      <c r="Z400" s="159"/>
    </row>
    <row r="401">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c r="X401" s="159"/>
      <c r="Y401" s="159"/>
      <c r="Z401" s="159"/>
    </row>
    <row r="402">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c r="X402" s="159"/>
      <c r="Y402" s="159"/>
      <c r="Z402" s="159"/>
    </row>
    <row r="403">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c r="X403" s="159"/>
      <c r="Y403" s="159"/>
      <c r="Z403" s="159"/>
    </row>
    <row r="404">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c r="X404" s="159"/>
      <c r="Y404" s="159"/>
      <c r="Z404" s="159"/>
    </row>
    <row r="40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c r="X405" s="159"/>
      <c r="Y405" s="159"/>
      <c r="Z405" s="159"/>
    </row>
    <row r="406">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c r="X406" s="159"/>
      <c r="Y406" s="159"/>
      <c r="Z406" s="159"/>
    </row>
    <row r="407">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c r="X407" s="159"/>
      <c r="Y407" s="159"/>
      <c r="Z407" s="159"/>
    </row>
    <row r="408">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c r="X408" s="159"/>
      <c r="Y408" s="159"/>
      <c r="Z408" s="159"/>
    </row>
    <row r="409">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c r="X409" s="159"/>
      <c r="Y409" s="159"/>
      <c r="Z409" s="159"/>
    </row>
    <row r="410">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c r="X410" s="159"/>
      <c r="Y410" s="159"/>
      <c r="Z410" s="159"/>
    </row>
    <row r="411">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c r="X411" s="159"/>
      <c r="Y411" s="159"/>
      <c r="Z411" s="159"/>
    </row>
    <row r="412">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c r="X412" s="159"/>
      <c r="Y412" s="159"/>
      <c r="Z412" s="159"/>
    </row>
    <row r="413">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c r="X413" s="159"/>
      <c r="Y413" s="159"/>
      <c r="Z413" s="159"/>
    </row>
    <row r="414">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c r="X414" s="159"/>
      <c r="Y414" s="159"/>
      <c r="Z414" s="159"/>
    </row>
    <row r="41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c r="X415" s="159"/>
      <c r="Y415" s="159"/>
      <c r="Z415" s="159"/>
    </row>
    <row r="416">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c r="X416" s="159"/>
      <c r="Y416" s="159"/>
      <c r="Z416" s="159"/>
    </row>
    <row r="417">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c r="X417" s="159"/>
      <c r="Y417" s="159"/>
      <c r="Z417" s="159"/>
    </row>
    <row r="418">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c r="X418" s="159"/>
      <c r="Y418" s="159"/>
      <c r="Z418" s="159"/>
    </row>
    <row r="419">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c r="X419" s="159"/>
      <c r="Y419" s="159"/>
      <c r="Z419" s="159"/>
    </row>
    <row r="420">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c r="X420" s="159"/>
      <c r="Y420" s="159"/>
      <c r="Z420" s="159"/>
    </row>
    <row r="421">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c r="X421" s="159"/>
      <c r="Y421" s="159"/>
      <c r="Z421" s="159"/>
    </row>
    <row r="422">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c r="X422" s="159"/>
      <c r="Y422" s="159"/>
      <c r="Z422" s="159"/>
    </row>
    <row r="423">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c r="X423" s="159"/>
      <c r="Y423" s="159"/>
      <c r="Z423" s="159"/>
    </row>
    <row r="424">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c r="X424" s="159"/>
      <c r="Y424" s="159"/>
      <c r="Z424" s="159"/>
    </row>
    <row r="42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c r="X425" s="159"/>
      <c r="Y425" s="159"/>
      <c r="Z425" s="159"/>
    </row>
    <row r="426">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c r="X426" s="159"/>
      <c r="Y426" s="159"/>
      <c r="Z426" s="159"/>
    </row>
    <row r="427">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c r="X427" s="159"/>
      <c r="Y427" s="159"/>
      <c r="Z427" s="159"/>
    </row>
    <row r="428">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c r="X428" s="159"/>
      <c r="Y428" s="159"/>
      <c r="Z428" s="159"/>
    </row>
    <row r="429">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c r="X429" s="159"/>
      <c r="Y429" s="159"/>
      <c r="Z429" s="159"/>
    </row>
    <row r="430">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c r="X430" s="159"/>
      <c r="Y430" s="159"/>
      <c r="Z430" s="159"/>
    </row>
    <row r="431">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c r="X431" s="159"/>
      <c r="Y431" s="159"/>
      <c r="Z431" s="159"/>
    </row>
    <row r="432">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c r="X432" s="159"/>
      <c r="Y432" s="159"/>
      <c r="Z432" s="159"/>
    </row>
    <row r="433">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c r="X433" s="159"/>
      <c r="Y433" s="159"/>
      <c r="Z433" s="159"/>
    </row>
    <row r="434">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c r="X434" s="159"/>
      <c r="Y434" s="159"/>
      <c r="Z434" s="159"/>
    </row>
    <row r="43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c r="X435" s="159"/>
      <c r="Y435" s="159"/>
      <c r="Z435" s="159"/>
    </row>
    <row r="436">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c r="X436" s="159"/>
      <c r="Y436" s="159"/>
      <c r="Z436" s="159"/>
    </row>
    <row r="437">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c r="X437" s="159"/>
      <c r="Y437" s="159"/>
      <c r="Z437" s="159"/>
    </row>
    <row r="438">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c r="X438" s="159"/>
      <c r="Y438" s="159"/>
      <c r="Z438" s="159"/>
    </row>
    <row r="439">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c r="X439" s="159"/>
      <c r="Y439" s="159"/>
      <c r="Z439" s="159"/>
    </row>
    <row r="440">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c r="X440" s="159"/>
      <c r="Y440" s="159"/>
      <c r="Z440" s="159"/>
    </row>
    <row r="441">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c r="X441" s="159"/>
      <c r="Y441" s="159"/>
      <c r="Z441" s="159"/>
    </row>
    <row r="442">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c r="X442" s="159"/>
      <c r="Y442" s="159"/>
      <c r="Z442" s="159"/>
    </row>
    <row r="443">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c r="X443" s="159"/>
      <c r="Y443" s="159"/>
      <c r="Z443" s="159"/>
    </row>
    <row r="444">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c r="X444" s="159"/>
      <c r="Y444" s="159"/>
      <c r="Z444" s="159"/>
    </row>
    <row r="44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c r="X445" s="159"/>
      <c r="Y445" s="159"/>
      <c r="Z445" s="159"/>
    </row>
    <row r="446">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c r="X446" s="159"/>
      <c r="Y446" s="159"/>
      <c r="Z446" s="159"/>
    </row>
    <row r="447">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c r="X447" s="159"/>
      <c r="Y447" s="159"/>
      <c r="Z447" s="159"/>
    </row>
    <row r="448">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c r="X448" s="159"/>
      <c r="Y448" s="159"/>
      <c r="Z448" s="159"/>
    </row>
    <row r="449">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c r="X449" s="159"/>
      <c r="Y449" s="159"/>
      <c r="Z449" s="159"/>
    </row>
    <row r="450">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c r="X450" s="159"/>
      <c r="Y450" s="159"/>
      <c r="Z450" s="159"/>
    </row>
    <row r="451">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c r="X451" s="159"/>
      <c r="Y451" s="159"/>
      <c r="Z451" s="159"/>
    </row>
    <row r="452">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c r="X452" s="159"/>
      <c r="Y452" s="159"/>
      <c r="Z452" s="159"/>
    </row>
    <row r="453">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c r="X453" s="159"/>
      <c r="Y453" s="159"/>
      <c r="Z453" s="159"/>
    </row>
    <row r="454">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c r="X454" s="159"/>
      <c r="Y454" s="159"/>
      <c r="Z454" s="159"/>
    </row>
    <row r="45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c r="X455" s="159"/>
      <c r="Y455" s="159"/>
      <c r="Z455" s="159"/>
    </row>
    <row r="456">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c r="X456" s="159"/>
      <c r="Y456" s="159"/>
      <c r="Z456" s="159"/>
    </row>
    <row r="457">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c r="X457" s="159"/>
      <c r="Y457" s="159"/>
      <c r="Z457" s="159"/>
    </row>
    <row r="458">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c r="X458" s="159"/>
      <c r="Y458" s="159"/>
      <c r="Z458" s="159"/>
    </row>
    <row r="459">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c r="X459" s="159"/>
      <c r="Y459" s="159"/>
      <c r="Z459" s="159"/>
    </row>
    <row r="460">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c r="X460" s="159"/>
      <c r="Y460" s="159"/>
      <c r="Z460" s="159"/>
    </row>
    <row r="461">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c r="X461" s="159"/>
      <c r="Y461" s="159"/>
      <c r="Z461" s="159"/>
    </row>
    <row r="462">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c r="X462" s="159"/>
      <c r="Y462" s="159"/>
      <c r="Z462" s="159"/>
    </row>
    <row r="463">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c r="X463" s="159"/>
      <c r="Y463" s="159"/>
      <c r="Z463" s="159"/>
    </row>
    <row r="464">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c r="X464" s="159"/>
      <c r="Y464" s="159"/>
      <c r="Z464" s="159"/>
    </row>
    <row r="46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c r="X465" s="159"/>
      <c r="Y465" s="159"/>
      <c r="Z465" s="159"/>
    </row>
    <row r="466">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c r="X466" s="159"/>
      <c r="Y466" s="159"/>
      <c r="Z466" s="159"/>
    </row>
    <row r="467">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c r="X467" s="159"/>
      <c r="Y467" s="159"/>
      <c r="Z467" s="159"/>
    </row>
    <row r="468">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c r="X468" s="159"/>
      <c r="Y468" s="159"/>
      <c r="Z468" s="159"/>
    </row>
    <row r="469">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c r="X469" s="159"/>
      <c r="Y469" s="159"/>
      <c r="Z469" s="159"/>
    </row>
    <row r="470">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c r="X470" s="159"/>
      <c r="Y470" s="159"/>
      <c r="Z470" s="159"/>
    </row>
    <row r="471">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c r="X471" s="159"/>
      <c r="Y471" s="159"/>
      <c r="Z471" s="159"/>
    </row>
    <row r="472">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c r="X472" s="159"/>
      <c r="Y472" s="159"/>
      <c r="Z472" s="159"/>
    </row>
    <row r="473">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c r="X473" s="159"/>
      <c r="Y473" s="159"/>
      <c r="Z473" s="159"/>
    </row>
    <row r="474">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c r="X474" s="159"/>
      <c r="Y474" s="159"/>
      <c r="Z474" s="159"/>
    </row>
    <row r="4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c r="X475" s="159"/>
      <c r="Y475" s="159"/>
      <c r="Z475" s="159"/>
    </row>
    <row r="476">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c r="X476" s="159"/>
      <c r="Y476" s="159"/>
      <c r="Z476" s="159"/>
    </row>
    <row r="477">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c r="X477" s="159"/>
      <c r="Y477" s="159"/>
      <c r="Z477" s="159"/>
    </row>
    <row r="478">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c r="X478" s="159"/>
      <c r="Y478" s="159"/>
      <c r="Z478" s="159"/>
    </row>
    <row r="479">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c r="X479" s="159"/>
      <c r="Y479" s="159"/>
      <c r="Z479" s="159"/>
    </row>
    <row r="480">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c r="X480" s="159"/>
      <c r="Y480" s="159"/>
      <c r="Z480" s="159"/>
    </row>
    <row r="481">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c r="X481" s="159"/>
      <c r="Y481" s="159"/>
      <c r="Z481" s="159"/>
    </row>
    <row r="482">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c r="X482" s="159"/>
      <c r="Y482" s="159"/>
      <c r="Z482" s="159"/>
    </row>
    <row r="483">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c r="X483" s="159"/>
      <c r="Y483" s="159"/>
      <c r="Z483" s="159"/>
    </row>
    <row r="484">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c r="X484" s="159"/>
      <c r="Y484" s="159"/>
      <c r="Z484" s="159"/>
    </row>
    <row r="48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c r="X485" s="159"/>
      <c r="Y485" s="159"/>
      <c r="Z485" s="159"/>
    </row>
    <row r="486">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c r="X486" s="159"/>
      <c r="Y486" s="159"/>
      <c r="Z486" s="159"/>
    </row>
    <row r="487">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c r="X487" s="159"/>
      <c r="Y487" s="159"/>
      <c r="Z487" s="159"/>
    </row>
    <row r="488">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c r="X488" s="159"/>
      <c r="Y488" s="159"/>
      <c r="Z488" s="159"/>
    </row>
    <row r="489">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c r="X489" s="159"/>
      <c r="Y489" s="159"/>
      <c r="Z489" s="159"/>
    </row>
    <row r="490">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c r="X490" s="159"/>
      <c r="Y490" s="159"/>
      <c r="Z490" s="159"/>
    </row>
    <row r="491">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c r="X491" s="159"/>
      <c r="Y491" s="159"/>
      <c r="Z491" s="159"/>
    </row>
    <row r="492">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c r="X492" s="159"/>
      <c r="Y492" s="159"/>
      <c r="Z492" s="159"/>
    </row>
    <row r="493">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c r="X493" s="159"/>
      <c r="Y493" s="159"/>
      <c r="Z493" s="159"/>
    </row>
    <row r="494">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c r="X494" s="159"/>
      <c r="Y494" s="159"/>
      <c r="Z494" s="159"/>
    </row>
    <row r="49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c r="X495" s="159"/>
      <c r="Y495" s="159"/>
      <c r="Z495" s="159"/>
    </row>
    <row r="496">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c r="X496" s="159"/>
      <c r="Y496" s="159"/>
      <c r="Z496" s="159"/>
    </row>
    <row r="497">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c r="X497" s="159"/>
      <c r="Y497" s="159"/>
      <c r="Z497" s="159"/>
    </row>
    <row r="498">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c r="X498" s="159"/>
      <c r="Y498" s="159"/>
      <c r="Z498" s="159"/>
    </row>
    <row r="499">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c r="X499" s="159"/>
      <c r="Y499" s="159"/>
      <c r="Z499" s="159"/>
    </row>
    <row r="500">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c r="X500" s="159"/>
      <c r="Y500" s="159"/>
      <c r="Z500" s="159"/>
    </row>
    <row r="501">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c r="X501" s="159"/>
      <c r="Y501" s="159"/>
      <c r="Z501" s="159"/>
    </row>
    <row r="502">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c r="X502" s="159"/>
      <c r="Y502" s="159"/>
      <c r="Z502" s="159"/>
    </row>
    <row r="503">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c r="X503" s="159"/>
      <c r="Y503" s="159"/>
      <c r="Z503" s="159"/>
    </row>
    <row r="504">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c r="X504" s="159"/>
      <c r="Y504" s="159"/>
      <c r="Z504" s="159"/>
    </row>
    <row r="50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c r="X505" s="159"/>
      <c r="Y505" s="159"/>
      <c r="Z505" s="159"/>
    </row>
    <row r="506">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c r="X506" s="159"/>
      <c r="Y506" s="159"/>
      <c r="Z506" s="159"/>
    </row>
    <row r="507">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c r="X507" s="159"/>
      <c r="Y507" s="159"/>
      <c r="Z507" s="159"/>
    </row>
    <row r="508">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c r="X508" s="159"/>
      <c r="Y508" s="159"/>
      <c r="Z508" s="159"/>
    </row>
    <row r="509">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c r="X509" s="159"/>
      <c r="Y509" s="159"/>
      <c r="Z509" s="159"/>
    </row>
    <row r="510">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c r="X510" s="159"/>
      <c r="Y510" s="159"/>
      <c r="Z510" s="159"/>
    </row>
    <row r="511">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c r="X511" s="159"/>
      <c r="Y511" s="159"/>
      <c r="Z511" s="159"/>
    </row>
    <row r="512">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c r="X512" s="159"/>
      <c r="Y512" s="159"/>
      <c r="Z512" s="159"/>
    </row>
    <row r="513">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c r="X513" s="159"/>
      <c r="Y513" s="159"/>
      <c r="Z513" s="159"/>
    </row>
    <row r="514">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c r="X514" s="159"/>
      <c r="Y514" s="159"/>
      <c r="Z514" s="159"/>
    </row>
    <row r="51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c r="X515" s="159"/>
      <c r="Y515" s="159"/>
      <c r="Z515" s="159"/>
    </row>
    <row r="516">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c r="X516" s="159"/>
      <c r="Y516" s="159"/>
      <c r="Z516" s="159"/>
    </row>
    <row r="517">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c r="X517" s="159"/>
      <c r="Y517" s="159"/>
      <c r="Z517" s="159"/>
    </row>
    <row r="518">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c r="X518" s="159"/>
      <c r="Y518" s="159"/>
      <c r="Z518" s="159"/>
    </row>
    <row r="519">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c r="X519" s="159"/>
      <c r="Y519" s="159"/>
      <c r="Z519" s="159"/>
    </row>
    <row r="520">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c r="X520" s="159"/>
      <c r="Y520" s="159"/>
      <c r="Z520" s="159"/>
    </row>
    <row r="521">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c r="X521" s="159"/>
      <c r="Y521" s="159"/>
      <c r="Z521" s="159"/>
    </row>
    <row r="522">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c r="X522" s="159"/>
      <c r="Y522" s="159"/>
      <c r="Z522" s="159"/>
    </row>
    <row r="523">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c r="X523" s="159"/>
      <c r="Y523" s="159"/>
      <c r="Z523" s="159"/>
    </row>
    <row r="524">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c r="X524" s="159"/>
      <c r="Y524" s="159"/>
      <c r="Z524" s="159"/>
    </row>
    <row r="52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c r="X525" s="159"/>
      <c r="Y525" s="159"/>
      <c r="Z525" s="159"/>
    </row>
    <row r="526">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c r="X526" s="159"/>
      <c r="Y526" s="159"/>
      <c r="Z526" s="159"/>
    </row>
    <row r="527">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c r="X527" s="159"/>
      <c r="Y527" s="159"/>
      <c r="Z527" s="159"/>
    </row>
    <row r="528">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c r="X528" s="159"/>
      <c r="Y528" s="159"/>
      <c r="Z528" s="159"/>
    </row>
    <row r="529">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c r="X529" s="159"/>
      <c r="Y529" s="159"/>
      <c r="Z529" s="159"/>
    </row>
    <row r="530">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c r="X530" s="159"/>
      <c r="Y530" s="159"/>
      <c r="Z530" s="159"/>
    </row>
    <row r="531">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c r="X531" s="159"/>
      <c r="Y531" s="159"/>
      <c r="Z531" s="159"/>
    </row>
    <row r="532">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c r="X532" s="159"/>
      <c r="Y532" s="159"/>
      <c r="Z532" s="159"/>
    </row>
    <row r="533">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c r="X533" s="159"/>
      <c r="Y533" s="159"/>
      <c r="Z533" s="159"/>
    </row>
    <row r="534">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c r="X534" s="159"/>
      <c r="Y534" s="159"/>
      <c r="Z534" s="159"/>
    </row>
    <row r="53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c r="X535" s="159"/>
      <c r="Y535" s="159"/>
      <c r="Z535" s="159"/>
    </row>
    <row r="536">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c r="X536" s="159"/>
      <c r="Y536" s="159"/>
      <c r="Z536" s="159"/>
    </row>
    <row r="537">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c r="X537" s="159"/>
      <c r="Y537" s="159"/>
      <c r="Z537" s="159"/>
    </row>
    <row r="538">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c r="X538" s="159"/>
      <c r="Y538" s="159"/>
      <c r="Z538" s="159"/>
    </row>
    <row r="539">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c r="X539" s="159"/>
      <c r="Y539" s="159"/>
      <c r="Z539" s="159"/>
    </row>
    <row r="540">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c r="X540" s="159"/>
      <c r="Y540" s="159"/>
      <c r="Z540" s="159"/>
    </row>
    <row r="541">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c r="X541" s="159"/>
      <c r="Y541" s="159"/>
      <c r="Z541" s="159"/>
    </row>
    <row r="542">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c r="X542" s="159"/>
      <c r="Y542" s="159"/>
      <c r="Z542" s="159"/>
    </row>
    <row r="543">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c r="X543" s="159"/>
      <c r="Y543" s="159"/>
      <c r="Z543" s="159"/>
    </row>
    <row r="544">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c r="X544" s="159"/>
      <c r="Y544" s="159"/>
      <c r="Z544" s="159"/>
    </row>
    <row r="54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c r="X545" s="159"/>
      <c r="Y545" s="159"/>
      <c r="Z545" s="159"/>
    </row>
    <row r="546">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c r="X546" s="159"/>
      <c r="Y546" s="159"/>
      <c r="Z546" s="159"/>
    </row>
    <row r="547">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c r="X547" s="159"/>
      <c r="Y547" s="159"/>
      <c r="Z547" s="159"/>
    </row>
    <row r="548">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c r="X548" s="159"/>
      <c r="Y548" s="159"/>
      <c r="Z548" s="159"/>
    </row>
    <row r="549">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c r="X549" s="159"/>
      <c r="Y549" s="159"/>
      <c r="Z549" s="159"/>
    </row>
    <row r="550">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c r="X550" s="159"/>
      <c r="Y550" s="159"/>
      <c r="Z550" s="159"/>
    </row>
    <row r="551">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c r="X551" s="159"/>
      <c r="Y551" s="159"/>
      <c r="Z551" s="159"/>
    </row>
    <row r="552">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c r="X552" s="159"/>
      <c r="Y552" s="159"/>
      <c r="Z552" s="159"/>
    </row>
    <row r="553">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c r="X553" s="159"/>
      <c r="Y553" s="159"/>
      <c r="Z553" s="159"/>
    </row>
    <row r="554">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c r="X554" s="159"/>
      <c r="Y554" s="159"/>
      <c r="Z554" s="159"/>
    </row>
    <row r="55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c r="X555" s="159"/>
      <c r="Y555" s="159"/>
      <c r="Z555" s="159"/>
    </row>
    <row r="556">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c r="X556" s="159"/>
      <c r="Y556" s="159"/>
      <c r="Z556" s="159"/>
    </row>
    <row r="557">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c r="X557" s="159"/>
      <c r="Y557" s="159"/>
      <c r="Z557" s="159"/>
    </row>
    <row r="558">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c r="X558" s="159"/>
      <c r="Y558" s="159"/>
      <c r="Z558" s="159"/>
    </row>
    <row r="559">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c r="X559" s="159"/>
      <c r="Y559" s="159"/>
      <c r="Z559" s="159"/>
    </row>
    <row r="560">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c r="X560" s="159"/>
      <c r="Y560" s="159"/>
      <c r="Z560" s="159"/>
    </row>
    <row r="561">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c r="X561" s="159"/>
      <c r="Y561" s="159"/>
      <c r="Z561" s="159"/>
    </row>
    <row r="562">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c r="X562" s="159"/>
      <c r="Y562" s="159"/>
      <c r="Z562" s="159"/>
    </row>
    <row r="563">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c r="X563" s="159"/>
      <c r="Y563" s="159"/>
      <c r="Z563" s="159"/>
    </row>
    <row r="564">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c r="X564" s="159"/>
      <c r="Y564" s="159"/>
      <c r="Z564" s="159"/>
    </row>
    <row r="56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c r="X565" s="159"/>
      <c r="Y565" s="159"/>
      <c r="Z565" s="159"/>
    </row>
    <row r="566">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c r="X566" s="159"/>
      <c r="Y566" s="159"/>
      <c r="Z566" s="159"/>
    </row>
    <row r="567">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c r="X567" s="159"/>
      <c r="Y567" s="159"/>
      <c r="Z567" s="159"/>
    </row>
    <row r="568">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c r="X568" s="159"/>
      <c r="Y568" s="159"/>
      <c r="Z568" s="159"/>
    </row>
    <row r="569">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c r="X569" s="159"/>
      <c r="Y569" s="159"/>
      <c r="Z569" s="159"/>
    </row>
    <row r="570">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c r="X570" s="159"/>
      <c r="Y570" s="159"/>
      <c r="Z570" s="159"/>
    </row>
    <row r="571">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c r="X571" s="159"/>
      <c r="Y571" s="159"/>
      <c r="Z571" s="159"/>
    </row>
    <row r="572">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c r="X572" s="159"/>
      <c r="Y572" s="159"/>
      <c r="Z572" s="159"/>
    </row>
    <row r="573">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c r="X573" s="159"/>
      <c r="Y573" s="159"/>
      <c r="Z573" s="159"/>
    </row>
    <row r="574">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c r="X574" s="159"/>
      <c r="Y574" s="159"/>
      <c r="Z574" s="159"/>
    </row>
    <row r="5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c r="X575" s="159"/>
      <c r="Y575" s="159"/>
      <c r="Z575" s="159"/>
    </row>
    <row r="576">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c r="X576" s="159"/>
      <c r="Y576" s="159"/>
      <c r="Z576" s="159"/>
    </row>
    <row r="577">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c r="X577" s="159"/>
      <c r="Y577" s="159"/>
      <c r="Z577" s="159"/>
    </row>
    <row r="578">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c r="X578" s="159"/>
      <c r="Y578" s="159"/>
      <c r="Z578" s="159"/>
    </row>
    <row r="579">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c r="X579" s="159"/>
      <c r="Y579" s="159"/>
      <c r="Z579" s="159"/>
    </row>
    <row r="580">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c r="X580" s="159"/>
      <c r="Y580" s="159"/>
      <c r="Z580" s="159"/>
    </row>
    <row r="581">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c r="X581" s="159"/>
      <c r="Y581" s="159"/>
      <c r="Z581" s="159"/>
    </row>
    <row r="582">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c r="X582" s="159"/>
      <c r="Y582" s="159"/>
      <c r="Z582" s="159"/>
    </row>
    <row r="583">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c r="X583" s="159"/>
      <c r="Y583" s="159"/>
      <c r="Z583" s="159"/>
    </row>
    <row r="584">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c r="X584" s="159"/>
      <c r="Y584" s="159"/>
      <c r="Z584" s="159"/>
    </row>
    <row r="58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c r="X585" s="159"/>
      <c r="Y585" s="159"/>
      <c r="Z585" s="159"/>
    </row>
    <row r="586">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c r="X586" s="159"/>
      <c r="Y586" s="159"/>
      <c r="Z586" s="159"/>
    </row>
    <row r="587">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c r="X587" s="159"/>
      <c r="Y587" s="159"/>
      <c r="Z587" s="159"/>
    </row>
    <row r="588">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c r="X588" s="159"/>
      <c r="Y588" s="159"/>
      <c r="Z588" s="159"/>
    </row>
    <row r="589">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c r="X589" s="159"/>
      <c r="Y589" s="159"/>
      <c r="Z589" s="159"/>
    </row>
    <row r="590">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c r="X590" s="159"/>
      <c r="Y590" s="159"/>
      <c r="Z590" s="159"/>
    </row>
    <row r="591">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c r="X591" s="159"/>
      <c r="Y591" s="159"/>
      <c r="Z591" s="159"/>
    </row>
    <row r="592">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c r="X592" s="159"/>
      <c r="Y592" s="159"/>
      <c r="Z592" s="159"/>
    </row>
    <row r="593">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c r="X593" s="159"/>
      <c r="Y593" s="159"/>
      <c r="Z593" s="159"/>
    </row>
    <row r="594">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c r="X594" s="159"/>
      <c r="Y594" s="159"/>
      <c r="Z594" s="159"/>
    </row>
    <row r="59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c r="X595" s="159"/>
      <c r="Y595" s="159"/>
      <c r="Z595" s="159"/>
    </row>
    <row r="596">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c r="X596" s="159"/>
      <c r="Y596" s="159"/>
      <c r="Z596" s="159"/>
    </row>
    <row r="597">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c r="X597" s="159"/>
      <c r="Y597" s="159"/>
      <c r="Z597" s="159"/>
    </row>
    <row r="598">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c r="X598" s="159"/>
      <c r="Y598" s="159"/>
      <c r="Z598" s="159"/>
    </row>
    <row r="599">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c r="X599" s="159"/>
      <c r="Y599" s="159"/>
      <c r="Z599" s="159"/>
    </row>
    <row r="600">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c r="X600" s="159"/>
      <c r="Y600" s="159"/>
      <c r="Z600" s="159"/>
    </row>
    <row r="601">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c r="X601" s="159"/>
      <c r="Y601" s="159"/>
      <c r="Z601" s="159"/>
    </row>
    <row r="602">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c r="X602" s="159"/>
      <c r="Y602" s="159"/>
      <c r="Z602" s="159"/>
    </row>
    <row r="603">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c r="X603" s="159"/>
      <c r="Y603" s="159"/>
      <c r="Z603" s="159"/>
    </row>
    <row r="604">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c r="X604" s="159"/>
      <c r="Y604" s="159"/>
      <c r="Z604" s="159"/>
    </row>
    <row r="60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c r="X605" s="159"/>
      <c r="Y605" s="159"/>
      <c r="Z605" s="159"/>
    </row>
    <row r="606">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c r="X606" s="159"/>
      <c r="Y606" s="159"/>
      <c r="Z606" s="159"/>
    </row>
    <row r="607">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c r="X607" s="159"/>
      <c r="Y607" s="159"/>
      <c r="Z607" s="159"/>
    </row>
    <row r="608">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c r="X608" s="159"/>
      <c r="Y608" s="159"/>
      <c r="Z608" s="159"/>
    </row>
    <row r="609">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c r="X609" s="159"/>
      <c r="Y609" s="159"/>
      <c r="Z609" s="159"/>
    </row>
    <row r="610">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c r="X610" s="159"/>
      <c r="Y610" s="159"/>
      <c r="Z610" s="159"/>
    </row>
    <row r="611">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c r="X611" s="159"/>
      <c r="Y611" s="159"/>
      <c r="Z611" s="159"/>
    </row>
    <row r="612">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c r="X612" s="159"/>
      <c r="Y612" s="159"/>
      <c r="Z612" s="159"/>
    </row>
    <row r="613">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c r="X613" s="159"/>
      <c r="Y613" s="159"/>
      <c r="Z613" s="159"/>
    </row>
    <row r="614">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c r="X614" s="159"/>
      <c r="Y614" s="159"/>
      <c r="Z614" s="159"/>
    </row>
    <row r="61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c r="X615" s="159"/>
      <c r="Y615" s="159"/>
      <c r="Z615" s="159"/>
    </row>
    <row r="616">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c r="X616" s="159"/>
      <c r="Y616" s="159"/>
      <c r="Z616" s="159"/>
    </row>
    <row r="617">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c r="X617" s="159"/>
      <c r="Y617" s="159"/>
      <c r="Z617" s="159"/>
    </row>
    <row r="618">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c r="X618" s="159"/>
      <c r="Y618" s="159"/>
      <c r="Z618" s="159"/>
    </row>
    <row r="619">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c r="X619" s="159"/>
      <c r="Y619" s="159"/>
      <c r="Z619" s="159"/>
    </row>
    <row r="620">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c r="X620" s="159"/>
      <c r="Y620" s="159"/>
      <c r="Z620" s="159"/>
    </row>
    <row r="621">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c r="X621" s="159"/>
      <c r="Y621" s="159"/>
      <c r="Z621" s="159"/>
    </row>
    <row r="622">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c r="X622" s="159"/>
      <c r="Y622" s="159"/>
      <c r="Z622" s="159"/>
    </row>
    <row r="623">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c r="X623" s="159"/>
      <c r="Y623" s="159"/>
      <c r="Z623" s="159"/>
    </row>
    <row r="624">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c r="X624" s="159"/>
      <c r="Y624" s="159"/>
      <c r="Z624" s="159"/>
    </row>
    <row r="62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c r="X625" s="159"/>
      <c r="Y625" s="159"/>
      <c r="Z625" s="159"/>
    </row>
    <row r="626">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c r="X626" s="159"/>
      <c r="Y626" s="159"/>
      <c r="Z626" s="159"/>
    </row>
    <row r="627">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c r="X627" s="159"/>
      <c r="Y627" s="159"/>
      <c r="Z627" s="159"/>
    </row>
    <row r="628">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c r="X628" s="159"/>
      <c r="Y628" s="159"/>
      <c r="Z628" s="159"/>
    </row>
    <row r="629">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c r="X629" s="159"/>
      <c r="Y629" s="159"/>
      <c r="Z629" s="159"/>
    </row>
    <row r="630">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c r="X630" s="159"/>
      <c r="Y630" s="159"/>
      <c r="Z630" s="159"/>
    </row>
    <row r="631">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c r="X631" s="159"/>
      <c r="Y631" s="159"/>
      <c r="Z631" s="159"/>
    </row>
    <row r="632">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c r="X632" s="159"/>
      <c r="Y632" s="159"/>
      <c r="Z632" s="159"/>
    </row>
    <row r="633">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c r="X633" s="159"/>
      <c r="Y633" s="159"/>
      <c r="Z633" s="159"/>
    </row>
    <row r="634">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c r="X634" s="159"/>
      <c r="Y634" s="159"/>
      <c r="Z634" s="159"/>
    </row>
    <row r="63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c r="X635" s="159"/>
      <c r="Y635" s="159"/>
      <c r="Z635" s="159"/>
    </row>
    <row r="636">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c r="X636" s="159"/>
      <c r="Y636" s="159"/>
      <c r="Z636" s="159"/>
    </row>
    <row r="637">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c r="X637" s="159"/>
      <c r="Y637" s="159"/>
      <c r="Z637" s="159"/>
    </row>
    <row r="638">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c r="X638" s="159"/>
      <c r="Y638" s="159"/>
      <c r="Z638" s="159"/>
    </row>
    <row r="639">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c r="X639" s="159"/>
      <c r="Y639" s="159"/>
      <c r="Z639" s="159"/>
    </row>
    <row r="640">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c r="X640" s="159"/>
      <c r="Y640" s="159"/>
      <c r="Z640" s="159"/>
    </row>
    <row r="641">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c r="X641" s="159"/>
      <c r="Y641" s="159"/>
      <c r="Z641" s="159"/>
    </row>
    <row r="642">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c r="X642" s="159"/>
      <c r="Y642" s="159"/>
      <c r="Z642" s="159"/>
    </row>
    <row r="643">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c r="X643" s="159"/>
      <c r="Y643" s="159"/>
      <c r="Z643" s="159"/>
    </row>
    <row r="644">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c r="X644" s="159"/>
      <c r="Y644" s="159"/>
      <c r="Z644" s="159"/>
    </row>
    <row r="64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c r="X645" s="159"/>
      <c r="Y645" s="159"/>
      <c r="Z645" s="159"/>
    </row>
    <row r="646">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c r="X646" s="159"/>
      <c r="Y646" s="159"/>
      <c r="Z646" s="159"/>
    </row>
    <row r="647">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c r="X647" s="159"/>
      <c r="Y647" s="159"/>
      <c r="Z647" s="159"/>
    </row>
    <row r="648">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c r="X648" s="159"/>
      <c r="Y648" s="159"/>
      <c r="Z648" s="159"/>
    </row>
    <row r="649">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c r="X649" s="159"/>
      <c r="Y649" s="159"/>
      <c r="Z649" s="159"/>
    </row>
    <row r="650">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c r="X650" s="159"/>
      <c r="Y650" s="159"/>
      <c r="Z650" s="159"/>
    </row>
    <row r="651">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c r="X651" s="159"/>
      <c r="Y651" s="159"/>
      <c r="Z651" s="159"/>
    </row>
    <row r="652">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c r="X652" s="159"/>
      <c r="Y652" s="159"/>
      <c r="Z652" s="159"/>
    </row>
    <row r="653">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c r="X653" s="159"/>
      <c r="Y653" s="159"/>
      <c r="Z653" s="159"/>
    </row>
    <row r="654">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c r="X654" s="159"/>
      <c r="Y654" s="159"/>
      <c r="Z654" s="159"/>
    </row>
    <row r="65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c r="X655" s="159"/>
      <c r="Y655" s="159"/>
      <c r="Z655" s="159"/>
    </row>
    <row r="656">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c r="X656" s="159"/>
      <c r="Y656" s="159"/>
      <c r="Z656" s="159"/>
    </row>
    <row r="657">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c r="X657" s="159"/>
      <c r="Y657" s="159"/>
      <c r="Z657" s="159"/>
    </row>
    <row r="658">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c r="X658" s="159"/>
      <c r="Y658" s="159"/>
      <c r="Z658" s="159"/>
    </row>
    <row r="659">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c r="X659" s="159"/>
      <c r="Y659" s="159"/>
      <c r="Z659" s="159"/>
    </row>
    <row r="660">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c r="X660" s="159"/>
      <c r="Y660" s="159"/>
      <c r="Z660" s="159"/>
    </row>
    <row r="661">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c r="X661" s="159"/>
      <c r="Y661" s="159"/>
      <c r="Z661" s="159"/>
    </row>
    <row r="662">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c r="X662" s="159"/>
      <c r="Y662" s="159"/>
      <c r="Z662" s="159"/>
    </row>
    <row r="663">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c r="X663" s="159"/>
      <c r="Y663" s="159"/>
      <c r="Z663" s="159"/>
    </row>
    <row r="664">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c r="X664" s="159"/>
      <c r="Y664" s="159"/>
      <c r="Z664" s="159"/>
    </row>
    <row r="66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c r="X665" s="159"/>
      <c r="Y665" s="159"/>
      <c r="Z665" s="159"/>
    </row>
    <row r="666">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c r="X666" s="159"/>
      <c r="Y666" s="159"/>
      <c r="Z666" s="159"/>
    </row>
    <row r="667">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c r="X667" s="159"/>
      <c r="Y667" s="159"/>
      <c r="Z667" s="159"/>
    </row>
    <row r="668">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c r="X668" s="159"/>
      <c r="Y668" s="159"/>
      <c r="Z668" s="159"/>
    </row>
    <row r="669">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c r="X669" s="159"/>
      <c r="Y669" s="159"/>
      <c r="Z669" s="159"/>
    </row>
    <row r="670">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c r="X670" s="159"/>
      <c r="Y670" s="159"/>
      <c r="Z670" s="159"/>
    </row>
    <row r="671">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c r="X671" s="159"/>
      <c r="Y671" s="159"/>
      <c r="Z671" s="159"/>
    </row>
    <row r="672">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c r="X672" s="159"/>
      <c r="Y672" s="159"/>
      <c r="Z672" s="159"/>
    </row>
    <row r="673">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c r="X673" s="159"/>
      <c r="Y673" s="159"/>
      <c r="Z673" s="159"/>
    </row>
    <row r="674">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c r="X674" s="159"/>
      <c r="Y674" s="159"/>
      <c r="Z674" s="159"/>
    </row>
    <row r="6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c r="X675" s="159"/>
      <c r="Y675" s="159"/>
      <c r="Z675" s="159"/>
    </row>
    <row r="676">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c r="X676" s="159"/>
      <c r="Y676" s="159"/>
      <c r="Z676" s="159"/>
    </row>
    <row r="677">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c r="X677" s="159"/>
      <c r="Y677" s="159"/>
      <c r="Z677" s="159"/>
    </row>
    <row r="678">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c r="X678" s="159"/>
      <c r="Y678" s="159"/>
      <c r="Z678" s="159"/>
    </row>
    <row r="679">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c r="X679" s="159"/>
      <c r="Y679" s="159"/>
      <c r="Z679" s="159"/>
    </row>
    <row r="680">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c r="X680" s="159"/>
      <c r="Y680" s="159"/>
      <c r="Z680" s="159"/>
    </row>
    <row r="681">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c r="X681" s="159"/>
      <c r="Y681" s="159"/>
      <c r="Z681" s="159"/>
    </row>
    <row r="682">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c r="X682" s="159"/>
      <c r="Y682" s="159"/>
      <c r="Z682" s="159"/>
    </row>
    <row r="683">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c r="X683" s="159"/>
      <c r="Y683" s="159"/>
      <c r="Z683" s="159"/>
    </row>
    <row r="684">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c r="X684" s="159"/>
      <c r="Y684" s="159"/>
      <c r="Z684" s="159"/>
    </row>
    <row r="68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c r="X685" s="159"/>
      <c r="Y685" s="159"/>
      <c r="Z685" s="159"/>
    </row>
    <row r="686">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c r="X686" s="159"/>
      <c r="Y686" s="159"/>
      <c r="Z686" s="159"/>
    </row>
    <row r="687">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c r="X687" s="159"/>
      <c r="Y687" s="159"/>
      <c r="Z687" s="159"/>
    </row>
    <row r="688">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c r="X688" s="159"/>
      <c r="Y688" s="159"/>
      <c r="Z688" s="159"/>
    </row>
    <row r="689">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c r="X689" s="159"/>
      <c r="Y689" s="159"/>
      <c r="Z689" s="159"/>
    </row>
    <row r="690">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c r="X690" s="159"/>
      <c r="Y690" s="159"/>
      <c r="Z690" s="159"/>
    </row>
    <row r="691">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c r="X691" s="159"/>
      <c r="Y691" s="159"/>
      <c r="Z691" s="159"/>
    </row>
    <row r="692">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c r="X692" s="159"/>
      <c r="Y692" s="159"/>
      <c r="Z692" s="159"/>
    </row>
    <row r="693">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c r="X693" s="159"/>
      <c r="Y693" s="159"/>
      <c r="Z693" s="159"/>
    </row>
    <row r="694">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c r="X694" s="159"/>
      <c r="Y694" s="159"/>
      <c r="Z694" s="159"/>
    </row>
    <row r="69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c r="X695" s="159"/>
      <c r="Y695" s="159"/>
      <c r="Z695" s="159"/>
    </row>
    <row r="696">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c r="X696" s="159"/>
      <c r="Y696" s="159"/>
      <c r="Z696" s="159"/>
    </row>
    <row r="697">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c r="X697" s="159"/>
      <c r="Y697" s="159"/>
      <c r="Z697" s="159"/>
    </row>
    <row r="698">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c r="X698" s="159"/>
      <c r="Y698" s="159"/>
      <c r="Z698" s="159"/>
    </row>
    <row r="699">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c r="X699" s="159"/>
      <c r="Y699" s="159"/>
      <c r="Z699" s="159"/>
    </row>
    <row r="700">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c r="X700" s="159"/>
      <c r="Y700" s="159"/>
      <c r="Z700" s="159"/>
    </row>
    <row r="701">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c r="X701" s="159"/>
      <c r="Y701" s="159"/>
      <c r="Z701" s="159"/>
    </row>
    <row r="702">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c r="X702" s="159"/>
      <c r="Y702" s="159"/>
      <c r="Z702" s="159"/>
    </row>
    <row r="703">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c r="X703" s="159"/>
      <c r="Y703" s="159"/>
      <c r="Z703" s="159"/>
    </row>
    <row r="704">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c r="X704" s="159"/>
      <c r="Y704" s="159"/>
      <c r="Z704" s="159"/>
    </row>
    <row r="70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c r="X705" s="159"/>
      <c r="Y705" s="159"/>
      <c r="Z705" s="159"/>
    </row>
    <row r="706">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c r="X706" s="159"/>
      <c r="Y706" s="159"/>
      <c r="Z706" s="159"/>
    </row>
    <row r="707">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c r="X707" s="159"/>
      <c r="Y707" s="159"/>
      <c r="Z707" s="159"/>
    </row>
    <row r="708">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c r="X708" s="159"/>
      <c r="Y708" s="159"/>
      <c r="Z708" s="159"/>
    </row>
    <row r="709">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c r="X709" s="159"/>
      <c r="Y709" s="159"/>
      <c r="Z709" s="159"/>
    </row>
    <row r="710">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c r="X710" s="159"/>
      <c r="Y710" s="159"/>
      <c r="Z710" s="159"/>
    </row>
    <row r="711">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c r="X711" s="159"/>
      <c r="Y711" s="159"/>
      <c r="Z711" s="159"/>
    </row>
    <row r="712">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c r="X712" s="159"/>
      <c r="Y712" s="159"/>
      <c r="Z712" s="159"/>
    </row>
    <row r="713">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c r="X713" s="159"/>
      <c r="Y713" s="159"/>
      <c r="Z713" s="159"/>
    </row>
    <row r="714">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c r="X714" s="159"/>
      <c r="Y714" s="159"/>
      <c r="Z714" s="159"/>
    </row>
    <row r="71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c r="X715" s="159"/>
      <c r="Y715" s="159"/>
      <c r="Z715" s="159"/>
    </row>
    <row r="716">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c r="X716" s="159"/>
      <c r="Y716" s="159"/>
      <c r="Z716" s="159"/>
    </row>
    <row r="717">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c r="X717" s="159"/>
      <c r="Y717" s="159"/>
      <c r="Z717" s="159"/>
    </row>
    <row r="718">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c r="X718" s="159"/>
      <c r="Y718" s="159"/>
      <c r="Z718" s="159"/>
    </row>
    <row r="719">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c r="X719" s="159"/>
      <c r="Y719" s="159"/>
      <c r="Z719" s="159"/>
    </row>
    <row r="720">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c r="X720" s="159"/>
      <c r="Y720" s="159"/>
      <c r="Z720" s="159"/>
    </row>
    <row r="721">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c r="X721" s="159"/>
      <c r="Y721" s="159"/>
      <c r="Z721" s="159"/>
    </row>
    <row r="722">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c r="X722" s="159"/>
      <c r="Y722" s="159"/>
      <c r="Z722" s="159"/>
    </row>
    <row r="723">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c r="X723" s="159"/>
      <c r="Y723" s="159"/>
      <c r="Z723" s="159"/>
    </row>
    <row r="724">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c r="X724" s="159"/>
      <c r="Y724" s="159"/>
      <c r="Z724" s="159"/>
    </row>
    <row r="72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c r="X725" s="159"/>
      <c r="Y725" s="159"/>
      <c r="Z725" s="159"/>
    </row>
    <row r="726">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c r="X726" s="159"/>
      <c r="Y726" s="159"/>
      <c r="Z726" s="159"/>
    </row>
    <row r="727">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c r="X727" s="159"/>
      <c r="Y727" s="159"/>
      <c r="Z727" s="159"/>
    </row>
    <row r="728">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c r="X728" s="159"/>
      <c r="Y728" s="159"/>
      <c r="Z728" s="159"/>
    </row>
    <row r="729">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c r="X729" s="159"/>
      <c r="Y729" s="159"/>
      <c r="Z729" s="159"/>
    </row>
    <row r="730">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c r="X730" s="159"/>
      <c r="Y730" s="159"/>
      <c r="Z730" s="159"/>
    </row>
    <row r="731">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c r="X731" s="159"/>
      <c r="Y731" s="159"/>
      <c r="Z731" s="159"/>
    </row>
    <row r="732">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c r="X732" s="159"/>
      <c r="Y732" s="159"/>
      <c r="Z732" s="159"/>
    </row>
    <row r="733">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c r="X733" s="159"/>
      <c r="Y733" s="159"/>
      <c r="Z733" s="159"/>
    </row>
    <row r="734">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c r="X734" s="159"/>
      <c r="Y734" s="159"/>
      <c r="Z734" s="159"/>
    </row>
    <row r="73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c r="X735" s="159"/>
      <c r="Y735" s="159"/>
      <c r="Z735" s="159"/>
    </row>
    <row r="736">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c r="X736" s="159"/>
      <c r="Y736" s="159"/>
      <c r="Z736" s="159"/>
    </row>
    <row r="737">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c r="X737" s="159"/>
      <c r="Y737" s="159"/>
      <c r="Z737" s="159"/>
    </row>
    <row r="738">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c r="X738" s="159"/>
      <c r="Y738" s="159"/>
      <c r="Z738" s="159"/>
    </row>
    <row r="739">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c r="X739" s="159"/>
      <c r="Y739" s="159"/>
      <c r="Z739" s="159"/>
    </row>
    <row r="740">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c r="X740" s="159"/>
      <c r="Y740" s="159"/>
      <c r="Z740" s="159"/>
    </row>
    <row r="741">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c r="X741" s="159"/>
      <c r="Y741" s="159"/>
      <c r="Z741" s="159"/>
    </row>
    <row r="742">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c r="X742" s="159"/>
      <c r="Y742" s="159"/>
      <c r="Z742" s="159"/>
    </row>
    <row r="743">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c r="X743" s="159"/>
      <c r="Y743" s="159"/>
      <c r="Z743" s="159"/>
    </row>
    <row r="744">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c r="X744" s="159"/>
      <c r="Y744" s="159"/>
      <c r="Z744" s="159"/>
    </row>
    <row r="74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c r="X745" s="159"/>
      <c r="Y745" s="159"/>
      <c r="Z745" s="159"/>
    </row>
    <row r="746">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c r="X746" s="159"/>
      <c r="Y746" s="159"/>
      <c r="Z746" s="159"/>
    </row>
    <row r="747">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c r="X747" s="159"/>
      <c r="Y747" s="159"/>
      <c r="Z747" s="159"/>
    </row>
    <row r="748">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c r="X748" s="159"/>
      <c r="Y748" s="159"/>
      <c r="Z748" s="159"/>
    </row>
    <row r="749">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c r="X749" s="159"/>
      <c r="Y749" s="159"/>
      <c r="Z749" s="159"/>
    </row>
    <row r="750">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c r="X750" s="159"/>
      <c r="Y750" s="159"/>
      <c r="Z750" s="159"/>
    </row>
    <row r="751">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c r="X751" s="159"/>
      <c r="Y751" s="159"/>
      <c r="Z751" s="159"/>
    </row>
    <row r="752">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c r="X752" s="159"/>
      <c r="Y752" s="159"/>
      <c r="Z752" s="159"/>
    </row>
    <row r="753">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c r="X753" s="159"/>
      <c r="Y753" s="159"/>
      <c r="Z753" s="159"/>
    </row>
    <row r="754">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c r="X754" s="159"/>
      <c r="Y754" s="159"/>
      <c r="Z754" s="159"/>
    </row>
    <row r="75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c r="X755" s="159"/>
      <c r="Y755" s="159"/>
      <c r="Z755" s="159"/>
    </row>
    <row r="756">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c r="X756" s="159"/>
      <c r="Y756" s="159"/>
      <c r="Z756" s="159"/>
    </row>
    <row r="757">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c r="X757" s="159"/>
      <c r="Y757" s="159"/>
      <c r="Z757" s="159"/>
    </row>
    <row r="758">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c r="X758" s="159"/>
      <c r="Y758" s="159"/>
      <c r="Z758" s="159"/>
    </row>
    <row r="759">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c r="X759" s="159"/>
      <c r="Y759" s="159"/>
      <c r="Z759" s="159"/>
    </row>
    <row r="760">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c r="X760" s="159"/>
      <c r="Y760" s="159"/>
      <c r="Z760" s="159"/>
    </row>
    <row r="761">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c r="X761" s="159"/>
      <c r="Y761" s="159"/>
      <c r="Z761" s="159"/>
    </row>
    <row r="762">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c r="X762" s="159"/>
      <c r="Y762" s="159"/>
      <c r="Z762" s="159"/>
    </row>
    <row r="763">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c r="X763" s="159"/>
      <c r="Y763" s="159"/>
      <c r="Z763" s="159"/>
    </row>
    <row r="764">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c r="X764" s="159"/>
      <c r="Y764" s="159"/>
      <c r="Z764" s="159"/>
    </row>
    <row r="76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c r="X765" s="159"/>
      <c r="Y765" s="159"/>
      <c r="Z765" s="159"/>
    </row>
    <row r="766">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c r="X766" s="159"/>
      <c r="Y766" s="159"/>
      <c r="Z766" s="159"/>
    </row>
    <row r="767">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c r="X767" s="159"/>
      <c r="Y767" s="159"/>
      <c r="Z767" s="159"/>
    </row>
    <row r="768">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c r="X768" s="159"/>
      <c r="Y768" s="159"/>
      <c r="Z768" s="159"/>
    </row>
    <row r="769">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c r="X769" s="159"/>
      <c r="Y769" s="159"/>
      <c r="Z769" s="159"/>
    </row>
    <row r="770">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c r="X770" s="159"/>
      <c r="Y770" s="159"/>
      <c r="Z770" s="159"/>
    </row>
    <row r="771">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c r="X771" s="159"/>
      <c r="Y771" s="159"/>
      <c r="Z771" s="159"/>
    </row>
    <row r="772">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c r="X772" s="159"/>
      <c r="Y772" s="159"/>
      <c r="Z772" s="159"/>
    </row>
    <row r="773">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c r="X773" s="159"/>
      <c r="Y773" s="159"/>
      <c r="Z773" s="159"/>
    </row>
    <row r="774">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c r="X774" s="159"/>
      <c r="Y774" s="159"/>
      <c r="Z774" s="159"/>
    </row>
    <row r="7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c r="X775" s="159"/>
      <c r="Y775" s="159"/>
      <c r="Z775" s="159"/>
    </row>
    <row r="776">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c r="X776" s="159"/>
      <c r="Y776" s="159"/>
      <c r="Z776" s="159"/>
    </row>
    <row r="777">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c r="X777" s="159"/>
      <c r="Y777" s="159"/>
      <c r="Z777" s="159"/>
    </row>
    <row r="778">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c r="X778" s="159"/>
      <c r="Y778" s="159"/>
      <c r="Z778" s="159"/>
    </row>
    <row r="779">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c r="X779" s="159"/>
      <c r="Y779" s="159"/>
      <c r="Z779" s="159"/>
    </row>
    <row r="780">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c r="X780" s="159"/>
      <c r="Y780" s="159"/>
      <c r="Z780" s="159"/>
    </row>
    <row r="781">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c r="X781" s="159"/>
      <c r="Y781" s="159"/>
      <c r="Z781" s="159"/>
    </row>
    <row r="782">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c r="X782" s="159"/>
      <c r="Y782" s="159"/>
      <c r="Z782" s="159"/>
    </row>
    <row r="783">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c r="X783" s="159"/>
      <c r="Y783" s="159"/>
      <c r="Z783" s="159"/>
    </row>
    <row r="784">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c r="X784" s="159"/>
      <c r="Y784" s="159"/>
      <c r="Z784" s="159"/>
    </row>
    <row r="78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c r="X785" s="159"/>
      <c r="Y785" s="159"/>
      <c r="Z785" s="159"/>
    </row>
    <row r="786">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c r="X786" s="159"/>
      <c r="Y786" s="159"/>
      <c r="Z786" s="159"/>
    </row>
    <row r="787">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c r="X787" s="159"/>
      <c r="Y787" s="159"/>
      <c r="Z787" s="159"/>
    </row>
    <row r="788">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c r="X788" s="159"/>
      <c r="Y788" s="159"/>
      <c r="Z788" s="159"/>
    </row>
    <row r="789">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c r="X789" s="159"/>
      <c r="Y789" s="159"/>
      <c r="Z789" s="159"/>
    </row>
    <row r="790">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c r="X790" s="159"/>
      <c r="Y790" s="159"/>
      <c r="Z790" s="159"/>
    </row>
    <row r="791">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c r="X791" s="159"/>
      <c r="Y791" s="159"/>
      <c r="Z791" s="159"/>
    </row>
    <row r="792">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c r="X792" s="159"/>
      <c r="Y792" s="159"/>
      <c r="Z792" s="159"/>
    </row>
    <row r="793">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c r="X793" s="159"/>
      <c r="Y793" s="159"/>
      <c r="Z793" s="159"/>
    </row>
    <row r="794">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c r="X794" s="159"/>
      <c r="Y794" s="159"/>
      <c r="Z794" s="159"/>
    </row>
    <row r="79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c r="X795" s="159"/>
      <c r="Y795" s="159"/>
      <c r="Z795" s="159"/>
    </row>
    <row r="796">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c r="X796" s="159"/>
      <c r="Y796" s="159"/>
      <c r="Z796" s="159"/>
    </row>
    <row r="797">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c r="X797" s="159"/>
      <c r="Y797" s="159"/>
      <c r="Z797" s="159"/>
    </row>
    <row r="798">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c r="X798" s="159"/>
      <c r="Y798" s="159"/>
      <c r="Z798" s="159"/>
    </row>
    <row r="799">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c r="X799" s="159"/>
      <c r="Y799" s="159"/>
      <c r="Z799" s="159"/>
    </row>
    <row r="800">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c r="X800" s="159"/>
      <c r="Y800" s="159"/>
      <c r="Z800" s="159"/>
    </row>
    <row r="801">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c r="X801" s="159"/>
      <c r="Y801" s="159"/>
      <c r="Z801" s="159"/>
    </row>
    <row r="802">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c r="X802" s="159"/>
      <c r="Y802" s="159"/>
      <c r="Z802" s="159"/>
    </row>
    <row r="803">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c r="X803" s="159"/>
      <c r="Y803" s="159"/>
      <c r="Z803" s="159"/>
    </row>
    <row r="804">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c r="X804" s="159"/>
      <c r="Y804" s="159"/>
      <c r="Z804" s="159"/>
    </row>
    <row r="80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c r="X805" s="159"/>
      <c r="Y805" s="159"/>
      <c r="Z805" s="159"/>
    </row>
    <row r="806">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c r="X806" s="159"/>
      <c r="Y806" s="159"/>
      <c r="Z806" s="159"/>
    </row>
    <row r="807">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c r="X807" s="159"/>
      <c r="Y807" s="159"/>
      <c r="Z807" s="159"/>
    </row>
    <row r="808">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c r="X808" s="159"/>
      <c r="Y808" s="159"/>
      <c r="Z808" s="159"/>
    </row>
    <row r="809">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c r="X809" s="159"/>
      <c r="Y809" s="159"/>
      <c r="Z809" s="159"/>
    </row>
    <row r="810">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c r="X810" s="159"/>
      <c r="Y810" s="159"/>
      <c r="Z810" s="159"/>
    </row>
    <row r="811">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c r="X811" s="159"/>
      <c r="Y811" s="159"/>
      <c r="Z811" s="159"/>
    </row>
    <row r="812">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c r="X812" s="159"/>
      <c r="Y812" s="159"/>
      <c r="Z812" s="159"/>
    </row>
    <row r="813">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c r="X813" s="159"/>
      <c r="Y813" s="159"/>
      <c r="Z813" s="159"/>
    </row>
    <row r="814">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c r="X814" s="159"/>
      <c r="Y814" s="159"/>
      <c r="Z814" s="159"/>
    </row>
    <row r="81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c r="X815" s="159"/>
      <c r="Y815" s="159"/>
      <c r="Z815" s="159"/>
    </row>
    <row r="816">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c r="X816" s="159"/>
      <c r="Y816" s="159"/>
      <c r="Z816" s="159"/>
    </row>
    <row r="817">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c r="X817" s="159"/>
      <c r="Y817" s="159"/>
      <c r="Z817" s="159"/>
    </row>
    <row r="818">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c r="X818" s="159"/>
      <c r="Y818" s="159"/>
      <c r="Z818" s="159"/>
    </row>
    <row r="819">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c r="X819" s="159"/>
      <c r="Y819" s="159"/>
      <c r="Z819" s="159"/>
    </row>
    <row r="820">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c r="X820" s="159"/>
      <c r="Y820" s="159"/>
      <c r="Z820" s="159"/>
    </row>
    <row r="821">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c r="X821" s="159"/>
      <c r="Y821" s="159"/>
      <c r="Z821" s="159"/>
    </row>
    <row r="822">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c r="X822" s="159"/>
      <c r="Y822" s="159"/>
      <c r="Z822" s="159"/>
    </row>
    <row r="823">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c r="X823" s="159"/>
      <c r="Y823" s="159"/>
      <c r="Z823" s="159"/>
    </row>
    <row r="824">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c r="X824" s="159"/>
      <c r="Y824" s="159"/>
      <c r="Z824" s="159"/>
    </row>
    <row r="82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c r="X825" s="159"/>
      <c r="Y825" s="159"/>
      <c r="Z825" s="159"/>
    </row>
    <row r="826">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c r="X826" s="159"/>
      <c r="Y826" s="159"/>
      <c r="Z826" s="159"/>
    </row>
    <row r="827">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c r="X827" s="159"/>
      <c r="Y827" s="159"/>
      <c r="Z827" s="159"/>
    </row>
    <row r="828">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c r="X828" s="159"/>
      <c r="Y828" s="159"/>
      <c r="Z828" s="159"/>
    </row>
    <row r="829">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c r="X829" s="159"/>
      <c r="Y829" s="159"/>
      <c r="Z829" s="159"/>
    </row>
    <row r="830">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c r="X830" s="159"/>
      <c r="Y830" s="159"/>
      <c r="Z830" s="159"/>
    </row>
    <row r="831">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c r="X831" s="159"/>
      <c r="Y831" s="159"/>
      <c r="Z831" s="159"/>
    </row>
    <row r="832">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c r="X832" s="159"/>
      <c r="Y832" s="159"/>
      <c r="Z832" s="159"/>
    </row>
    <row r="833">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c r="X833" s="159"/>
      <c r="Y833" s="159"/>
      <c r="Z833" s="159"/>
    </row>
    <row r="834">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c r="X834" s="159"/>
      <c r="Y834" s="159"/>
      <c r="Z834" s="159"/>
    </row>
    <row r="83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c r="X835" s="159"/>
      <c r="Y835" s="159"/>
      <c r="Z835" s="159"/>
    </row>
    <row r="836">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c r="X836" s="159"/>
      <c r="Y836" s="159"/>
      <c r="Z836" s="159"/>
    </row>
    <row r="837">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c r="X837" s="159"/>
      <c r="Y837" s="159"/>
      <c r="Z837" s="159"/>
    </row>
    <row r="838">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c r="X838" s="159"/>
      <c r="Y838" s="159"/>
      <c r="Z838" s="159"/>
    </row>
    <row r="839">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c r="X839" s="159"/>
      <c r="Y839" s="159"/>
      <c r="Z839" s="159"/>
    </row>
    <row r="840">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c r="X840" s="159"/>
      <c r="Y840" s="159"/>
      <c r="Z840" s="159"/>
    </row>
    <row r="841">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c r="X841" s="159"/>
      <c r="Y841" s="159"/>
      <c r="Z841" s="159"/>
    </row>
    <row r="842">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c r="X842" s="159"/>
      <c r="Y842" s="159"/>
      <c r="Z842" s="159"/>
    </row>
    <row r="843">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c r="X843" s="159"/>
      <c r="Y843" s="159"/>
      <c r="Z843" s="159"/>
    </row>
    <row r="844">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c r="X844" s="159"/>
      <c r="Y844" s="159"/>
      <c r="Z844" s="159"/>
    </row>
    <row r="84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c r="X845" s="159"/>
      <c r="Y845" s="159"/>
      <c r="Z845" s="159"/>
    </row>
    <row r="846">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c r="X846" s="159"/>
      <c r="Y846" s="159"/>
      <c r="Z846" s="159"/>
    </row>
    <row r="847">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c r="X847" s="159"/>
      <c r="Y847" s="159"/>
      <c r="Z847" s="159"/>
    </row>
    <row r="848">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c r="X848" s="159"/>
      <c r="Y848" s="159"/>
      <c r="Z848" s="159"/>
    </row>
    <row r="849">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c r="X849" s="159"/>
      <c r="Y849" s="159"/>
      <c r="Z849" s="159"/>
    </row>
    <row r="850">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c r="X850" s="159"/>
      <c r="Y850" s="159"/>
      <c r="Z850" s="159"/>
    </row>
    <row r="851">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c r="X851" s="159"/>
      <c r="Y851" s="159"/>
      <c r="Z851" s="159"/>
    </row>
    <row r="852">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c r="X852" s="159"/>
      <c r="Y852" s="159"/>
      <c r="Z852" s="159"/>
    </row>
    <row r="853">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c r="X853" s="159"/>
      <c r="Y853" s="159"/>
      <c r="Z853" s="159"/>
    </row>
    <row r="854">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c r="X854" s="159"/>
      <c r="Y854" s="159"/>
      <c r="Z854" s="159"/>
    </row>
    <row r="85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c r="X855" s="159"/>
      <c r="Y855" s="159"/>
      <c r="Z855" s="159"/>
    </row>
    <row r="856">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c r="X856" s="159"/>
      <c r="Y856" s="159"/>
      <c r="Z856" s="159"/>
    </row>
    <row r="857">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c r="X857" s="159"/>
      <c r="Y857" s="159"/>
      <c r="Z857" s="159"/>
    </row>
    <row r="858">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c r="X858" s="159"/>
      <c r="Y858" s="159"/>
      <c r="Z858" s="159"/>
    </row>
    <row r="859">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c r="X859" s="159"/>
      <c r="Y859" s="159"/>
      <c r="Z859" s="159"/>
    </row>
    <row r="860">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c r="X860" s="159"/>
      <c r="Y860" s="159"/>
      <c r="Z860" s="159"/>
    </row>
    <row r="861">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c r="X861" s="159"/>
      <c r="Y861" s="159"/>
      <c r="Z861" s="159"/>
    </row>
    <row r="862">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c r="X862" s="159"/>
      <c r="Y862" s="159"/>
      <c r="Z862" s="159"/>
    </row>
    <row r="863">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c r="X863" s="159"/>
      <c r="Y863" s="159"/>
      <c r="Z863" s="159"/>
    </row>
    <row r="864">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c r="X864" s="159"/>
      <c r="Y864" s="159"/>
      <c r="Z864" s="159"/>
    </row>
    <row r="86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c r="X865" s="159"/>
      <c r="Y865" s="159"/>
      <c r="Z865" s="159"/>
    </row>
    <row r="866">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c r="X866" s="159"/>
      <c r="Y866" s="159"/>
      <c r="Z866" s="159"/>
    </row>
    <row r="867">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c r="X867" s="159"/>
      <c r="Y867" s="159"/>
      <c r="Z867" s="159"/>
    </row>
    <row r="868">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c r="X868" s="159"/>
      <c r="Y868" s="159"/>
      <c r="Z868" s="159"/>
    </row>
    <row r="869">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c r="X869" s="159"/>
      <c r="Y869" s="159"/>
      <c r="Z869" s="159"/>
    </row>
    <row r="870">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c r="X870" s="159"/>
      <c r="Y870" s="159"/>
      <c r="Z870" s="159"/>
    </row>
    <row r="871">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c r="X871" s="159"/>
      <c r="Y871" s="159"/>
      <c r="Z871" s="159"/>
    </row>
    <row r="872">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c r="X872" s="159"/>
      <c r="Y872" s="159"/>
      <c r="Z872" s="159"/>
    </row>
    <row r="873">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c r="X873" s="159"/>
      <c r="Y873" s="159"/>
      <c r="Z873" s="159"/>
    </row>
    <row r="874">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c r="X874" s="159"/>
      <c r="Y874" s="159"/>
      <c r="Z874" s="159"/>
    </row>
    <row r="8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c r="X875" s="159"/>
      <c r="Y875" s="159"/>
      <c r="Z875" s="159"/>
    </row>
    <row r="876">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c r="X876" s="159"/>
      <c r="Y876" s="159"/>
      <c r="Z876" s="159"/>
    </row>
    <row r="877">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c r="X877" s="159"/>
      <c r="Y877" s="159"/>
      <c r="Z877" s="159"/>
    </row>
    <row r="878">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c r="X878" s="159"/>
      <c r="Y878" s="159"/>
      <c r="Z878" s="159"/>
    </row>
    <row r="879">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c r="X879" s="159"/>
      <c r="Y879" s="159"/>
      <c r="Z879" s="159"/>
    </row>
    <row r="880">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c r="X880" s="159"/>
      <c r="Y880" s="159"/>
      <c r="Z880" s="159"/>
    </row>
    <row r="881">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c r="X881" s="159"/>
      <c r="Y881" s="159"/>
      <c r="Z881" s="159"/>
    </row>
    <row r="882">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c r="X882" s="159"/>
      <c r="Y882" s="159"/>
      <c r="Z882" s="159"/>
    </row>
    <row r="883">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c r="X883" s="159"/>
      <c r="Y883" s="159"/>
      <c r="Z883" s="159"/>
    </row>
    <row r="884">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c r="X884" s="159"/>
      <c r="Y884" s="159"/>
      <c r="Z884" s="159"/>
    </row>
    <row r="88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c r="X885" s="159"/>
      <c r="Y885" s="159"/>
      <c r="Z885" s="159"/>
    </row>
    <row r="886">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c r="X886" s="159"/>
      <c r="Y886" s="159"/>
      <c r="Z886" s="159"/>
    </row>
    <row r="887">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c r="X887" s="159"/>
      <c r="Y887" s="159"/>
      <c r="Z887" s="159"/>
    </row>
    <row r="888">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c r="X888" s="159"/>
      <c r="Y888" s="159"/>
      <c r="Z888" s="159"/>
    </row>
    <row r="889">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c r="X889" s="159"/>
      <c r="Y889" s="159"/>
      <c r="Z889" s="159"/>
    </row>
    <row r="890">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c r="X890" s="159"/>
      <c r="Y890" s="159"/>
      <c r="Z890" s="159"/>
    </row>
    <row r="891">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c r="X891" s="159"/>
      <c r="Y891" s="159"/>
      <c r="Z891" s="159"/>
    </row>
    <row r="892">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c r="X892" s="159"/>
      <c r="Y892" s="159"/>
      <c r="Z892" s="159"/>
    </row>
    <row r="893">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c r="X893" s="159"/>
      <c r="Y893" s="159"/>
      <c r="Z893" s="159"/>
    </row>
    <row r="894">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c r="X894" s="159"/>
      <c r="Y894" s="159"/>
      <c r="Z894" s="159"/>
    </row>
    <row r="89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c r="X895" s="159"/>
      <c r="Y895" s="159"/>
      <c r="Z895" s="159"/>
    </row>
    <row r="896">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c r="X896" s="159"/>
      <c r="Y896" s="159"/>
      <c r="Z896" s="159"/>
    </row>
    <row r="897">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c r="X897" s="159"/>
      <c r="Y897" s="159"/>
      <c r="Z897" s="159"/>
    </row>
    <row r="898">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c r="X898" s="159"/>
      <c r="Y898" s="159"/>
      <c r="Z898" s="159"/>
    </row>
    <row r="899">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c r="X899" s="159"/>
      <c r="Y899" s="159"/>
      <c r="Z899" s="159"/>
    </row>
    <row r="900">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c r="X900" s="159"/>
      <c r="Y900" s="159"/>
      <c r="Z900" s="159"/>
    </row>
    <row r="901">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c r="X901" s="159"/>
      <c r="Y901" s="159"/>
      <c r="Z901" s="159"/>
    </row>
    <row r="902">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c r="X902" s="159"/>
      <c r="Y902" s="159"/>
      <c r="Z902" s="159"/>
    </row>
    <row r="903">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c r="X903" s="159"/>
      <c r="Y903" s="159"/>
      <c r="Z903" s="159"/>
    </row>
    <row r="904">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c r="X904" s="159"/>
      <c r="Y904" s="159"/>
      <c r="Z904" s="159"/>
    </row>
    <row r="90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c r="X905" s="159"/>
      <c r="Y905" s="159"/>
      <c r="Z905" s="159"/>
    </row>
    <row r="906">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c r="X906" s="159"/>
      <c r="Y906" s="159"/>
      <c r="Z906" s="159"/>
    </row>
    <row r="907">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c r="X907" s="159"/>
      <c r="Y907" s="159"/>
      <c r="Z907" s="159"/>
    </row>
    <row r="908">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c r="X908" s="159"/>
      <c r="Y908" s="159"/>
      <c r="Z908" s="159"/>
    </row>
    <row r="909">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c r="X909" s="159"/>
      <c r="Y909" s="159"/>
      <c r="Z909" s="159"/>
    </row>
    <row r="910">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c r="X910" s="159"/>
      <c r="Y910" s="159"/>
      <c r="Z910" s="159"/>
    </row>
    <row r="911">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c r="X911" s="159"/>
      <c r="Y911" s="159"/>
      <c r="Z911" s="159"/>
    </row>
    <row r="912">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c r="X912" s="159"/>
      <c r="Y912" s="159"/>
      <c r="Z912" s="159"/>
    </row>
    <row r="913">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c r="X913" s="159"/>
      <c r="Y913" s="159"/>
      <c r="Z913" s="159"/>
    </row>
    <row r="914">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c r="X914" s="159"/>
      <c r="Y914" s="159"/>
      <c r="Z914" s="159"/>
    </row>
    <row r="91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c r="X915" s="159"/>
      <c r="Y915" s="159"/>
      <c r="Z915" s="159"/>
    </row>
    <row r="916">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c r="X916" s="159"/>
      <c r="Y916" s="159"/>
      <c r="Z916" s="159"/>
    </row>
    <row r="917">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c r="X917" s="159"/>
      <c r="Y917" s="159"/>
      <c r="Z917" s="159"/>
    </row>
    <row r="918">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c r="X918" s="159"/>
      <c r="Y918" s="159"/>
      <c r="Z918" s="159"/>
    </row>
    <row r="919">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c r="X919" s="159"/>
      <c r="Y919" s="159"/>
      <c r="Z919" s="159"/>
    </row>
    <row r="920">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c r="X920" s="159"/>
      <c r="Y920" s="159"/>
      <c r="Z920" s="159"/>
    </row>
    <row r="921">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c r="X921" s="159"/>
      <c r="Y921" s="159"/>
      <c r="Z921" s="159"/>
    </row>
    <row r="922">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c r="X922" s="159"/>
      <c r="Y922" s="159"/>
      <c r="Z922" s="159"/>
    </row>
    <row r="923">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c r="X923" s="159"/>
      <c r="Y923" s="159"/>
      <c r="Z923" s="159"/>
    </row>
    <row r="924">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c r="X924" s="159"/>
      <c r="Y924" s="159"/>
      <c r="Z924" s="159"/>
    </row>
    <row r="92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c r="X925" s="159"/>
      <c r="Y925" s="159"/>
      <c r="Z925" s="159"/>
    </row>
    <row r="926">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c r="X926" s="159"/>
      <c r="Y926" s="159"/>
      <c r="Z926" s="159"/>
    </row>
    <row r="927">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c r="X927" s="159"/>
      <c r="Y927" s="159"/>
      <c r="Z927" s="159"/>
    </row>
    <row r="928">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c r="X928" s="159"/>
      <c r="Y928" s="159"/>
      <c r="Z928" s="159"/>
    </row>
    <row r="929">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c r="X929" s="159"/>
      <c r="Y929" s="159"/>
      <c r="Z929" s="159"/>
    </row>
    <row r="930">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c r="X930" s="159"/>
      <c r="Y930" s="159"/>
      <c r="Z930" s="159"/>
    </row>
    <row r="931">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c r="X931" s="159"/>
      <c r="Y931" s="159"/>
      <c r="Z931" s="159"/>
    </row>
    <row r="932">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c r="X932" s="159"/>
      <c r="Y932" s="159"/>
      <c r="Z932" s="159"/>
    </row>
    <row r="933">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c r="X933" s="159"/>
      <c r="Y933" s="159"/>
      <c r="Z933" s="159"/>
    </row>
    <row r="934">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c r="X934" s="159"/>
      <c r="Y934" s="159"/>
      <c r="Z934" s="159"/>
    </row>
    <row r="93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c r="X935" s="159"/>
      <c r="Y935" s="159"/>
      <c r="Z935" s="159"/>
    </row>
    <row r="936">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c r="X936" s="159"/>
      <c r="Y936" s="159"/>
      <c r="Z936" s="159"/>
    </row>
    <row r="937">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c r="X937" s="159"/>
      <c r="Y937" s="159"/>
      <c r="Z937" s="159"/>
    </row>
    <row r="938">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c r="X938" s="159"/>
      <c r="Y938" s="159"/>
      <c r="Z938" s="159"/>
    </row>
    <row r="939">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c r="X939" s="159"/>
      <c r="Y939" s="159"/>
      <c r="Z939" s="159"/>
    </row>
    <row r="940">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c r="X940" s="159"/>
      <c r="Y940" s="159"/>
      <c r="Z940" s="159"/>
    </row>
    <row r="941">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c r="X941" s="159"/>
      <c r="Y941" s="159"/>
      <c r="Z941" s="159"/>
    </row>
    <row r="942">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c r="X942" s="159"/>
      <c r="Y942" s="159"/>
      <c r="Z942" s="159"/>
    </row>
    <row r="943">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c r="X943" s="159"/>
      <c r="Y943" s="159"/>
      <c r="Z943" s="159"/>
    </row>
    <row r="944">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c r="X944" s="159"/>
      <c r="Y944" s="159"/>
      <c r="Z944" s="159"/>
    </row>
    <row r="94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c r="X945" s="159"/>
      <c r="Y945" s="159"/>
      <c r="Z945" s="159"/>
    </row>
    <row r="946">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c r="X946" s="159"/>
      <c r="Y946" s="159"/>
      <c r="Z946" s="159"/>
    </row>
    <row r="947">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c r="X947" s="159"/>
      <c r="Y947" s="159"/>
      <c r="Z947" s="159"/>
    </row>
    <row r="948">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c r="X948" s="159"/>
      <c r="Y948" s="159"/>
      <c r="Z948" s="159"/>
    </row>
    <row r="949">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c r="X949" s="159"/>
      <c r="Y949" s="159"/>
      <c r="Z949" s="159"/>
    </row>
    <row r="950">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c r="X950" s="159"/>
      <c r="Y950" s="159"/>
      <c r="Z950" s="159"/>
    </row>
    <row r="951">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c r="X951" s="159"/>
      <c r="Y951" s="159"/>
      <c r="Z951" s="159"/>
    </row>
    <row r="952">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c r="X952" s="159"/>
      <c r="Y952" s="159"/>
      <c r="Z952" s="159"/>
    </row>
    <row r="953">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c r="X953" s="159"/>
      <c r="Y953" s="159"/>
      <c r="Z953" s="159"/>
    </row>
    <row r="954">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c r="X954" s="159"/>
      <c r="Y954" s="159"/>
      <c r="Z954" s="159"/>
    </row>
    <row r="95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c r="X955" s="159"/>
      <c r="Y955" s="159"/>
      <c r="Z955" s="159"/>
    </row>
    <row r="956">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c r="X956" s="159"/>
      <c r="Y956" s="159"/>
      <c r="Z956" s="159"/>
    </row>
    <row r="957">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c r="X957" s="159"/>
      <c r="Y957" s="159"/>
      <c r="Z957" s="159"/>
    </row>
    <row r="958">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c r="X958" s="159"/>
      <c r="Y958" s="159"/>
      <c r="Z958" s="159"/>
    </row>
    <row r="959">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c r="X959" s="159"/>
      <c r="Y959" s="159"/>
      <c r="Z959" s="159"/>
    </row>
    <row r="960">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c r="X960" s="159"/>
      <c r="Y960" s="159"/>
      <c r="Z960" s="159"/>
    </row>
    <row r="961">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c r="X961" s="159"/>
      <c r="Y961" s="159"/>
      <c r="Z961" s="159"/>
    </row>
    <row r="962">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c r="X962" s="159"/>
      <c r="Y962" s="159"/>
      <c r="Z962" s="159"/>
    </row>
    <row r="963">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c r="X963" s="159"/>
      <c r="Y963" s="159"/>
      <c r="Z963" s="159"/>
    </row>
    <row r="964">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c r="X964" s="159"/>
      <c r="Y964" s="159"/>
      <c r="Z964" s="159"/>
    </row>
    <row r="96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c r="X965" s="159"/>
      <c r="Y965" s="159"/>
      <c r="Z965" s="159"/>
    </row>
    <row r="966">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c r="X966" s="159"/>
      <c r="Y966" s="159"/>
      <c r="Z966" s="159"/>
    </row>
    <row r="967">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c r="X967" s="159"/>
      <c r="Y967" s="159"/>
      <c r="Z967" s="159"/>
    </row>
    <row r="968">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c r="X968" s="159"/>
      <c r="Y968" s="159"/>
      <c r="Z968" s="159"/>
    </row>
    <row r="969">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c r="X969" s="159"/>
      <c r="Y969" s="159"/>
      <c r="Z969" s="159"/>
    </row>
    <row r="970">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c r="X970" s="159"/>
      <c r="Y970" s="159"/>
      <c r="Z970" s="159"/>
    </row>
    <row r="971">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c r="X971" s="159"/>
      <c r="Y971" s="159"/>
      <c r="Z971" s="159"/>
    </row>
    <row r="972">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c r="X972" s="159"/>
      <c r="Y972" s="159"/>
      <c r="Z972" s="159"/>
    </row>
    <row r="973">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c r="X973" s="159"/>
      <c r="Y973" s="159"/>
      <c r="Z973" s="159"/>
    </row>
    <row r="974">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c r="X974" s="159"/>
      <c r="Y974" s="159"/>
      <c r="Z974" s="159"/>
    </row>
    <row r="9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c r="X975" s="159"/>
      <c r="Y975" s="159"/>
      <c r="Z975" s="159"/>
    </row>
    <row r="976">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c r="X976" s="159"/>
      <c r="Y976" s="159"/>
      <c r="Z976" s="159"/>
    </row>
    <row r="977">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c r="X977" s="159"/>
      <c r="Y977" s="159"/>
      <c r="Z977" s="159"/>
    </row>
    <row r="978">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c r="X978" s="159"/>
      <c r="Y978" s="159"/>
      <c r="Z978" s="159"/>
    </row>
    <row r="979">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c r="X979" s="159"/>
      <c r="Y979" s="159"/>
      <c r="Z979" s="159"/>
    </row>
    <row r="980">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c r="X980" s="159"/>
      <c r="Y980" s="159"/>
      <c r="Z980" s="159"/>
    </row>
    <row r="981">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c r="X981" s="159"/>
      <c r="Y981" s="159"/>
      <c r="Z981" s="159"/>
    </row>
    <row r="982">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c r="X982" s="159"/>
      <c r="Y982" s="159"/>
      <c r="Z982" s="159"/>
    </row>
    <row r="983">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c r="X983" s="159"/>
      <c r="Y983" s="159"/>
      <c r="Z983" s="159"/>
    </row>
    <row r="984">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c r="X984" s="159"/>
      <c r="Y984" s="159"/>
      <c r="Z984" s="159"/>
    </row>
    <row r="98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c r="X985" s="159"/>
      <c r="Y985" s="159"/>
      <c r="Z985" s="159"/>
    </row>
    <row r="986">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c r="X986" s="159"/>
      <c r="Y986" s="159"/>
      <c r="Z986" s="159"/>
    </row>
    <row r="987">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c r="X987" s="159"/>
      <c r="Y987" s="159"/>
      <c r="Z987" s="159"/>
    </row>
    <row r="988">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c r="X988" s="159"/>
      <c r="Y988" s="159"/>
      <c r="Z988" s="159"/>
    </row>
    <row r="989">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c r="X989" s="159"/>
      <c r="Y989" s="159"/>
      <c r="Z989" s="159"/>
    </row>
    <row r="990">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c r="X990" s="159"/>
      <c r="Y990" s="159"/>
      <c r="Z990" s="159"/>
    </row>
    <row r="991">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c r="X991" s="159"/>
      <c r="Y991" s="159"/>
      <c r="Z991" s="159"/>
    </row>
    <row r="992">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c r="X992" s="159"/>
      <c r="Y992" s="159"/>
      <c r="Z992" s="159"/>
    </row>
    <row r="993">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c r="X993" s="159"/>
      <c r="Y993" s="159"/>
      <c r="Z993" s="159"/>
    </row>
    <row r="994">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c r="X994" s="159"/>
      <c r="Y994" s="159"/>
      <c r="Z994" s="159"/>
    </row>
    <row r="99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c r="X995" s="159"/>
      <c r="Y995" s="159"/>
      <c r="Z995" s="159"/>
    </row>
    <row r="996">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c r="X996" s="159"/>
      <c r="Y996" s="159"/>
      <c r="Z996" s="159"/>
    </row>
    <row r="997">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c r="X997" s="159"/>
      <c r="Y997" s="159"/>
      <c r="Z997" s="159"/>
    </row>
    <row r="998">
      <c r="A998" s="159"/>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c r="X998" s="159"/>
      <c r="Y998" s="159"/>
      <c r="Z998" s="159"/>
    </row>
    <row r="999">
      <c r="A999" s="159"/>
      <c r="B999" s="159"/>
      <c r="C999" s="159"/>
      <c r="D999" s="159"/>
      <c r="E999" s="159"/>
      <c r="F999" s="159"/>
      <c r="G999" s="159"/>
      <c r="H999" s="159"/>
      <c r="I999" s="159"/>
      <c r="J999" s="159"/>
      <c r="K999" s="159"/>
      <c r="L999" s="159"/>
      <c r="M999" s="159"/>
      <c r="N999" s="159"/>
      <c r="O999" s="159"/>
      <c r="P999" s="159"/>
      <c r="Q999" s="159"/>
      <c r="R999" s="159"/>
      <c r="S999" s="159"/>
      <c r="T999" s="159"/>
      <c r="U999" s="159"/>
      <c r="V999" s="159"/>
      <c r="W999" s="159"/>
      <c r="X999" s="159"/>
      <c r="Y999" s="159"/>
      <c r="Z999" s="159"/>
    </row>
    <row r="1000">
      <c r="A1000" s="159"/>
      <c r="B1000" s="159"/>
      <c r="C1000" s="159"/>
      <c r="D1000" s="159"/>
      <c r="E1000" s="159"/>
      <c r="F1000" s="159"/>
      <c r="G1000" s="159"/>
      <c r="H1000" s="159"/>
      <c r="I1000" s="159"/>
      <c r="J1000" s="159"/>
      <c r="K1000" s="159"/>
      <c r="L1000" s="159"/>
      <c r="M1000" s="159"/>
      <c r="N1000" s="159"/>
      <c r="O1000" s="159"/>
      <c r="P1000" s="159"/>
      <c r="Q1000" s="159"/>
      <c r="R1000" s="159"/>
      <c r="S1000" s="159"/>
      <c r="T1000" s="159"/>
      <c r="U1000" s="159"/>
      <c r="V1000" s="159"/>
      <c r="W1000" s="159"/>
      <c r="X1000" s="159"/>
      <c r="Y1000" s="159"/>
      <c r="Z1000" s="159"/>
    </row>
  </sheetData>
  <mergeCells count="2">
    <mergeCell ref="A1:J1"/>
    <mergeCell ref="D20:D26"/>
  </mergeCells>
  <hyperlinks>
    <hyperlink r:id="rId1" ref="H3"/>
    <hyperlink r:id="rId2" ref="J3"/>
    <hyperlink r:id="rId3" ref="H4"/>
    <hyperlink r:id="rId4" ref="J4"/>
    <hyperlink r:id="rId5" ref="H5"/>
    <hyperlink r:id="rId6" ref="J5"/>
    <hyperlink r:id="rId7" ref="E6"/>
    <hyperlink r:id="rId8" ref="H6"/>
    <hyperlink r:id="rId9" ref="J6"/>
    <hyperlink r:id="rId10" ref="H7"/>
    <hyperlink r:id="rId11" ref="J7"/>
    <hyperlink r:id="rId12" ref="E8"/>
    <hyperlink r:id="rId13" ref="H8"/>
    <hyperlink r:id="rId14" ref="J8"/>
    <hyperlink r:id="rId15" ref="H9"/>
    <hyperlink r:id="rId16" ref="J9"/>
    <hyperlink r:id="rId17" ref="H10"/>
    <hyperlink r:id="rId18" ref="J10"/>
    <hyperlink r:id="rId19" ref="E11"/>
    <hyperlink r:id="rId20" ref="H11"/>
    <hyperlink r:id="rId21" ref="J11"/>
    <hyperlink r:id="rId22" ref="E12"/>
    <hyperlink r:id="rId23" ref="H12"/>
    <hyperlink r:id="rId24" ref="J12"/>
    <hyperlink r:id="rId25" ref="J13"/>
    <hyperlink r:id="rId26" ref="J14"/>
    <hyperlink r:id="rId27" ref="E15"/>
    <hyperlink r:id="rId28" ref="H15"/>
    <hyperlink r:id="rId29" ref="J15"/>
    <hyperlink r:id="rId30" ref="E16"/>
    <hyperlink r:id="rId31" ref="H16"/>
    <hyperlink r:id="rId32" ref="J16"/>
    <hyperlink r:id="rId33" ref="H17"/>
    <hyperlink r:id="rId34" ref="J17"/>
    <hyperlink r:id="rId35" ref="H18"/>
    <hyperlink r:id="rId36" ref="J18"/>
    <hyperlink r:id="rId37" ref="H19"/>
    <hyperlink r:id="rId38" ref="J19"/>
    <hyperlink r:id="rId39" ref="H20"/>
    <hyperlink r:id="rId40" ref="J20"/>
    <hyperlink r:id="rId41" ref="H21"/>
    <hyperlink r:id="rId42" ref="J21"/>
    <hyperlink r:id="rId43" ref="H22"/>
    <hyperlink r:id="rId44" ref="J22"/>
    <hyperlink r:id="rId45" ref="H23"/>
    <hyperlink r:id="rId46" ref="J23"/>
    <hyperlink r:id="rId47" ref="H24"/>
    <hyperlink r:id="rId48" ref="J24"/>
    <hyperlink r:id="rId49" ref="H25"/>
    <hyperlink r:id="rId50" ref="J25"/>
    <hyperlink r:id="rId51" ref="J26"/>
  </hyperlinks>
  <drawing r:id="rId5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50.38"/>
    <col customWidth="1" min="3" max="3" width="22.88"/>
    <col customWidth="1" min="5" max="5" width="20.88"/>
    <col customWidth="1" min="6" max="6" width="18.25"/>
    <col customWidth="1" min="7" max="7" width="19.88"/>
    <col customWidth="1" min="8" max="8" width="24.88"/>
  </cols>
  <sheetData>
    <row r="1">
      <c r="A1" s="171" t="s">
        <v>2741</v>
      </c>
      <c r="B1" s="172"/>
      <c r="C1" s="172"/>
      <c r="D1" s="172"/>
      <c r="E1" s="172"/>
      <c r="F1" s="172"/>
      <c r="G1" s="172"/>
      <c r="H1" s="172"/>
      <c r="I1" s="173"/>
      <c r="J1" s="173"/>
      <c r="K1" s="173"/>
      <c r="L1" s="173"/>
      <c r="M1" s="173"/>
      <c r="N1" s="173"/>
      <c r="O1" s="173"/>
      <c r="P1" s="173"/>
      <c r="Q1" s="173"/>
      <c r="R1" s="173"/>
      <c r="S1" s="173"/>
      <c r="T1" s="173"/>
      <c r="U1" s="173"/>
      <c r="V1" s="173"/>
      <c r="W1" s="173"/>
      <c r="X1" s="173"/>
      <c r="Y1" s="173"/>
      <c r="Z1" s="173"/>
    </row>
    <row r="2">
      <c r="A2" s="174" t="s">
        <v>12</v>
      </c>
      <c r="B2" s="174" t="s">
        <v>2742</v>
      </c>
      <c r="C2" s="174" t="s">
        <v>2743</v>
      </c>
      <c r="D2" s="174" t="s">
        <v>2744</v>
      </c>
      <c r="E2" s="174" t="s">
        <v>2745</v>
      </c>
      <c r="F2" s="174" t="s">
        <v>1636</v>
      </c>
      <c r="G2" s="174" t="s">
        <v>2746</v>
      </c>
      <c r="H2" s="174" t="s">
        <v>2747</v>
      </c>
      <c r="I2" s="173"/>
      <c r="J2" s="173"/>
      <c r="K2" s="173"/>
      <c r="L2" s="173"/>
      <c r="M2" s="173"/>
      <c r="N2" s="173"/>
      <c r="O2" s="173"/>
      <c r="P2" s="173"/>
      <c r="Q2" s="173"/>
      <c r="R2" s="173"/>
      <c r="S2" s="173"/>
      <c r="T2" s="173"/>
      <c r="U2" s="173"/>
      <c r="V2" s="173"/>
      <c r="W2" s="173"/>
      <c r="X2" s="173"/>
      <c r="Y2" s="173"/>
      <c r="Z2" s="173"/>
    </row>
    <row r="3">
      <c r="A3" s="114" t="s">
        <v>2748</v>
      </c>
      <c r="B3" s="3"/>
      <c r="C3" s="3"/>
      <c r="D3" s="3"/>
      <c r="E3" s="3"/>
      <c r="F3" s="3"/>
      <c r="G3" s="3"/>
      <c r="H3" s="5"/>
      <c r="I3" s="173"/>
      <c r="J3" s="173"/>
      <c r="K3" s="173"/>
      <c r="L3" s="173"/>
      <c r="M3" s="173"/>
      <c r="N3" s="173"/>
      <c r="O3" s="173"/>
      <c r="P3" s="173"/>
      <c r="Q3" s="173"/>
      <c r="R3" s="173"/>
      <c r="S3" s="173"/>
      <c r="T3" s="173"/>
      <c r="U3" s="173"/>
      <c r="V3" s="173"/>
      <c r="W3" s="173"/>
      <c r="X3" s="173"/>
      <c r="Y3" s="173"/>
      <c r="Z3" s="173"/>
    </row>
    <row r="4">
      <c r="A4" s="175">
        <v>1.0</v>
      </c>
      <c r="B4" s="175" t="s">
        <v>1629</v>
      </c>
      <c r="C4" s="175">
        <v>2.01811025513E11</v>
      </c>
      <c r="D4" s="175" t="s">
        <v>610</v>
      </c>
      <c r="E4" s="176">
        <v>43350.0</v>
      </c>
      <c r="F4" s="175" t="s">
        <v>610</v>
      </c>
      <c r="G4" s="177">
        <v>43840.0</v>
      </c>
      <c r="H4" s="175" t="s">
        <v>2749</v>
      </c>
      <c r="I4" s="173"/>
      <c r="J4" s="173"/>
      <c r="K4" s="173"/>
      <c r="L4" s="173"/>
      <c r="M4" s="173"/>
      <c r="N4" s="173"/>
      <c r="O4" s="173"/>
      <c r="P4" s="173"/>
      <c r="Q4" s="173"/>
      <c r="R4" s="173"/>
      <c r="S4" s="173"/>
      <c r="T4" s="173"/>
      <c r="U4" s="173"/>
      <c r="V4" s="173"/>
      <c r="W4" s="173"/>
      <c r="X4" s="173"/>
      <c r="Y4" s="173"/>
      <c r="Z4" s="173"/>
    </row>
    <row r="5">
      <c r="A5" s="175">
        <v>2.0</v>
      </c>
      <c r="B5" s="175" t="s">
        <v>2750</v>
      </c>
      <c r="C5" s="175">
        <v>2.01911023381E11</v>
      </c>
      <c r="D5" s="175" t="s">
        <v>610</v>
      </c>
      <c r="E5" s="176">
        <v>43805.0</v>
      </c>
      <c r="F5" s="175" t="s">
        <v>610</v>
      </c>
      <c r="G5" s="175" t="s">
        <v>2751</v>
      </c>
      <c r="H5" s="175" t="s">
        <v>2752</v>
      </c>
      <c r="I5" s="173"/>
      <c r="J5" s="173"/>
      <c r="K5" s="173"/>
      <c r="L5" s="173"/>
      <c r="M5" s="173"/>
      <c r="N5" s="173"/>
      <c r="O5" s="173"/>
      <c r="P5" s="173"/>
      <c r="Q5" s="173"/>
      <c r="R5" s="173"/>
      <c r="S5" s="173"/>
      <c r="T5" s="173"/>
      <c r="U5" s="173"/>
      <c r="V5" s="173"/>
      <c r="W5" s="173"/>
      <c r="X5" s="173"/>
      <c r="Y5" s="173"/>
      <c r="Z5" s="173"/>
    </row>
    <row r="6">
      <c r="A6" s="175">
        <v>3.0</v>
      </c>
      <c r="B6" s="175" t="s">
        <v>2753</v>
      </c>
      <c r="C6" s="175">
        <v>2.01911030638E11</v>
      </c>
      <c r="D6" s="175" t="s">
        <v>610</v>
      </c>
      <c r="E6" s="175" t="s">
        <v>2754</v>
      </c>
      <c r="F6" s="175" t="s">
        <v>610</v>
      </c>
      <c r="G6" s="177">
        <v>44232.0</v>
      </c>
      <c r="H6" s="175" t="s">
        <v>2752</v>
      </c>
      <c r="I6" s="173"/>
      <c r="J6" s="173"/>
      <c r="K6" s="173"/>
      <c r="L6" s="173"/>
      <c r="M6" s="173"/>
      <c r="N6" s="173"/>
      <c r="O6" s="173"/>
      <c r="P6" s="173"/>
      <c r="Q6" s="173"/>
      <c r="R6" s="173"/>
      <c r="S6" s="173"/>
      <c r="T6" s="173"/>
      <c r="U6" s="173"/>
      <c r="V6" s="173"/>
      <c r="W6" s="173"/>
      <c r="X6" s="173"/>
      <c r="Y6" s="173"/>
      <c r="Z6" s="173"/>
    </row>
    <row r="7">
      <c r="A7" s="175">
        <v>4.0</v>
      </c>
      <c r="B7" s="175" t="s">
        <v>2755</v>
      </c>
      <c r="C7" s="175">
        <v>2.02111002482E11</v>
      </c>
      <c r="D7" s="175" t="s">
        <v>610</v>
      </c>
      <c r="E7" s="175" t="s">
        <v>2756</v>
      </c>
      <c r="F7" s="175" t="s">
        <v>610</v>
      </c>
      <c r="G7" s="175" t="s">
        <v>2757</v>
      </c>
      <c r="H7" s="175" t="s">
        <v>2758</v>
      </c>
      <c r="I7" s="173"/>
      <c r="J7" s="173"/>
      <c r="K7" s="173"/>
      <c r="L7" s="173"/>
      <c r="M7" s="173"/>
      <c r="N7" s="173"/>
      <c r="O7" s="173"/>
      <c r="P7" s="173"/>
      <c r="Q7" s="173"/>
      <c r="R7" s="173"/>
      <c r="S7" s="173"/>
      <c r="T7" s="173"/>
      <c r="U7" s="173"/>
      <c r="V7" s="173"/>
      <c r="W7" s="173"/>
      <c r="X7" s="173"/>
      <c r="Y7" s="173"/>
      <c r="Z7" s="173"/>
    </row>
    <row r="8">
      <c r="A8" s="175">
        <v>5.0</v>
      </c>
      <c r="B8" s="178" t="s">
        <v>2759</v>
      </c>
      <c r="C8" s="175" t="s">
        <v>2760</v>
      </c>
      <c r="D8" s="175" t="s">
        <v>610</v>
      </c>
      <c r="E8" s="175" t="s">
        <v>2761</v>
      </c>
      <c r="F8" s="175" t="s">
        <v>610</v>
      </c>
      <c r="G8" s="175" t="s">
        <v>2762</v>
      </c>
      <c r="H8" s="175" t="s">
        <v>2763</v>
      </c>
      <c r="I8" s="173"/>
      <c r="J8" s="173"/>
      <c r="K8" s="173"/>
      <c r="L8" s="173"/>
      <c r="M8" s="173"/>
      <c r="N8" s="173"/>
      <c r="O8" s="173"/>
      <c r="P8" s="173"/>
      <c r="Q8" s="173"/>
      <c r="R8" s="173"/>
      <c r="S8" s="173"/>
      <c r="T8" s="173"/>
      <c r="U8" s="173"/>
      <c r="V8" s="173"/>
      <c r="W8" s="173"/>
      <c r="X8" s="173"/>
      <c r="Y8" s="173"/>
      <c r="Z8" s="173"/>
    </row>
    <row r="9">
      <c r="A9" s="114" t="s">
        <v>2764</v>
      </c>
      <c r="B9" s="3"/>
      <c r="C9" s="3"/>
      <c r="D9" s="3"/>
      <c r="E9" s="3"/>
      <c r="F9" s="3"/>
      <c r="G9" s="3"/>
      <c r="H9" s="5"/>
      <c r="I9" s="173"/>
      <c r="J9" s="173"/>
      <c r="K9" s="173"/>
      <c r="L9" s="173"/>
      <c r="M9" s="173"/>
      <c r="N9" s="173"/>
      <c r="O9" s="173"/>
      <c r="P9" s="173"/>
      <c r="Q9" s="173"/>
      <c r="R9" s="173"/>
      <c r="S9" s="173"/>
      <c r="T9" s="173"/>
      <c r="U9" s="173"/>
      <c r="V9" s="173"/>
      <c r="W9" s="173"/>
      <c r="X9" s="173"/>
      <c r="Y9" s="173"/>
      <c r="Z9" s="173"/>
    </row>
    <row r="10">
      <c r="A10" s="175">
        <v>6.0</v>
      </c>
      <c r="B10" s="175" t="s">
        <v>2765</v>
      </c>
      <c r="C10" s="175">
        <v>2.02011047901E11</v>
      </c>
      <c r="D10" s="175" t="s">
        <v>610</v>
      </c>
      <c r="E10" s="176">
        <v>43901.0</v>
      </c>
      <c r="F10" s="175" t="s">
        <v>610</v>
      </c>
      <c r="G10" s="177">
        <v>44687.0</v>
      </c>
      <c r="H10" s="175" t="s">
        <v>2758</v>
      </c>
      <c r="I10" s="173"/>
      <c r="J10" s="173"/>
      <c r="K10" s="173"/>
      <c r="L10" s="173"/>
      <c r="M10" s="173"/>
      <c r="N10" s="173"/>
      <c r="O10" s="173"/>
      <c r="P10" s="173"/>
      <c r="Q10" s="173"/>
      <c r="R10" s="173"/>
      <c r="S10" s="173"/>
      <c r="T10" s="173"/>
      <c r="U10" s="173"/>
      <c r="V10" s="173"/>
      <c r="W10" s="173"/>
      <c r="X10" s="173"/>
      <c r="Y10" s="173"/>
      <c r="Z10" s="173"/>
    </row>
    <row r="11">
      <c r="A11" s="175">
        <v>7.0</v>
      </c>
      <c r="B11" s="175" t="s">
        <v>2766</v>
      </c>
      <c r="C11" s="175">
        <v>2.02111026018E11</v>
      </c>
      <c r="D11" s="175" t="s">
        <v>610</v>
      </c>
      <c r="E11" s="176">
        <v>44506.0</v>
      </c>
      <c r="F11" s="175" t="s">
        <v>610</v>
      </c>
      <c r="G11" s="175" t="s">
        <v>2767</v>
      </c>
      <c r="H11" s="175" t="s">
        <v>2758</v>
      </c>
      <c r="I11" s="173"/>
      <c r="J11" s="173"/>
      <c r="K11" s="173"/>
      <c r="L11" s="173"/>
      <c r="M11" s="173"/>
      <c r="N11" s="173"/>
      <c r="O11" s="173"/>
      <c r="P11" s="173"/>
      <c r="Q11" s="173"/>
      <c r="R11" s="173"/>
      <c r="S11" s="173"/>
      <c r="T11" s="173"/>
      <c r="U11" s="173"/>
      <c r="V11" s="173"/>
      <c r="W11" s="173"/>
      <c r="X11" s="173"/>
      <c r="Y11" s="173"/>
      <c r="Z11" s="173"/>
    </row>
    <row r="12">
      <c r="A12" s="175">
        <v>8.0</v>
      </c>
      <c r="B12" s="175" t="s">
        <v>2768</v>
      </c>
      <c r="C12" s="175">
        <v>2.02111030803E11</v>
      </c>
      <c r="D12" s="175" t="s">
        <v>610</v>
      </c>
      <c r="E12" s="176">
        <v>44446.0</v>
      </c>
      <c r="F12" s="175" t="s">
        <v>610</v>
      </c>
      <c r="G12" s="175" t="s">
        <v>2769</v>
      </c>
      <c r="H12" s="175" t="s">
        <v>2758</v>
      </c>
      <c r="I12" s="173"/>
      <c r="J12" s="173"/>
      <c r="K12" s="173"/>
      <c r="L12" s="173"/>
      <c r="M12" s="173"/>
      <c r="N12" s="173"/>
      <c r="O12" s="173"/>
      <c r="P12" s="173"/>
      <c r="Q12" s="173"/>
      <c r="R12" s="173"/>
      <c r="S12" s="173"/>
      <c r="T12" s="173"/>
      <c r="U12" s="173"/>
      <c r="V12" s="173"/>
      <c r="W12" s="173"/>
      <c r="X12" s="173"/>
      <c r="Y12" s="173"/>
      <c r="Z12" s="173"/>
    </row>
    <row r="13">
      <c r="A13" s="175">
        <v>9.0</v>
      </c>
      <c r="B13" s="175" t="s">
        <v>1632</v>
      </c>
      <c r="C13" s="175">
        <v>2.02111033458E11</v>
      </c>
      <c r="D13" s="175" t="s">
        <v>610</v>
      </c>
      <c r="E13" s="175" t="s">
        <v>1634</v>
      </c>
      <c r="F13" s="175" t="s">
        <v>610</v>
      </c>
      <c r="G13" s="175" t="s">
        <v>2770</v>
      </c>
      <c r="H13" s="175" t="s">
        <v>2749</v>
      </c>
      <c r="I13" s="173"/>
      <c r="J13" s="173"/>
      <c r="K13" s="173"/>
      <c r="L13" s="173"/>
      <c r="M13" s="173"/>
      <c r="N13" s="173"/>
      <c r="O13" s="173"/>
      <c r="P13" s="173"/>
      <c r="Q13" s="173"/>
      <c r="R13" s="173"/>
      <c r="S13" s="173"/>
      <c r="T13" s="173"/>
      <c r="U13" s="173"/>
      <c r="V13" s="173"/>
      <c r="W13" s="173"/>
      <c r="X13" s="173"/>
      <c r="Y13" s="173"/>
      <c r="Z13" s="173"/>
    </row>
    <row r="14">
      <c r="A14" s="175">
        <v>10.0</v>
      </c>
      <c r="B14" s="175" t="s">
        <v>2771</v>
      </c>
      <c r="C14" s="175">
        <v>2.02111035713E11</v>
      </c>
      <c r="D14" s="175" t="s">
        <v>610</v>
      </c>
      <c r="E14" s="176">
        <v>44386.0</v>
      </c>
      <c r="F14" s="175" t="s">
        <v>610</v>
      </c>
      <c r="G14" s="175" t="s">
        <v>2769</v>
      </c>
      <c r="H14" s="175" t="s">
        <v>2758</v>
      </c>
      <c r="I14" s="173"/>
      <c r="J14" s="173"/>
      <c r="K14" s="173"/>
      <c r="L14" s="173"/>
      <c r="M14" s="173"/>
      <c r="N14" s="173"/>
      <c r="O14" s="173"/>
      <c r="P14" s="173"/>
      <c r="Q14" s="173"/>
      <c r="R14" s="173"/>
      <c r="S14" s="173"/>
      <c r="T14" s="173"/>
      <c r="U14" s="173"/>
      <c r="V14" s="173"/>
      <c r="W14" s="173"/>
      <c r="X14" s="173"/>
      <c r="Y14" s="173"/>
      <c r="Z14" s="173"/>
    </row>
    <row r="15">
      <c r="A15" s="175">
        <v>11.0</v>
      </c>
      <c r="B15" s="175" t="s">
        <v>2772</v>
      </c>
      <c r="C15" s="175">
        <v>2.02111038661E11</v>
      </c>
      <c r="D15" s="175" t="s">
        <v>610</v>
      </c>
      <c r="E15" s="175" t="s">
        <v>2773</v>
      </c>
      <c r="F15" s="175" t="s">
        <v>610</v>
      </c>
      <c r="G15" s="177">
        <v>44442.0</v>
      </c>
      <c r="H15" s="175" t="s">
        <v>2774</v>
      </c>
      <c r="I15" s="173"/>
      <c r="J15" s="173"/>
      <c r="K15" s="173"/>
      <c r="L15" s="173"/>
      <c r="M15" s="173"/>
      <c r="N15" s="173"/>
      <c r="O15" s="173"/>
      <c r="P15" s="173"/>
      <c r="Q15" s="173"/>
      <c r="R15" s="173"/>
      <c r="S15" s="173"/>
      <c r="T15" s="173"/>
      <c r="U15" s="173"/>
      <c r="V15" s="173"/>
      <c r="W15" s="173"/>
      <c r="X15" s="173"/>
      <c r="Y15" s="173"/>
      <c r="Z15" s="173"/>
    </row>
    <row r="16">
      <c r="A16" s="114" t="s">
        <v>2775</v>
      </c>
      <c r="B16" s="3"/>
      <c r="C16" s="3"/>
      <c r="D16" s="3"/>
      <c r="E16" s="3"/>
      <c r="F16" s="3"/>
      <c r="G16" s="3"/>
      <c r="H16" s="5"/>
      <c r="I16" s="173"/>
      <c r="J16" s="173"/>
      <c r="K16" s="173"/>
      <c r="L16" s="173"/>
      <c r="M16" s="173"/>
      <c r="N16" s="173"/>
      <c r="O16" s="173"/>
      <c r="P16" s="173"/>
      <c r="Q16" s="173"/>
      <c r="R16" s="173"/>
      <c r="S16" s="173"/>
      <c r="T16" s="173"/>
      <c r="U16" s="173"/>
      <c r="V16" s="173"/>
      <c r="W16" s="173"/>
      <c r="X16" s="173"/>
      <c r="Y16" s="173"/>
      <c r="Z16" s="173"/>
    </row>
    <row r="17">
      <c r="A17" s="175">
        <v>12.0</v>
      </c>
      <c r="B17" s="175" t="s">
        <v>2776</v>
      </c>
      <c r="C17" s="175">
        <v>2.02211011253E11</v>
      </c>
      <c r="D17" s="175" t="s">
        <v>610</v>
      </c>
      <c r="E17" s="176">
        <v>44622.0</v>
      </c>
      <c r="F17" s="175" t="s">
        <v>610</v>
      </c>
      <c r="G17" s="175" t="s">
        <v>1640</v>
      </c>
      <c r="H17" s="175" t="s">
        <v>2774</v>
      </c>
      <c r="I17" s="173"/>
      <c r="J17" s="173"/>
      <c r="K17" s="173"/>
      <c r="L17" s="173"/>
      <c r="M17" s="173"/>
      <c r="N17" s="173"/>
      <c r="O17" s="173"/>
      <c r="P17" s="173"/>
      <c r="Q17" s="173"/>
      <c r="R17" s="173"/>
      <c r="S17" s="173"/>
      <c r="T17" s="173"/>
      <c r="U17" s="173"/>
      <c r="V17" s="173"/>
      <c r="W17" s="173"/>
      <c r="X17" s="173"/>
      <c r="Y17" s="173"/>
      <c r="Z17" s="173"/>
    </row>
    <row r="18">
      <c r="A18" s="175">
        <v>13.0</v>
      </c>
      <c r="B18" s="175" t="s">
        <v>1643</v>
      </c>
      <c r="C18" s="175">
        <v>2.02111057454E11</v>
      </c>
      <c r="D18" s="175" t="s">
        <v>610</v>
      </c>
      <c r="E18" s="177">
        <v>44748.0</v>
      </c>
      <c r="F18" s="175" t="s">
        <v>610</v>
      </c>
      <c r="G18" s="179">
        <v>45413.0</v>
      </c>
      <c r="H18" s="175" t="s">
        <v>1627</v>
      </c>
      <c r="I18" s="173"/>
      <c r="J18" s="173"/>
      <c r="K18" s="173"/>
      <c r="L18" s="173"/>
      <c r="M18" s="173"/>
      <c r="N18" s="173"/>
      <c r="O18" s="173"/>
      <c r="P18" s="173"/>
      <c r="Q18" s="173"/>
      <c r="R18" s="173"/>
      <c r="S18" s="173"/>
      <c r="T18" s="173"/>
      <c r="U18" s="173"/>
      <c r="V18" s="173"/>
      <c r="W18" s="173"/>
      <c r="X18" s="173"/>
      <c r="Y18" s="173"/>
      <c r="Z18" s="173"/>
    </row>
    <row r="19">
      <c r="A19" s="175">
        <v>14.0</v>
      </c>
      <c r="B19" s="175" t="s">
        <v>2777</v>
      </c>
      <c r="C19" s="175">
        <v>2.02211011254E11</v>
      </c>
      <c r="D19" s="175" t="s">
        <v>610</v>
      </c>
      <c r="E19" s="176">
        <v>44622.0</v>
      </c>
      <c r="F19" s="175" t="s">
        <v>610</v>
      </c>
      <c r="G19" s="175" t="s">
        <v>1640</v>
      </c>
      <c r="H19" s="175" t="s">
        <v>2774</v>
      </c>
      <c r="I19" s="173"/>
      <c r="J19" s="173"/>
      <c r="K19" s="173"/>
      <c r="L19" s="173"/>
      <c r="M19" s="173"/>
      <c r="N19" s="173"/>
      <c r="O19" s="173"/>
      <c r="P19" s="173"/>
      <c r="Q19" s="173"/>
      <c r="R19" s="173"/>
      <c r="S19" s="173"/>
      <c r="T19" s="173"/>
      <c r="U19" s="173"/>
      <c r="V19" s="173"/>
      <c r="W19" s="173"/>
      <c r="X19" s="173"/>
      <c r="Y19" s="173"/>
      <c r="Z19" s="173"/>
    </row>
    <row r="20">
      <c r="A20" s="175">
        <v>15.0</v>
      </c>
      <c r="B20" s="175" t="s">
        <v>2778</v>
      </c>
      <c r="C20" s="175">
        <v>2.02211011255E11</v>
      </c>
      <c r="D20" s="175" t="s">
        <v>610</v>
      </c>
      <c r="E20" s="176">
        <v>44622.0</v>
      </c>
      <c r="F20" s="175" t="s">
        <v>610</v>
      </c>
      <c r="G20" s="175" t="s">
        <v>1640</v>
      </c>
      <c r="H20" s="175" t="s">
        <v>2752</v>
      </c>
      <c r="I20" s="173"/>
      <c r="J20" s="173"/>
      <c r="K20" s="173"/>
      <c r="L20" s="173"/>
      <c r="M20" s="173"/>
      <c r="N20" s="173"/>
      <c r="O20" s="173"/>
      <c r="P20" s="173"/>
      <c r="Q20" s="173"/>
      <c r="R20" s="173"/>
      <c r="S20" s="173"/>
      <c r="T20" s="173"/>
      <c r="U20" s="173"/>
      <c r="V20" s="173"/>
      <c r="W20" s="173"/>
      <c r="X20" s="173"/>
      <c r="Y20" s="173"/>
      <c r="Z20" s="173"/>
    </row>
    <row r="21">
      <c r="A21" s="175">
        <v>16.0</v>
      </c>
      <c r="B21" s="175" t="s">
        <v>2779</v>
      </c>
      <c r="C21" s="175">
        <v>2.02211011992E11</v>
      </c>
      <c r="D21" s="175" t="s">
        <v>610</v>
      </c>
      <c r="E21" s="176">
        <v>44625.0</v>
      </c>
      <c r="F21" s="175" t="s">
        <v>610</v>
      </c>
      <c r="G21" s="175" t="s">
        <v>1640</v>
      </c>
      <c r="H21" s="175" t="s">
        <v>2774</v>
      </c>
      <c r="I21" s="173"/>
      <c r="J21" s="173"/>
      <c r="K21" s="173"/>
      <c r="L21" s="173"/>
      <c r="M21" s="173"/>
      <c r="N21" s="173"/>
      <c r="O21" s="173"/>
      <c r="P21" s="173"/>
      <c r="Q21" s="173"/>
      <c r="R21" s="173"/>
      <c r="S21" s="173"/>
      <c r="T21" s="173"/>
      <c r="U21" s="173"/>
      <c r="V21" s="173"/>
      <c r="W21" s="173"/>
      <c r="X21" s="173"/>
      <c r="Y21" s="173"/>
      <c r="Z21" s="173"/>
    </row>
    <row r="22">
      <c r="A22" s="175">
        <v>17.0</v>
      </c>
      <c r="B22" s="175" t="s">
        <v>1660</v>
      </c>
      <c r="C22" s="175">
        <v>2.02211011989E11</v>
      </c>
      <c r="D22" s="175" t="s">
        <v>610</v>
      </c>
      <c r="E22" s="176">
        <v>44625.0</v>
      </c>
      <c r="F22" s="175" t="s">
        <v>610</v>
      </c>
      <c r="G22" s="175" t="s">
        <v>1640</v>
      </c>
      <c r="H22" s="175" t="s">
        <v>2774</v>
      </c>
      <c r="I22" s="173"/>
      <c r="J22" s="173"/>
      <c r="K22" s="173"/>
      <c r="L22" s="173"/>
      <c r="M22" s="173"/>
      <c r="N22" s="173"/>
      <c r="O22" s="173"/>
      <c r="P22" s="173"/>
      <c r="Q22" s="173"/>
      <c r="R22" s="173"/>
      <c r="S22" s="173"/>
      <c r="T22" s="173"/>
      <c r="U22" s="173"/>
      <c r="V22" s="173"/>
      <c r="W22" s="173"/>
      <c r="X22" s="173"/>
      <c r="Y22" s="173"/>
      <c r="Z22" s="173"/>
    </row>
    <row r="23">
      <c r="A23" s="175">
        <v>18.0</v>
      </c>
      <c r="B23" s="175" t="s">
        <v>1663</v>
      </c>
      <c r="C23" s="175">
        <v>2.02211011991E11</v>
      </c>
      <c r="D23" s="175" t="s">
        <v>610</v>
      </c>
      <c r="E23" s="176">
        <v>44625.0</v>
      </c>
      <c r="F23" s="175" t="s">
        <v>610</v>
      </c>
      <c r="G23" s="175" t="s">
        <v>1640</v>
      </c>
      <c r="H23" s="175" t="s">
        <v>2752</v>
      </c>
      <c r="I23" s="173"/>
      <c r="J23" s="173"/>
      <c r="K23" s="173"/>
      <c r="L23" s="173"/>
      <c r="M23" s="173"/>
      <c r="N23" s="173"/>
      <c r="O23" s="173"/>
      <c r="P23" s="173"/>
      <c r="Q23" s="173"/>
      <c r="R23" s="173"/>
      <c r="S23" s="173"/>
      <c r="T23" s="173"/>
      <c r="U23" s="173"/>
      <c r="V23" s="173"/>
      <c r="W23" s="173"/>
      <c r="X23" s="173"/>
      <c r="Y23" s="173"/>
      <c r="Z23" s="173"/>
    </row>
    <row r="24">
      <c r="A24" s="175">
        <v>19.0</v>
      </c>
      <c r="B24" s="175" t="s">
        <v>1666</v>
      </c>
      <c r="C24" s="175">
        <v>2.0221101199E11</v>
      </c>
      <c r="D24" s="175" t="s">
        <v>610</v>
      </c>
      <c r="E24" s="176">
        <v>44625.0</v>
      </c>
      <c r="F24" s="175" t="s">
        <v>610</v>
      </c>
      <c r="G24" s="175" t="s">
        <v>1640</v>
      </c>
      <c r="H24" s="175" t="s">
        <v>2752</v>
      </c>
      <c r="I24" s="173"/>
      <c r="J24" s="173"/>
      <c r="K24" s="173"/>
      <c r="L24" s="173"/>
      <c r="M24" s="173"/>
      <c r="N24" s="173"/>
      <c r="O24" s="173"/>
      <c r="P24" s="173"/>
      <c r="Q24" s="173"/>
      <c r="R24" s="173"/>
      <c r="S24" s="173"/>
      <c r="T24" s="173"/>
      <c r="U24" s="173"/>
      <c r="V24" s="173"/>
      <c r="W24" s="173"/>
      <c r="X24" s="173"/>
      <c r="Y24" s="173"/>
      <c r="Z24" s="173"/>
    </row>
    <row r="25">
      <c r="A25" s="175">
        <v>20.0</v>
      </c>
      <c r="B25" s="175" t="s">
        <v>1669</v>
      </c>
      <c r="C25" s="175">
        <v>2.02211013351E11</v>
      </c>
      <c r="D25" s="175" t="s">
        <v>610</v>
      </c>
      <c r="E25" s="176">
        <v>44631.0</v>
      </c>
      <c r="F25" s="175" t="s">
        <v>610</v>
      </c>
      <c r="G25" s="177">
        <v>45201.0</v>
      </c>
      <c r="H25" s="175" t="s">
        <v>2774</v>
      </c>
      <c r="I25" s="173"/>
      <c r="J25" s="173"/>
      <c r="K25" s="173"/>
      <c r="L25" s="173"/>
      <c r="M25" s="173"/>
      <c r="N25" s="173"/>
      <c r="O25" s="173"/>
      <c r="P25" s="173"/>
      <c r="Q25" s="173"/>
      <c r="R25" s="173"/>
      <c r="S25" s="173"/>
      <c r="T25" s="173"/>
      <c r="U25" s="173"/>
      <c r="V25" s="173"/>
      <c r="W25" s="173"/>
      <c r="X25" s="173"/>
      <c r="Y25" s="173"/>
      <c r="Z25" s="173"/>
    </row>
    <row r="26">
      <c r="A26" s="175">
        <v>21.0</v>
      </c>
      <c r="B26" s="175" t="s">
        <v>1674</v>
      </c>
      <c r="C26" s="175">
        <v>2.02311018759E11</v>
      </c>
      <c r="D26" s="175" t="s">
        <v>610</v>
      </c>
      <c r="E26" s="175" t="s">
        <v>2780</v>
      </c>
      <c r="F26" s="175" t="s">
        <v>610</v>
      </c>
      <c r="G26" s="175" t="s">
        <v>1677</v>
      </c>
      <c r="H26" s="175" t="s">
        <v>2758</v>
      </c>
      <c r="I26" s="173"/>
      <c r="J26" s="173"/>
      <c r="K26" s="173"/>
      <c r="L26" s="173"/>
      <c r="M26" s="173"/>
      <c r="N26" s="173"/>
      <c r="O26" s="173"/>
      <c r="P26" s="173"/>
      <c r="Q26" s="173"/>
      <c r="R26" s="173"/>
      <c r="S26" s="173"/>
      <c r="T26" s="173"/>
      <c r="U26" s="173"/>
      <c r="V26" s="173"/>
      <c r="W26" s="173"/>
      <c r="X26" s="173"/>
      <c r="Y26" s="173"/>
      <c r="Z26" s="173"/>
    </row>
    <row r="27">
      <c r="A27" s="114" t="s">
        <v>2781</v>
      </c>
      <c r="B27" s="3"/>
      <c r="C27" s="3"/>
      <c r="D27" s="3"/>
      <c r="E27" s="3"/>
      <c r="F27" s="3"/>
      <c r="G27" s="3"/>
      <c r="H27" s="5"/>
      <c r="I27" s="173"/>
      <c r="J27" s="173"/>
      <c r="K27" s="173"/>
      <c r="L27" s="173"/>
      <c r="M27" s="173"/>
      <c r="N27" s="173"/>
      <c r="O27" s="173"/>
      <c r="P27" s="173"/>
      <c r="Q27" s="173"/>
      <c r="R27" s="173"/>
      <c r="S27" s="173"/>
      <c r="T27" s="173"/>
      <c r="U27" s="173"/>
      <c r="V27" s="173"/>
      <c r="W27" s="173"/>
      <c r="X27" s="173"/>
      <c r="Y27" s="173"/>
      <c r="Z27" s="173"/>
    </row>
    <row r="28">
      <c r="A28" s="175">
        <v>22.0</v>
      </c>
      <c r="B28" s="175" t="s">
        <v>1680</v>
      </c>
      <c r="C28" s="175">
        <v>2.02311008482E11</v>
      </c>
      <c r="D28" s="175" t="s">
        <v>610</v>
      </c>
      <c r="E28" s="177">
        <v>45171.0</v>
      </c>
      <c r="F28" s="175" t="s">
        <v>610</v>
      </c>
      <c r="G28" s="175" t="s">
        <v>1683</v>
      </c>
      <c r="H28" s="175" t="s">
        <v>2758</v>
      </c>
      <c r="I28" s="173"/>
      <c r="J28" s="173"/>
      <c r="K28" s="173"/>
      <c r="L28" s="173"/>
      <c r="M28" s="173"/>
      <c r="N28" s="173"/>
      <c r="O28" s="173"/>
      <c r="P28" s="173"/>
      <c r="Q28" s="173"/>
      <c r="R28" s="173"/>
      <c r="S28" s="173"/>
      <c r="T28" s="173"/>
      <c r="U28" s="173"/>
      <c r="V28" s="173"/>
      <c r="W28" s="173"/>
      <c r="X28" s="173"/>
      <c r="Y28" s="173"/>
      <c r="Z28" s="173"/>
    </row>
    <row r="29">
      <c r="A29" s="175">
        <v>23.0</v>
      </c>
      <c r="B29" s="175" t="s">
        <v>1686</v>
      </c>
      <c r="C29" s="175">
        <v>2.02311008481E11</v>
      </c>
      <c r="D29" s="175" t="s">
        <v>610</v>
      </c>
      <c r="E29" s="177">
        <v>45171.0</v>
      </c>
      <c r="F29" s="175" t="s">
        <v>610</v>
      </c>
      <c r="G29" s="175" t="s">
        <v>1688</v>
      </c>
      <c r="H29" s="175" t="s">
        <v>2758</v>
      </c>
      <c r="I29" s="173"/>
      <c r="J29" s="173"/>
      <c r="K29" s="173"/>
      <c r="L29" s="173"/>
      <c r="M29" s="173"/>
      <c r="N29" s="173"/>
      <c r="O29" s="173"/>
      <c r="P29" s="173"/>
      <c r="Q29" s="173"/>
      <c r="R29" s="173"/>
      <c r="S29" s="173"/>
      <c r="T29" s="173"/>
      <c r="U29" s="173"/>
      <c r="V29" s="173"/>
      <c r="W29" s="173"/>
      <c r="X29" s="173"/>
      <c r="Y29" s="173"/>
      <c r="Z29" s="173"/>
    </row>
    <row r="30">
      <c r="A30" s="175">
        <v>24.0</v>
      </c>
      <c r="B30" s="175" t="s">
        <v>1691</v>
      </c>
      <c r="C30" s="175">
        <v>2.02311008483E11</v>
      </c>
      <c r="D30" s="175" t="s">
        <v>610</v>
      </c>
      <c r="E30" s="177">
        <v>45171.0</v>
      </c>
      <c r="F30" s="175" t="s">
        <v>610</v>
      </c>
      <c r="G30" s="175" t="s">
        <v>1688</v>
      </c>
      <c r="H30" s="175" t="s">
        <v>2758</v>
      </c>
      <c r="I30" s="173"/>
      <c r="J30" s="173"/>
      <c r="K30" s="173"/>
      <c r="L30" s="173"/>
      <c r="M30" s="173"/>
      <c r="N30" s="173"/>
      <c r="O30" s="173"/>
      <c r="P30" s="173"/>
      <c r="Q30" s="173"/>
      <c r="R30" s="173"/>
      <c r="S30" s="173"/>
      <c r="T30" s="173"/>
      <c r="U30" s="173"/>
      <c r="V30" s="173"/>
      <c r="W30" s="173"/>
      <c r="X30" s="173"/>
      <c r="Y30" s="173"/>
      <c r="Z30" s="173"/>
    </row>
    <row r="31">
      <c r="A31" s="175">
        <v>25.0</v>
      </c>
      <c r="B31" s="175" t="s">
        <v>1695</v>
      </c>
      <c r="C31" s="175">
        <v>2.02311008484E11</v>
      </c>
      <c r="D31" s="175" t="s">
        <v>610</v>
      </c>
      <c r="E31" s="177">
        <v>45171.0</v>
      </c>
      <c r="F31" s="175" t="s">
        <v>610</v>
      </c>
      <c r="G31" s="175" t="s">
        <v>1688</v>
      </c>
      <c r="H31" s="175" t="s">
        <v>2758</v>
      </c>
      <c r="I31" s="173"/>
      <c r="J31" s="173"/>
      <c r="K31" s="173"/>
      <c r="L31" s="173"/>
      <c r="M31" s="173"/>
      <c r="N31" s="173"/>
      <c r="O31" s="173"/>
      <c r="P31" s="173"/>
      <c r="Q31" s="173"/>
      <c r="R31" s="173"/>
      <c r="S31" s="173"/>
      <c r="T31" s="173"/>
      <c r="U31" s="173"/>
      <c r="V31" s="173"/>
      <c r="W31" s="173"/>
      <c r="X31" s="173"/>
      <c r="Y31" s="173"/>
      <c r="Z31" s="173"/>
    </row>
    <row r="32">
      <c r="A32" s="175">
        <v>26.0</v>
      </c>
      <c r="B32" s="175" t="s">
        <v>1699</v>
      </c>
      <c r="C32" s="175">
        <v>2.02311008495E11</v>
      </c>
      <c r="D32" s="175" t="s">
        <v>610</v>
      </c>
      <c r="E32" s="177">
        <v>45171.0</v>
      </c>
      <c r="F32" s="175" t="s">
        <v>610</v>
      </c>
      <c r="G32" s="175" t="s">
        <v>1688</v>
      </c>
      <c r="H32" s="175" t="s">
        <v>2774</v>
      </c>
      <c r="I32" s="173"/>
      <c r="J32" s="173"/>
      <c r="K32" s="173"/>
      <c r="L32" s="173"/>
      <c r="M32" s="173"/>
      <c r="N32" s="173"/>
      <c r="O32" s="173"/>
      <c r="P32" s="173"/>
      <c r="Q32" s="173"/>
      <c r="R32" s="173"/>
      <c r="S32" s="173"/>
      <c r="T32" s="173"/>
      <c r="U32" s="173"/>
      <c r="V32" s="173"/>
      <c r="W32" s="173"/>
      <c r="X32" s="173"/>
      <c r="Y32" s="173"/>
      <c r="Z32" s="173"/>
    </row>
    <row r="33">
      <c r="A33" s="175">
        <v>27.0</v>
      </c>
      <c r="B33" s="175" t="s">
        <v>1703</v>
      </c>
      <c r="C33" s="175">
        <v>2.02311008494E11</v>
      </c>
      <c r="D33" s="175" t="s">
        <v>610</v>
      </c>
      <c r="E33" s="177">
        <v>45171.0</v>
      </c>
      <c r="F33" s="175" t="s">
        <v>610</v>
      </c>
      <c r="G33" s="177">
        <v>45627.0</v>
      </c>
      <c r="H33" s="175" t="s">
        <v>2758</v>
      </c>
      <c r="I33" s="173"/>
      <c r="J33" s="173"/>
      <c r="K33" s="173"/>
      <c r="L33" s="173"/>
      <c r="M33" s="173"/>
      <c r="N33" s="173"/>
      <c r="O33" s="173"/>
      <c r="P33" s="173"/>
      <c r="Q33" s="173"/>
      <c r="R33" s="173"/>
      <c r="S33" s="173"/>
      <c r="T33" s="173"/>
      <c r="U33" s="173"/>
      <c r="V33" s="173"/>
      <c r="W33" s="173"/>
      <c r="X33" s="173"/>
      <c r="Y33" s="173"/>
      <c r="Z33" s="173"/>
    </row>
    <row r="34">
      <c r="A34" s="175">
        <v>28.0</v>
      </c>
      <c r="B34" s="175" t="s">
        <v>1708</v>
      </c>
      <c r="C34" s="175">
        <v>2.02311008497E11</v>
      </c>
      <c r="D34" s="175" t="s">
        <v>610</v>
      </c>
      <c r="E34" s="177">
        <v>45171.0</v>
      </c>
      <c r="F34" s="175" t="s">
        <v>610</v>
      </c>
      <c r="G34" s="177">
        <v>45627.0</v>
      </c>
      <c r="H34" s="175" t="s">
        <v>2774</v>
      </c>
      <c r="I34" s="173"/>
      <c r="J34" s="173"/>
      <c r="K34" s="173"/>
      <c r="L34" s="173"/>
      <c r="M34" s="173"/>
      <c r="N34" s="173"/>
      <c r="O34" s="173"/>
      <c r="P34" s="173"/>
      <c r="Q34" s="173"/>
      <c r="R34" s="173"/>
      <c r="S34" s="173"/>
      <c r="T34" s="173"/>
      <c r="U34" s="173"/>
      <c r="V34" s="173"/>
      <c r="W34" s="173"/>
      <c r="X34" s="173"/>
      <c r="Y34" s="173"/>
      <c r="Z34" s="173"/>
    </row>
    <row r="35">
      <c r="A35" s="175">
        <v>29.0</v>
      </c>
      <c r="B35" s="175" t="s">
        <v>1712</v>
      </c>
      <c r="C35" s="175">
        <v>2.02311008492E11</v>
      </c>
      <c r="D35" s="175" t="s">
        <v>610</v>
      </c>
      <c r="E35" s="177">
        <v>45171.0</v>
      </c>
      <c r="F35" s="175" t="s">
        <v>610</v>
      </c>
      <c r="G35" s="177">
        <v>45627.0</v>
      </c>
      <c r="H35" s="175" t="s">
        <v>2758</v>
      </c>
      <c r="I35" s="173"/>
      <c r="J35" s="173"/>
      <c r="K35" s="173"/>
      <c r="L35" s="173"/>
      <c r="M35" s="173"/>
      <c r="N35" s="173"/>
      <c r="O35" s="173"/>
      <c r="P35" s="173"/>
      <c r="Q35" s="173"/>
      <c r="R35" s="173"/>
      <c r="S35" s="173"/>
      <c r="T35" s="173"/>
      <c r="U35" s="173"/>
      <c r="V35" s="173"/>
      <c r="W35" s="173"/>
      <c r="X35" s="173"/>
      <c r="Y35" s="173"/>
      <c r="Z35" s="173"/>
    </row>
    <row r="36">
      <c r="A36" s="175">
        <v>30.0</v>
      </c>
      <c r="B36" s="175" t="s">
        <v>2782</v>
      </c>
      <c r="C36" s="175">
        <v>2.02311008493E11</v>
      </c>
      <c r="D36" s="175" t="s">
        <v>610</v>
      </c>
      <c r="E36" s="177">
        <v>45171.0</v>
      </c>
      <c r="F36" s="180"/>
      <c r="G36" s="175" t="s">
        <v>224</v>
      </c>
      <c r="H36" s="175" t="s">
        <v>2783</v>
      </c>
      <c r="I36" s="173"/>
      <c r="J36" s="173"/>
      <c r="K36" s="173"/>
      <c r="L36" s="173"/>
      <c r="M36" s="173"/>
      <c r="N36" s="173"/>
      <c r="O36" s="173"/>
      <c r="P36" s="173"/>
      <c r="Q36" s="173"/>
      <c r="R36" s="173"/>
      <c r="S36" s="173"/>
      <c r="T36" s="173"/>
      <c r="U36" s="173"/>
      <c r="V36" s="173"/>
      <c r="W36" s="173"/>
      <c r="X36" s="173"/>
      <c r="Y36" s="173"/>
      <c r="Z36" s="173"/>
    </row>
    <row r="37">
      <c r="A37" s="175">
        <v>31.0</v>
      </c>
      <c r="B37" s="175" t="s">
        <v>1716</v>
      </c>
      <c r="C37" s="175">
        <v>2.02311008496E11</v>
      </c>
      <c r="D37" s="175" t="s">
        <v>610</v>
      </c>
      <c r="E37" s="177">
        <v>45171.0</v>
      </c>
      <c r="F37" s="175" t="s">
        <v>610</v>
      </c>
      <c r="G37" s="175" t="s">
        <v>1688</v>
      </c>
      <c r="H37" s="175" t="s">
        <v>2758</v>
      </c>
      <c r="I37" s="173"/>
      <c r="J37" s="173"/>
      <c r="K37" s="173"/>
      <c r="L37" s="173"/>
      <c r="M37" s="173"/>
      <c r="N37" s="173"/>
      <c r="O37" s="173"/>
      <c r="P37" s="173"/>
      <c r="Q37" s="173"/>
      <c r="R37" s="173"/>
      <c r="S37" s="173"/>
      <c r="T37" s="173"/>
      <c r="U37" s="173"/>
      <c r="V37" s="173"/>
      <c r="W37" s="173"/>
      <c r="X37" s="173"/>
      <c r="Y37" s="173"/>
      <c r="Z37" s="173"/>
    </row>
    <row r="38">
      <c r="A38" s="175">
        <v>32.0</v>
      </c>
      <c r="B38" s="175" t="s">
        <v>1720</v>
      </c>
      <c r="C38" s="175">
        <v>2.02311008498E11</v>
      </c>
      <c r="D38" s="175" t="s">
        <v>610</v>
      </c>
      <c r="E38" s="177">
        <v>45171.0</v>
      </c>
      <c r="F38" s="175" t="s">
        <v>610</v>
      </c>
      <c r="G38" s="175" t="s">
        <v>1683</v>
      </c>
      <c r="H38" s="175" t="s">
        <v>2758</v>
      </c>
      <c r="I38" s="173"/>
      <c r="J38" s="173"/>
      <c r="K38" s="173"/>
      <c r="L38" s="173"/>
      <c r="M38" s="173"/>
      <c r="N38" s="173"/>
      <c r="O38" s="173"/>
      <c r="P38" s="173"/>
      <c r="Q38" s="173"/>
      <c r="R38" s="173"/>
      <c r="S38" s="173"/>
      <c r="T38" s="173"/>
      <c r="U38" s="173"/>
      <c r="V38" s="173"/>
      <c r="W38" s="173"/>
      <c r="X38" s="173"/>
      <c r="Y38" s="173"/>
      <c r="Z38" s="173"/>
    </row>
    <row r="39">
      <c r="A39" s="175">
        <v>33.0</v>
      </c>
      <c r="B39" s="175" t="s">
        <v>1724</v>
      </c>
      <c r="C39" s="175">
        <v>2.02311008689E11</v>
      </c>
      <c r="D39" s="175" t="s">
        <v>610</v>
      </c>
      <c r="E39" s="177">
        <v>45171.0</v>
      </c>
      <c r="F39" s="175" t="s">
        <v>610</v>
      </c>
      <c r="G39" s="175" t="s">
        <v>1688</v>
      </c>
      <c r="H39" s="175" t="s">
        <v>2758</v>
      </c>
      <c r="I39" s="173"/>
      <c r="J39" s="173"/>
      <c r="K39" s="173"/>
      <c r="L39" s="173"/>
      <c r="M39" s="173"/>
      <c r="N39" s="173"/>
      <c r="O39" s="173"/>
      <c r="P39" s="173"/>
      <c r="Q39" s="173"/>
      <c r="R39" s="173"/>
      <c r="S39" s="173"/>
      <c r="T39" s="173"/>
      <c r="U39" s="173"/>
      <c r="V39" s="173"/>
      <c r="W39" s="173"/>
      <c r="X39" s="173"/>
      <c r="Y39" s="173"/>
      <c r="Z39" s="173"/>
    </row>
    <row r="40">
      <c r="A40" s="175">
        <v>34.0</v>
      </c>
      <c r="B40" s="175" t="s">
        <v>1727</v>
      </c>
      <c r="C40" s="175">
        <v>2.02411003219E11</v>
      </c>
      <c r="D40" s="175" t="s">
        <v>610</v>
      </c>
      <c r="E40" s="175" t="s">
        <v>879</v>
      </c>
      <c r="F40" s="175" t="s">
        <v>610</v>
      </c>
      <c r="G40" s="177">
        <v>45537.0</v>
      </c>
      <c r="H40" s="175" t="s">
        <v>2758</v>
      </c>
      <c r="I40" s="173"/>
      <c r="J40" s="173"/>
      <c r="K40" s="173"/>
      <c r="L40" s="173"/>
      <c r="M40" s="173"/>
      <c r="N40" s="173"/>
      <c r="O40" s="173"/>
      <c r="P40" s="173"/>
      <c r="Q40" s="173"/>
      <c r="R40" s="173"/>
      <c r="S40" s="173"/>
      <c r="T40" s="173"/>
      <c r="U40" s="173"/>
      <c r="V40" s="173"/>
      <c r="W40" s="173"/>
      <c r="X40" s="173"/>
      <c r="Y40" s="173"/>
      <c r="Z40" s="173"/>
    </row>
    <row r="41">
      <c r="A41" s="114" t="s">
        <v>2784</v>
      </c>
      <c r="B41" s="3"/>
      <c r="C41" s="3"/>
      <c r="D41" s="3"/>
      <c r="E41" s="3"/>
      <c r="F41" s="3"/>
      <c r="G41" s="3"/>
      <c r="H41" s="5"/>
      <c r="I41" s="173"/>
      <c r="J41" s="173"/>
      <c r="K41" s="173"/>
      <c r="L41" s="173"/>
      <c r="M41" s="173"/>
      <c r="N41" s="173"/>
      <c r="O41" s="173"/>
      <c r="P41" s="173"/>
      <c r="Q41" s="173"/>
      <c r="R41" s="173"/>
      <c r="S41" s="173"/>
      <c r="T41" s="173"/>
      <c r="U41" s="173"/>
      <c r="V41" s="173"/>
      <c r="W41" s="173"/>
      <c r="X41" s="173"/>
      <c r="Y41" s="173"/>
      <c r="Z41" s="173"/>
    </row>
    <row r="42">
      <c r="A42" s="175">
        <v>35.0</v>
      </c>
      <c r="B42" s="175" t="s">
        <v>2785</v>
      </c>
      <c r="C42" s="175" t="s">
        <v>2786</v>
      </c>
      <c r="D42" s="175" t="s">
        <v>610</v>
      </c>
      <c r="E42" s="175" t="s">
        <v>2787</v>
      </c>
      <c r="F42" s="180"/>
      <c r="G42" s="180"/>
      <c r="H42" s="175" t="s">
        <v>2788</v>
      </c>
      <c r="I42" s="173"/>
      <c r="J42" s="173"/>
      <c r="K42" s="173"/>
      <c r="L42" s="173"/>
      <c r="M42" s="173"/>
      <c r="N42" s="173"/>
      <c r="O42" s="173"/>
      <c r="P42" s="173"/>
      <c r="Q42" s="173"/>
      <c r="R42" s="173"/>
      <c r="S42" s="173"/>
      <c r="T42" s="173"/>
      <c r="U42" s="173"/>
      <c r="V42" s="173"/>
      <c r="W42" s="173"/>
      <c r="X42" s="173"/>
      <c r="Y42" s="173"/>
      <c r="Z42" s="173"/>
    </row>
    <row r="43">
      <c r="A43" s="175">
        <v>36.0</v>
      </c>
      <c r="B43" s="175" t="s">
        <v>2789</v>
      </c>
      <c r="C43" s="175" t="s">
        <v>2790</v>
      </c>
      <c r="D43" s="175" t="s">
        <v>610</v>
      </c>
      <c r="E43" s="177">
        <v>45572.0</v>
      </c>
      <c r="F43" s="180"/>
      <c r="G43" s="180"/>
      <c r="H43" s="175" t="s">
        <v>2763</v>
      </c>
      <c r="I43" s="173"/>
      <c r="J43" s="173"/>
      <c r="K43" s="173"/>
      <c r="L43" s="173"/>
      <c r="M43" s="173"/>
      <c r="N43" s="173"/>
      <c r="O43" s="173"/>
      <c r="P43" s="173"/>
      <c r="Q43" s="173"/>
      <c r="R43" s="173"/>
      <c r="S43" s="173"/>
      <c r="T43" s="173"/>
      <c r="U43" s="173"/>
      <c r="V43" s="173"/>
      <c r="W43" s="173"/>
      <c r="X43" s="173"/>
      <c r="Y43" s="173"/>
      <c r="Z43" s="173"/>
    </row>
    <row r="44">
      <c r="A44" s="175">
        <v>37.0</v>
      </c>
      <c r="B44" s="175" t="s">
        <v>1733</v>
      </c>
      <c r="C44" s="175">
        <v>2.0241105684E11</v>
      </c>
      <c r="D44" s="175" t="s">
        <v>610</v>
      </c>
      <c r="E44" s="175" t="s">
        <v>1735</v>
      </c>
      <c r="F44" s="175" t="s">
        <v>610</v>
      </c>
      <c r="G44" s="177">
        <v>45543.0</v>
      </c>
      <c r="H44" s="175" t="s">
        <v>2752</v>
      </c>
      <c r="I44" s="173"/>
      <c r="J44" s="173"/>
      <c r="K44" s="173"/>
      <c r="L44" s="173"/>
      <c r="M44" s="173"/>
      <c r="N44" s="173"/>
      <c r="O44" s="173"/>
      <c r="P44" s="173"/>
      <c r="Q44" s="173"/>
      <c r="R44" s="173"/>
      <c r="S44" s="173"/>
      <c r="T44" s="173"/>
      <c r="U44" s="173"/>
      <c r="V44" s="173"/>
      <c r="W44" s="173"/>
      <c r="X44" s="173"/>
      <c r="Y44" s="173"/>
      <c r="Z44" s="173"/>
    </row>
    <row r="45">
      <c r="A45" s="175">
        <v>38.0</v>
      </c>
      <c r="B45" s="175" t="s">
        <v>2791</v>
      </c>
      <c r="C45" s="175" t="s">
        <v>2792</v>
      </c>
      <c r="D45" s="175" t="s">
        <v>610</v>
      </c>
      <c r="E45" s="177">
        <v>45659.0</v>
      </c>
      <c r="F45" s="180"/>
      <c r="G45" s="180"/>
      <c r="H45" s="175" t="s">
        <v>2788</v>
      </c>
      <c r="I45" s="173"/>
      <c r="J45" s="173"/>
      <c r="K45" s="173"/>
      <c r="L45" s="173"/>
      <c r="M45" s="173"/>
      <c r="N45" s="173"/>
      <c r="O45" s="173"/>
      <c r="P45" s="173"/>
      <c r="Q45" s="173"/>
      <c r="R45" s="173"/>
      <c r="S45" s="173"/>
      <c r="T45" s="173"/>
      <c r="U45" s="173"/>
      <c r="V45" s="173"/>
      <c r="W45" s="173"/>
      <c r="X45" s="173"/>
      <c r="Y45" s="173"/>
      <c r="Z45" s="173"/>
    </row>
    <row r="46">
      <c r="A46" s="175">
        <v>39.0</v>
      </c>
      <c r="B46" s="175" t="s">
        <v>2793</v>
      </c>
      <c r="C46" s="175">
        <v>2.0251111456E11</v>
      </c>
      <c r="D46" s="175" t="s">
        <v>610</v>
      </c>
      <c r="E46" s="175" t="s">
        <v>2794</v>
      </c>
      <c r="F46" s="180"/>
      <c r="G46" s="180"/>
      <c r="H46" s="175" t="s">
        <v>2783</v>
      </c>
      <c r="I46" s="173"/>
      <c r="J46" s="173"/>
      <c r="K46" s="173"/>
      <c r="L46" s="173"/>
      <c r="M46" s="173"/>
      <c r="N46" s="173"/>
      <c r="O46" s="173"/>
      <c r="P46" s="173"/>
      <c r="Q46" s="173"/>
      <c r="R46" s="173"/>
      <c r="S46" s="173"/>
      <c r="T46" s="173"/>
      <c r="U46" s="173"/>
      <c r="V46" s="173"/>
      <c r="W46" s="173"/>
      <c r="X46" s="173"/>
      <c r="Y46" s="173"/>
      <c r="Z46" s="173"/>
    </row>
    <row r="47">
      <c r="A47" s="175">
        <v>40.0</v>
      </c>
      <c r="B47" s="175" t="s">
        <v>2795</v>
      </c>
      <c r="C47" s="175">
        <v>2.02511114561E11</v>
      </c>
      <c r="D47" s="175" t="s">
        <v>610</v>
      </c>
      <c r="E47" s="175" t="s">
        <v>2794</v>
      </c>
      <c r="F47" s="180"/>
      <c r="G47" s="180"/>
      <c r="H47" s="175" t="s">
        <v>2783</v>
      </c>
      <c r="I47" s="173"/>
      <c r="J47" s="173"/>
      <c r="K47" s="173"/>
      <c r="L47" s="173"/>
      <c r="M47" s="173"/>
      <c r="N47" s="173"/>
      <c r="O47" s="173"/>
      <c r="P47" s="173"/>
      <c r="Q47" s="173"/>
      <c r="R47" s="173"/>
      <c r="S47" s="173"/>
      <c r="T47" s="173"/>
      <c r="U47" s="173"/>
      <c r="V47" s="173"/>
      <c r="W47" s="173"/>
      <c r="X47" s="173"/>
      <c r="Y47" s="173"/>
      <c r="Z47" s="173"/>
    </row>
    <row r="48">
      <c r="A48" s="175">
        <v>41.0</v>
      </c>
      <c r="B48" s="175" t="s">
        <v>2796</v>
      </c>
      <c r="C48" s="175">
        <v>2.02511114562E11</v>
      </c>
      <c r="D48" s="175" t="s">
        <v>610</v>
      </c>
      <c r="E48" s="175" t="s">
        <v>2794</v>
      </c>
      <c r="F48" s="180"/>
      <c r="G48" s="180"/>
      <c r="H48" s="175" t="s">
        <v>2783</v>
      </c>
      <c r="I48" s="173"/>
      <c r="J48" s="173"/>
      <c r="K48" s="173"/>
      <c r="L48" s="173"/>
      <c r="M48" s="173"/>
      <c r="N48" s="173"/>
      <c r="O48" s="173"/>
      <c r="P48" s="173"/>
      <c r="Q48" s="173"/>
      <c r="R48" s="173"/>
      <c r="S48" s="173"/>
      <c r="T48" s="173"/>
      <c r="U48" s="173"/>
      <c r="V48" s="173"/>
      <c r="W48" s="173"/>
      <c r="X48" s="173"/>
      <c r="Y48" s="173"/>
      <c r="Z48" s="173"/>
    </row>
    <row r="49">
      <c r="A49" s="175">
        <v>42.0</v>
      </c>
      <c r="B49" s="175" t="s">
        <v>2797</v>
      </c>
      <c r="C49" s="175">
        <v>2.02511114563E11</v>
      </c>
      <c r="D49" s="175" t="s">
        <v>610</v>
      </c>
      <c r="E49" s="175" t="s">
        <v>2794</v>
      </c>
      <c r="F49" s="180"/>
      <c r="G49" s="180"/>
      <c r="H49" s="175" t="s">
        <v>2783</v>
      </c>
      <c r="I49" s="173"/>
      <c r="J49" s="173"/>
      <c r="K49" s="173"/>
      <c r="L49" s="173"/>
      <c r="M49" s="173"/>
      <c r="N49" s="173"/>
      <c r="O49" s="173"/>
      <c r="P49" s="173"/>
      <c r="Q49" s="173"/>
      <c r="R49" s="173"/>
      <c r="S49" s="173"/>
      <c r="T49" s="173"/>
      <c r="U49" s="173"/>
      <c r="V49" s="173"/>
      <c r="W49" s="173"/>
      <c r="X49" s="173"/>
      <c r="Y49" s="173"/>
      <c r="Z49" s="173"/>
    </row>
    <row r="50">
      <c r="A50" s="175">
        <v>43.0</v>
      </c>
      <c r="B50" s="175" t="s">
        <v>2798</v>
      </c>
      <c r="C50" s="175">
        <v>2.02521114748E11</v>
      </c>
      <c r="D50" s="175" t="s">
        <v>610</v>
      </c>
      <c r="E50" s="175" t="s">
        <v>2799</v>
      </c>
      <c r="F50" s="180"/>
      <c r="G50" s="180"/>
      <c r="H50" s="175" t="s">
        <v>2783</v>
      </c>
      <c r="I50" s="173"/>
      <c r="J50" s="173"/>
      <c r="K50" s="173"/>
      <c r="L50" s="173"/>
      <c r="M50" s="173"/>
      <c r="N50" s="173"/>
      <c r="O50" s="173"/>
      <c r="P50" s="173"/>
      <c r="Q50" s="173"/>
      <c r="R50" s="173"/>
      <c r="S50" s="173"/>
      <c r="T50" s="173"/>
      <c r="U50" s="173"/>
      <c r="V50" s="173"/>
      <c r="W50" s="173"/>
      <c r="X50" s="173"/>
      <c r="Y50" s="173"/>
      <c r="Z50" s="173"/>
    </row>
    <row r="51">
      <c r="A51" s="175">
        <v>44.0</v>
      </c>
      <c r="B51" s="175" t="s">
        <v>2800</v>
      </c>
      <c r="C51" s="180"/>
      <c r="D51" s="180"/>
      <c r="E51" s="180"/>
      <c r="F51" s="180"/>
      <c r="G51" s="180"/>
      <c r="H51" s="175" t="s">
        <v>2801</v>
      </c>
      <c r="I51" s="173"/>
      <c r="J51" s="173"/>
      <c r="K51" s="173"/>
      <c r="L51" s="173"/>
      <c r="M51" s="173"/>
      <c r="N51" s="173"/>
      <c r="O51" s="173"/>
      <c r="P51" s="173"/>
      <c r="Q51" s="173"/>
      <c r="R51" s="173"/>
      <c r="S51" s="173"/>
      <c r="T51" s="173"/>
      <c r="U51" s="173"/>
      <c r="V51" s="173"/>
      <c r="W51" s="173"/>
      <c r="X51" s="173"/>
      <c r="Y51" s="173"/>
      <c r="Z51" s="173"/>
    </row>
    <row r="52">
      <c r="A52" s="175">
        <v>45.0</v>
      </c>
      <c r="B52" s="175" t="s">
        <v>2802</v>
      </c>
      <c r="C52" s="180"/>
      <c r="D52" s="180"/>
      <c r="E52" s="180"/>
      <c r="F52" s="180"/>
      <c r="G52" s="180"/>
      <c r="H52" s="175" t="s">
        <v>2801</v>
      </c>
      <c r="I52" s="173"/>
      <c r="J52" s="173"/>
      <c r="K52" s="173"/>
      <c r="L52" s="173"/>
      <c r="M52" s="173"/>
      <c r="N52" s="173"/>
      <c r="O52" s="173"/>
      <c r="P52" s="173"/>
      <c r="Q52" s="173"/>
      <c r="R52" s="173"/>
      <c r="S52" s="173"/>
      <c r="T52" s="173"/>
      <c r="U52" s="173"/>
      <c r="V52" s="173"/>
      <c r="W52" s="173"/>
      <c r="X52" s="173"/>
      <c r="Y52" s="173"/>
      <c r="Z52" s="173"/>
    </row>
    <row r="53">
      <c r="A53" s="175">
        <v>46.0</v>
      </c>
      <c r="B53" s="175" t="s">
        <v>2803</v>
      </c>
      <c r="C53" s="180"/>
      <c r="D53" s="180"/>
      <c r="E53" s="180"/>
      <c r="F53" s="180"/>
      <c r="G53" s="180"/>
      <c r="H53" s="175" t="s">
        <v>2801</v>
      </c>
      <c r="I53" s="173"/>
      <c r="J53" s="173"/>
      <c r="K53" s="173"/>
      <c r="L53" s="173"/>
      <c r="M53" s="173"/>
      <c r="N53" s="173"/>
      <c r="O53" s="173"/>
      <c r="P53" s="173"/>
      <c r="Q53" s="173"/>
      <c r="R53" s="173"/>
      <c r="S53" s="173"/>
      <c r="T53" s="173"/>
      <c r="U53" s="173"/>
      <c r="V53" s="173"/>
      <c r="W53" s="173"/>
      <c r="X53" s="173"/>
      <c r="Y53" s="173"/>
      <c r="Z53" s="173"/>
    </row>
    <row r="54">
      <c r="A54" s="175">
        <v>47.0</v>
      </c>
      <c r="B54" s="175" t="s">
        <v>2804</v>
      </c>
      <c r="C54" s="180"/>
      <c r="D54" s="180"/>
      <c r="E54" s="180"/>
      <c r="F54" s="180"/>
      <c r="G54" s="180"/>
      <c r="H54" s="175" t="s">
        <v>2801</v>
      </c>
      <c r="I54" s="173"/>
      <c r="J54" s="173"/>
      <c r="K54" s="173"/>
      <c r="L54" s="173"/>
      <c r="M54" s="173"/>
      <c r="N54" s="173"/>
      <c r="O54" s="173"/>
      <c r="P54" s="173"/>
      <c r="Q54" s="173"/>
      <c r="R54" s="173"/>
      <c r="S54" s="173"/>
      <c r="T54" s="173"/>
      <c r="U54" s="173"/>
      <c r="V54" s="173"/>
      <c r="W54" s="173"/>
      <c r="X54" s="173"/>
      <c r="Y54" s="173"/>
      <c r="Z54" s="173"/>
    </row>
    <row r="55">
      <c r="A55" s="175">
        <v>48.0</v>
      </c>
      <c r="B55" s="175" t="s">
        <v>2805</v>
      </c>
      <c r="C55" s="180"/>
      <c r="D55" s="180"/>
      <c r="E55" s="180"/>
      <c r="F55" s="180"/>
      <c r="G55" s="180"/>
      <c r="H55" s="175" t="s">
        <v>2801</v>
      </c>
      <c r="I55" s="173"/>
      <c r="J55" s="173"/>
      <c r="K55" s="173"/>
      <c r="L55" s="173"/>
      <c r="M55" s="173"/>
      <c r="N55" s="173"/>
      <c r="O55" s="173"/>
      <c r="P55" s="173"/>
      <c r="Q55" s="173"/>
      <c r="R55" s="173"/>
      <c r="S55" s="173"/>
      <c r="T55" s="173"/>
      <c r="U55" s="173"/>
      <c r="V55" s="173"/>
      <c r="W55" s="173"/>
      <c r="X55" s="173"/>
      <c r="Y55" s="173"/>
      <c r="Z55" s="173"/>
    </row>
    <row r="56">
      <c r="A56" s="175">
        <v>49.0</v>
      </c>
      <c r="B56" s="175" t="s">
        <v>2806</v>
      </c>
      <c r="C56" s="180"/>
      <c r="D56" s="180"/>
      <c r="E56" s="180"/>
      <c r="F56" s="180"/>
      <c r="G56" s="180"/>
      <c r="H56" s="175" t="s">
        <v>2801</v>
      </c>
      <c r="I56" s="173"/>
      <c r="J56" s="173"/>
      <c r="K56" s="173"/>
      <c r="L56" s="173"/>
      <c r="M56" s="173"/>
      <c r="N56" s="173"/>
      <c r="O56" s="173"/>
      <c r="P56" s="173"/>
      <c r="Q56" s="173"/>
      <c r="R56" s="173"/>
      <c r="S56" s="173"/>
      <c r="T56" s="173"/>
      <c r="U56" s="173"/>
      <c r="V56" s="173"/>
      <c r="W56" s="173"/>
      <c r="X56" s="173"/>
      <c r="Y56" s="173"/>
      <c r="Z56" s="173"/>
    </row>
    <row r="57">
      <c r="A57" s="175">
        <v>50.0</v>
      </c>
      <c r="B57" s="175" t="s">
        <v>2807</v>
      </c>
      <c r="C57" s="180"/>
      <c r="D57" s="180"/>
      <c r="E57" s="180"/>
      <c r="F57" s="180"/>
      <c r="G57" s="180"/>
      <c r="H57" s="175" t="s">
        <v>2801</v>
      </c>
      <c r="I57" s="173"/>
      <c r="J57" s="173"/>
      <c r="K57" s="173"/>
      <c r="L57" s="173"/>
      <c r="M57" s="173"/>
      <c r="N57" s="173"/>
      <c r="O57" s="173"/>
      <c r="P57" s="173"/>
      <c r="Q57" s="173"/>
      <c r="R57" s="173"/>
      <c r="S57" s="173"/>
      <c r="T57" s="173"/>
      <c r="U57" s="173"/>
      <c r="V57" s="173"/>
      <c r="W57" s="173"/>
      <c r="X57" s="173"/>
      <c r="Y57" s="173"/>
      <c r="Z57" s="173"/>
    </row>
    <row r="58">
      <c r="A58" s="175">
        <v>51.0</v>
      </c>
      <c r="B58" s="175" t="s">
        <v>2808</v>
      </c>
      <c r="C58" s="180"/>
      <c r="D58" s="180"/>
      <c r="E58" s="180"/>
      <c r="F58" s="180"/>
      <c r="G58" s="180"/>
      <c r="H58" s="175" t="s">
        <v>2801</v>
      </c>
      <c r="I58" s="173"/>
      <c r="J58" s="173"/>
      <c r="K58" s="173"/>
      <c r="L58" s="173"/>
      <c r="M58" s="173"/>
      <c r="N58" s="173"/>
      <c r="O58" s="173"/>
      <c r="P58" s="173"/>
      <c r="Q58" s="173"/>
      <c r="R58" s="173"/>
      <c r="S58" s="173"/>
      <c r="T58" s="173"/>
      <c r="U58" s="173"/>
      <c r="V58" s="173"/>
      <c r="W58" s="173"/>
      <c r="X58" s="173"/>
      <c r="Y58" s="173"/>
      <c r="Z58" s="173"/>
    </row>
    <row r="59">
      <c r="A59" s="175">
        <v>52.0</v>
      </c>
      <c r="B59" s="175" t="s">
        <v>2809</v>
      </c>
      <c r="C59" s="180"/>
      <c r="D59" s="180"/>
      <c r="E59" s="180"/>
      <c r="F59" s="180"/>
      <c r="G59" s="180"/>
      <c r="H59" s="175" t="s">
        <v>2801</v>
      </c>
      <c r="I59" s="173"/>
      <c r="J59" s="173"/>
      <c r="K59" s="173"/>
      <c r="L59" s="173"/>
      <c r="M59" s="173"/>
      <c r="N59" s="173"/>
      <c r="O59" s="173"/>
      <c r="P59" s="173"/>
      <c r="Q59" s="173"/>
      <c r="R59" s="173"/>
      <c r="S59" s="173"/>
      <c r="T59" s="173"/>
      <c r="U59" s="173"/>
      <c r="V59" s="173"/>
      <c r="W59" s="173"/>
      <c r="X59" s="173"/>
      <c r="Y59" s="173"/>
      <c r="Z59" s="173"/>
    </row>
    <row r="60">
      <c r="A60" s="175">
        <v>53.0</v>
      </c>
      <c r="B60" s="175" t="s">
        <v>2810</v>
      </c>
      <c r="C60" s="180"/>
      <c r="D60" s="180"/>
      <c r="E60" s="180"/>
      <c r="F60" s="180"/>
      <c r="G60" s="180"/>
      <c r="H60" s="175" t="s">
        <v>2801</v>
      </c>
      <c r="I60" s="173"/>
      <c r="J60" s="173"/>
      <c r="K60" s="173"/>
      <c r="L60" s="173"/>
      <c r="M60" s="173"/>
      <c r="N60" s="173"/>
      <c r="O60" s="173"/>
      <c r="P60" s="173"/>
      <c r="Q60" s="173"/>
      <c r="R60" s="173"/>
      <c r="S60" s="173"/>
      <c r="T60" s="173"/>
      <c r="U60" s="173"/>
      <c r="V60" s="173"/>
      <c r="W60" s="173"/>
      <c r="X60" s="173"/>
      <c r="Y60" s="173"/>
      <c r="Z60" s="173"/>
    </row>
    <row r="61">
      <c r="A61" s="175">
        <v>54.0</v>
      </c>
      <c r="B61" s="175" t="s">
        <v>2811</v>
      </c>
      <c r="C61" s="180"/>
      <c r="D61" s="180"/>
      <c r="E61" s="180"/>
      <c r="F61" s="180"/>
      <c r="G61" s="180"/>
      <c r="H61" s="175" t="s">
        <v>2801</v>
      </c>
      <c r="I61" s="173"/>
      <c r="J61" s="173"/>
      <c r="K61" s="173"/>
      <c r="L61" s="173"/>
      <c r="M61" s="173"/>
      <c r="N61" s="173"/>
      <c r="O61" s="173"/>
      <c r="P61" s="173"/>
      <c r="Q61" s="173"/>
      <c r="R61" s="173"/>
      <c r="S61" s="173"/>
      <c r="T61" s="173"/>
      <c r="U61" s="173"/>
      <c r="V61" s="173"/>
      <c r="W61" s="173"/>
      <c r="X61" s="173"/>
      <c r="Y61" s="173"/>
      <c r="Z61" s="173"/>
    </row>
    <row r="62">
      <c r="A62" s="175">
        <v>55.0</v>
      </c>
      <c r="B62" s="175" t="s">
        <v>2812</v>
      </c>
      <c r="C62" s="180"/>
      <c r="D62" s="180"/>
      <c r="E62" s="180"/>
      <c r="F62" s="180"/>
      <c r="G62" s="180"/>
      <c r="H62" s="175" t="s">
        <v>2801</v>
      </c>
      <c r="I62" s="173"/>
      <c r="J62" s="173"/>
      <c r="K62" s="173"/>
      <c r="L62" s="173"/>
      <c r="M62" s="173"/>
      <c r="N62" s="173"/>
      <c r="O62" s="173"/>
      <c r="P62" s="173"/>
      <c r="Q62" s="173"/>
      <c r="R62" s="173"/>
      <c r="S62" s="173"/>
      <c r="T62" s="173"/>
      <c r="U62" s="173"/>
      <c r="V62" s="173"/>
      <c r="W62" s="173"/>
      <c r="X62" s="173"/>
      <c r="Y62" s="173"/>
      <c r="Z62" s="173"/>
    </row>
    <row r="63">
      <c r="A63" s="173"/>
      <c r="B63" s="173"/>
      <c r="C63" s="173"/>
      <c r="D63" s="173"/>
      <c r="E63" s="173"/>
      <c r="F63" s="173"/>
      <c r="G63" s="173"/>
      <c r="H63" s="173"/>
      <c r="I63" s="173"/>
      <c r="J63" s="173"/>
      <c r="K63" s="173"/>
      <c r="L63" s="173"/>
      <c r="M63" s="173"/>
      <c r="N63" s="173"/>
      <c r="O63" s="173"/>
      <c r="P63" s="173"/>
      <c r="Q63" s="173"/>
      <c r="R63" s="173"/>
      <c r="S63" s="173"/>
      <c r="T63" s="173"/>
      <c r="U63" s="173"/>
      <c r="V63" s="173"/>
      <c r="W63" s="173"/>
      <c r="X63" s="173"/>
      <c r="Y63" s="173"/>
      <c r="Z63" s="173"/>
    </row>
    <row r="64">
      <c r="A64" s="173"/>
      <c r="B64" s="173"/>
      <c r="C64" s="173"/>
      <c r="D64" s="173"/>
      <c r="E64" s="173"/>
      <c r="F64" s="173"/>
      <c r="G64" s="173"/>
      <c r="H64" s="173"/>
      <c r="I64" s="173"/>
      <c r="J64" s="173"/>
      <c r="K64" s="173"/>
      <c r="L64" s="173"/>
      <c r="M64" s="173"/>
      <c r="N64" s="173"/>
      <c r="O64" s="173"/>
      <c r="P64" s="173"/>
      <c r="Q64" s="173"/>
      <c r="R64" s="173"/>
      <c r="S64" s="173"/>
      <c r="T64" s="173"/>
      <c r="U64" s="173"/>
      <c r="V64" s="173"/>
      <c r="W64" s="173"/>
      <c r="X64" s="173"/>
      <c r="Y64" s="173"/>
      <c r="Z64" s="173"/>
    </row>
    <row r="65">
      <c r="A65" s="173"/>
      <c r="B65" s="173"/>
      <c r="C65" s="173"/>
      <c r="D65" s="173"/>
      <c r="E65" s="173"/>
      <c r="F65" s="173"/>
      <c r="G65" s="173"/>
      <c r="H65" s="173"/>
      <c r="I65" s="173"/>
      <c r="J65" s="173"/>
      <c r="K65" s="173"/>
      <c r="L65" s="173"/>
      <c r="M65" s="173"/>
      <c r="N65" s="173"/>
      <c r="O65" s="173"/>
      <c r="P65" s="173"/>
      <c r="Q65" s="173"/>
      <c r="R65" s="173"/>
      <c r="S65" s="173"/>
      <c r="T65" s="173"/>
      <c r="U65" s="173"/>
      <c r="V65" s="173"/>
      <c r="W65" s="173"/>
      <c r="X65" s="173"/>
      <c r="Y65" s="173"/>
      <c r="Z65" s="173"/>
    </row>
    <row r="66">
      <c r="A66" s="173"/>
      <c r="B66" s="173"/>
      <c r="C66" s="173"/>
      <c r="D66" s="173"/>
      <c r="E66" s="173"/>
      <c r="F66" s="173"/>
      <c r="G66" s="173"/>
      <c r="H66" s="173"/>
      <c r="I66" s="173"/>
      <c r="J66" s="173"/>
      <c r="K66" s="173"/>
      <c r="L66" s="173"/>
      <c r="M66" s="173"/>
      <c r="N66" s="173"/>
      <c r="O66" s="173"/>
      <c r="P66" s="173"/>
      <c r="Q66" s="173"/>
      <c r="R66" s="173"/>
      <c r="S66" s="173"/>
      <c r="T66" s="173"/>
      <c r="U66" s="173"/>
      <c r="V66" s="173"/>
      <c r="W66" s="173"/>
      <c r="X66" s="173"/>
      <c r="Y66" s="173"/>
      <c r="Z66" s="173"/>
    </row>
    <row r="67">
      <c r="A67" s="173"/>
      <c r="B67" s="173"/>
      <c r="C67" s="173"/>
      <c r="D67" s="173"/>
      <c r="E67" s="173"/>
      <c r="F67" s="173"/>
      <c r="G67" s="173"/>
      <c r="H67" s="173"/>
      <c r="I67" s="173"/>
      <c r="J67" s="173"/>
      <c r="K67" s="173"/>
      <c r="L67" s="173"/>
      <c r="M67" s="173"/>
      <c r="N67" s="173"/>
      <c r="O67" s="173"/>
      <c r="P67" s="173"/>
      <c r="Q67" s="173"/>
      <c r="R67" s="173"/>
      <c r="S67" s="173"/>
      <c r="T67" s="173"/>
      <c r="U67" s="173"/>
      <c r="V67" s="173"/>
      <c r="W67" s="173"/>
      <c r="X67" s="173"/>
      <c r="Y67" s="173"/>
      <c r="Z67" s="173"/>
    </row>
    <row r="68">
      <c r="A68" s="173"/>
      <c r="B68" s="173"/>
      <c r="C68" s="173"/>
      <c r="D68" s="173"/>
      <c r="E68" s="173"/>
      <c r="F68" s="173"/>
      <c r="G68" s="173"/>
      <c r="H68" s="173"/>
      <c r="I68" s="173"/>
      <c r="J68" s="173"/>
      <c r="K68" s="173"/>
      <c r="L68" s="173"/>
      <c r="M68" s="173"/>
      <c r="N68" s="173"/>
      <c r="O68" s="173"/>
      <c r="P68" s="173"/>
      <c r="Q68" s="173"/>
      <c r="R68" s="173"/>
      <c r="S68" s="173"/>
      <c r="T68" s="173"/>
      <c r="U68" s="173"/>
      <c r="V68" s="173"/>
      <c r="W68" s="173"/>
      <c r="X68" s="173"/>
      <c r="Y68" s="173"/>
      <c r="Z68" s="173"/>
    </row>
    <row r="69">
      <c r="A69" s="173"/>
      <c r="B69" s="173"/>
      <c r="C69" s="173"/>
      <c r="D69" s="173"/>
      <c r="E69" s="173"/>
      <c r="F69" s="173"/>
      <c r="G69" s="173"/>
      <c r="H69" s="173"/>
      <c r="I69" s="173"/>
      <c r="J69" s="173"/>
      <c r="K69" s="173"/>
      <c r="L69" s="173"/>
      <c r="M69" s="173"/>
      <c r="N69" s="173"/>
      <c r="O69" s="173"/>
      <c r="P69" s="173"/>
      <c r="Q69" s="173"/>
      <c r="R69" s="173"/>
      <c r="S69" s="173"/>
      <c r="T69" s="173"/>
      <c r="U69" s="173"/>
      <c r="V69" s="173"/>
      <c r="W69" s="173"/>
      <c r="X69" s="173"/>
      <c r="Y69" s="173"/>
      <c r="Z69" s="173"/>
    </row>
    <row r="70">
      <c r="A70" s="173"/>
      <c r="B70" s="173"/>
      <c r="C70" s="173"/>
      <c r="D70" s="173"/>
      <c r="E70" s="173"/>
      <c r="F70" s="173"/>
      <c r="G70" s="173"/>
      <c r="H70" s="173"/>
      <c r="I70" s="173"/>
      <c r="J70" s="173"/>
      <c r="K70" s="173"/>
      <c r="L70" s="173"/>
      <c r="M70" s="173"/>
      <c r="N70" s="173"/>
      <c r="O70" s="173"/>
      <c r="P70" s="173"/>
      <c r="Q70" s="173"/>
      <c r="R70" s="173"/>
      <c r="S70" s="173"/>
      <c r="T70" s="173"/>
      <c r="U70" s="173"/>
      <c r="V70" s="173"/>
      <c r="W70" s="173"/>
      <c r="X70" s="173"/>
      <c r="Y70" s="173"/>
      <c r="Z70" s="173"/>
    </row>
    <row r="71">
      <c r="A71" s="173"/>
      <c r="B71" s="173"/>
      <c r="C71" s="173"/>
      <c r="D71" s="173"/>
      <c r="E71" s="173"/>
      <c r="F71" s="173"/>
      <c r="G71" s="173"/>
      <c r="H71" s="173"/>
      <c r="I71" s="173"/>
      <c r="J71" s="173"/>
      <c r="K71" s="173"/>
      <c r="L71" s="173"/>
      <c r="M71" s="173"/>
      <c r="N71" s="173"/>
      <c r="O71" s="173"/>
      <c r="P71" s="173"/>
      <c r="Q71" s="173"/>
      <c r="R71" s="173"/>
      <c r="S71" s="173"/>
      <c r="T71" s="173"/>
      <c r="U71" s="173"/>
      <c r="V71" s="173"/>
      <c r="W71" s="173"/>
      <c r="X71" s="173"/>
      <c r="Y71" s="173"/>
      <c r="Z71" s="173"/>
    </row>
    <row r="72">
      <c r="A72" s="173"/>
      <c r="B72" s="173"/>
      <c r="C72" s="173"/>
      <c r="D72" s="173"/>
      <c r="E72" s="173"/>
      <c r="F72" s="173"/>
      <c r="G72" s="173"/>
      <c r="H72" s="173"/>
      <c r="I72" s="173"/>
      <c r="J72" s="173"/>
      <c r="K72" s="173"/>
      <c r="L72" s="173"/>
      <c r="M72" s="173"/>
      <c r="N72" s="173"/>
      <c r="O72" s="173"/>
      <c r="P72" s="173"/>
      <c r="Q72" s="173"/>
      <c r="R72" s="173"/>
      <c r="S72" s="173"/>
      <c r="T72" s="173"/>
      <c r="U72" s="173"/>
      <c r="V72" s="173"/>
      <c r="W72" s="173"/>
      <c r="X72" s="173"/>
      <c r="Y72" s="173"/>
      <c r="Z72" s="173"/>
    </row>
    <row r="73">
      <c r="A73" s="173"/>
      <c r="B73" s="173"/>
      <c r="C73" s="173"/>
      <c r="D73" s="173"/>
      <c r="E73" s="173"/>
      <c r="F73" s="173"/>
      <c r="G73" s="173"/>
      <c r="H73" s="173"/>
      <c r="I73" s="173"/>
      <c r="J73" s="173"/>
      <c r="K73" s="173"/>
      <c r="L73" s="173"/>
      <c r="M73" s="173"/>
      <c r="N73" s="173"/>
      <c r="O73" s="173"/>
      <c r="P73" s="173"/>
      <c r="Q73" s="173"/>
      <c r="R73" s="173"/>
      <c r="S73" s="173"/>
      <c r="T73" s="173"/>
      <c r="U73" s="173"/>
      <c r="V73" s="173"/>
      <c r="W73" s="173"/>
      <c r="X73" s="173"/>
      <c r="Y73" s="173"/>
      <c r="Z73" s="173"/>
    </row>
    <row r="74">
      <c r="A74" s="173"/>
      <c r="B74" s="173"/>
      <c r="C74" s="173"/>
      <c r="D74" s="173"/>
      <c r="E74" s="173"/>
      <c r="F74" s="173"/>
      <c r="G74" s="173"/>
      <c r="H74" s="173"/>
      <c r="I74" s="173"/>
      <c r="J74" s="173"/>
      <c r="K74" s="173"/>
      <c r="L74" s="173"/>
      <c r="M74" s="173"/>
      <c r="N74" s="173"/>
      <c r="O74" s="173"/>
      <c r="P74" s="173"/>
      <c r="Q74" s="173"/>
      <c r="R74" s="173"/>
      <c r="S74" s="173"/>
      <c r="T74" s="173"/>
      <c r="U74" s="173"/>
      <c r="V74" s="173"/>
      <c r="W74" s="173"/>
      <c r="X74" s="173"/>
      <c r="Y74" s="173"/>
      <c r="Z74" s="173"/>
    </row>
    <row r="75">
      <c r="A75" s="173"/>
      <c r="B75" s="173"/>
      <c r="C75" s="173"/>
      <c r="D75" s="173"/>
      <c r="E75" s="173"/>
      <c r="F75" s="173"/>
      <c r="G75" s="173"/>
      <c r="H75" s="173"/>
      <c r="I75" s="173"/>
      <c r="J75" s="173"/>
      <c r="K75" s="173"/>
      <c r="L75" s="173"/>
      <c r="M75" s="173"/>
      <c r="N75" s="173"/>
      <c r="O75" s="173"/>
      <c r="P75" s="173"/>
      <c r="Q75" s="173"/>
      <c r="R75" s="173"/>
      <c r="S75" s="173"/>
      <c r="T75" s="173"/>
      <c r="U75" s="173"/>
      <c r="V75" s="173"/>
      <c r="W75" s="173"/>
      <c r="X75" s="173"/>
      <c r="Y75" s="173"/>
      <c r="Z75" s="173"/>
    </row>
    <row r="76">
      <c r="A76" s="173"/>
      <c r="B76" s="173"/>
      <c r="C76" s="173"/>
      <c r="D76" s="173"/>
      <c r="E76" s="173"/>
      <c r="F76" s="173"/>
      <c r="G76" s="173"/>
      <c r="H76" s="173"/>
      <c r="I76" s="173"/>
      <c r="J76" s="173"/>
      <c r="K76" s="173"/>
      <c r="L76" s="173"/>
      <c r="M76" s="173"/>
      <c r="N76" s="173"/>
      <c r="O76" s="173"/>
      <c r="P76" s="173"/>
      <c r="Q76" s="173"/>
      <c r="R76" s="173"/>
      <c r="S76" s="173"/>
      <c r="T76" s="173"/>
      <c r="U76" s="173"/>
      <c r="V76" s="173"/>
      <c r="W76" s="173"/>
      <c r="X76" s="173"/>
      <c r="Y76" s="173"/>
      <c r="Z76" s="173"/>
    </row>
    <row r="77">
      <c r="A77" s="173"/>
      <c r="B77" s="173"/>
      <c r="C77" s="173"/>
      <c r="D77" s="173"/>
      <c r="E77" s="173"/>
      <c r="F77" s="173"/>
      <c r="G77" s="173"/>
      <c r="H77" s="173"/>
      <c r="I77" s="173"/>
      <c r="J77" s="173"/>
      <c r="K77" s="173"/>
      <c r="L77" s="173"/>
      <c r="M77" s="173"/>
      <c r="N77" s="173"/>
      <c r="O77" s="173"/>
      <c r="P77" s="173"/>
      <c r="Q77" s="173"/>
      <c r="R77" s="173"/>
      <c r="S77" s="173"/>
      <c r="T77" s="173"/>
      <c r="U77" s="173"/>
      <c r="V77" s="173"/>
      <c r="W77" s="173"/>
      <c r="X77" s="173"/>
      <c r="Y77" s="173"/>
      <c r="Z77" s="173"/>
    </row>
    <row r="78">
      <c r="A78" s="173"/>
      <c r="B78" s="173"/>
      <c r="C78" s="173"/>
      <c r="D78" s="173"/>
      <c r="E78" s="173"/>
      <c r="F78" s="173"/>
      <c r="G78" s="173"/>
      <c r="H78" s="173"/>
      <c r="I78" s="173"/>
      <c r="J78" s="173"/>
      <c r="K78" s="173"/>
      <c r="L78" s="173"/>
      <c r="M78" s="173"/>
      <c r="N78" s="173"/>
      <c r="O78" s="173"/>
      <c r="P78" s="173"/>
      <c r="Q78" s="173"/>
      <c r="R78" s="173"/>
      <c r="S78" s="173"/>
      <c r="T78" s="173"/>
      <c r="U78" s="173"/>
      <c r="V78" s="173"/>
      <c r="W78" s="173"/>
      <c r="X78" s="173"/>
      <c r="Y78" s="173"/>
      <c r="Z78" s="173"/>
    </row>
    <row r="79">
      <c r="A79" s="173"/>
      <c r="B79" s="173"/>
      <c r="C79" s="173"/>
      <c r="D79" s="173"/>
      <c r="E79" s="173"/>
      <c r="F79" s="173"/>
      <c r="G79" s="173"/>
      <c r="H79" s="173"/>
      <c r="I79" s="173"/>
      <c r="J79" s="173"/>
      <c r="K79" s="173"/>
      <c r="L79" s="173"/>
      <c r="M79" s="173"/>
      <c r="N79" s="173"/>
      <c r="O79" s="173"/>
      <c r="P79" s="173"/>
      <c r="Q79" s="173"/>
      <c r="R79" s="173"/>
      <c r="S79" s="173"/>
      <c r="T79" s="173"/>
      <c r="U79" s="173"/>
      <c r="V79" s="173"/>
      <c r="W79" s="173"/>
      <c r="X79" s="173"/>
      <c r="Y79" s="173"/>
      <c r="Z79" s="173"/>
    </row>
    <row r="80">
      <c r="A80" s="173"/>
      <c r="B80" s="173"/>
      <c r="C80" s="173"/>
      <c r="D80" s="173"/>
      <c r="E80" s="173"/>
      <c r="F80" s="173"/>
      <c r="G80" s="173"/>
      <c r="H80" s="173"/>
      <c r="I80" s="173"/>
      <c r="J80" s="173"/>
      <c r="K80" s="173"/>
      <c r="L80" s="173"/>
      <c r="M80" s="173"/>
      <c r="N80" s="173"/>
      <c r="O80" s="173"/>
      <c r="P80" s="173"/>
      <c r="Q80" s="173"/>
      <c r="R80" s="173"/>
      <c r="S80" s="173"/>
      <c r="T80" s="173"/>
      <c r="U80" s="173"/>
      <c r="V80" s="173"/>
      <c r="W80" s="173"/>
      <c r="X80" s="173"/>
      <c r="Y80" s="173"/>
      <c r="Z80" s="173"/>
    </row>
    <row r="81">
      <c r="A81" s="173"/>
      <c r="B81" s="173"/>
      <c r="C81" s="173"/>
      <c r="D81" s="173"/>
      <c r="E81" s="173"/>
      <c r="F81" s="173"/>
      <c r="G81" s="173"/>
      <c r="H81" s="173"/>
      <c r="I81" s="173"/>
      <c r="J81" s="173"/>
      <c r="K81" s="173"/>
      <c r="L81" s="173"/>
      <c r="M81" s="173"/>
      <c r="N81" s="173"/>
      <c r="O81" s="173"/>
      <c r="P81" s="173"/>
      <c r="Q81" s="173"/>
      <c r="R81" s="173"/>
      <c r="S81" s="173"/>
      <c r="T81" s="173"/>
      <c r="U81" s="173"/>
      <c r="V81" s="173"/>
      <c r="W81" s="173"/>
      <c r="X81" s="173"/>
      <c r="Y81" s="173"/>
      <c r="Z81" s="173"/>
    </row>
    <row r="82">
      <c r="A82" s="173"/>
      <c r="B82" s="173"/>
      <c r="C82" s="173"/>
      <c r="D82" s="173"/>
      <c r="E82" s="173"/>
      <c r="F82" s="173"/>
      <c r="G82" s="173"/>
      <c r="H82" s="173"/>
      <c r="I82" s="173"/>
      <c r="J82" s="173"/>
      <c r="K82" s="173"/>
      <c r="L82" s="173"/>
      <c r="M82" s="173"/>
      <c r="N82" s="173"/>
      <c r="O82" s="173"/>
      <c r="P82" s="173"/>
      <c r="Q82" s="173"/>
      <c r="R82" s="173"/>
      <c r="S82" s="173"/>
      <c r="T82" s="173"/>
      <c r="U82" s="173"/>
      <c r="V82" s="173"/>
      <c r="W82" s="173"/>
      <c r="X82" s="173"/>
      <c r="Y82" s="173"/>
      <c r="Z82" s="173"/>
    </row>
    <row r="83">
      <c r="A83" s="173"/>
      <c r="B83" s="173"/>
      <c r="C83" s="173"/>
      <c r="D83" s="173"/>
      <c r="E83" s="173"/>
      <c r="F83" s="173"/>
      <c r="G83" s="173"/>
      <c r="H83" s="173"/>
      <c r="I83" s="173"/>
      <c r="J83" s="173"/>
      <c r="K83" s="173"/>
      <c r="L83" s="173"/>
      <c r="M83" s="173"/>
      <c r="N83" s="173"/>
      <c r="O83" s="173"/>
      <c r="P83" s="173"/>
      <c r="Q83" s="173"/>
      <c r="R83" s="173"/>
      <c r="S83" s="173"/>
      <c r="T83" s="173"/>
      <c r="U83" s="173"/>
      <c r="V83" s="173"/>
      <c r="W83" s="173"/>
      <c r="X83" s="173"/>
      <c r="Y83" s="173"/>
      <c r="Z83" s="173"/>
    </row>
    <row r="84">
      <c r="A84" s="173"/>
      <c r="B84" s="173"/>
      <c r="C84" s="173"/>
      <c r="D84" s="173"/>
      <c r="E84" s="173"/>
      <c r="F84" s="173"/>
      <c r="G84" s="173"/>
      <c r="H84" s="173"/>
      <c r="I84" s="173"/>
      <c r="J84" s="173"/>
      <c r="K84" s="173"/>
      <c r="L84" s="173"/>
      <c r="M84" s="173"/>
      <c r="N84" s="173"/>
      <c r="O84" s="173"/>
      <c r="P84" s="173"/>
      <c r="Q84" s="173"/>
      <c r="R84" s="173"/>
      <c r="S84" s="173"/>
      <c r="T84" s="173"/>
      <c r="U84" s="173"/>
      <c r="V84" s="173"/>
      <c r="W84" s="173"/>
      <c r="X84" s="173"/>
      <c r="Y84" s="173"/>
      <c r="Z84" s="173"/>
    </row>
    <row r="85">
      <c r="A85" s="173"/>
      <c r="B85" s="173"/>
      <c r="C85" s="173"/>
      <c r="D85" s="173"/>
      <c r="E85" s="173"/>
      <c r="F85" s="173"/>
      <c r="G85" s="173"/>
      <c r="H85" s="173"/>
      <c r="I85" s="173"/>
      <c r="J85" s="173"/>
      <c r="K85" s="173"/>
      <c r="L85" s="173"/>
      <c r="M85" s="173"/>
      <c r="N85" s="173"/>
      <c r="O85" s="173"/>
      <c r="P85" s="173"/>
      <c r="Q85" s="173"/>
      <c r="R85" s="173"/>
      <c r="S85" s="173"/>
      <c r="T85" s="173"/>
      <c r="U85" s="173"/>
      <c r="V85" s="173"/>
      <c r="W85" s="173"/>
      <c r="X85" s="173"/>
      <c r="Y85" s="173"/>
      <c r="Z85" s="173"/>
    </row>
    <row r="86">
      <c r="A86" s="173"/>
      <c r="B86" s="173"/>
      <c r="C86" s="173"/>
      <c r="D86" s="173"/>
      <c r="E86" s="173"/>
      <c r="F86" s="173"/>
      <c r="G86" s="173"/>
      <c r="H86" s="173"/>
      <c r="I86" s="173"/>
      <c r="J86" s="173"/>
      <c r="K86" s="173"/>
      <c r="L86" s="173"/>
      <c r="M86" s="173"/>
      <c r="N86" s="173"/>
      <c r="O86" s="173"/>
      <c r="P86" s="173"/>
      <c r="Q86" s="173"/>
      <c r="R86" s="173"/>
      <c r="S86" s="173"/>
      <c r="T86" s="173"/>
      <c r="U86" s="173"/>
      <c r="V86" s="173"/>
      <c r="W86" s="173"/>
      <c r="X86" s="173"/>
      <c r="Y86" s="173"/>
      <c r="Z86" s="173"/>
    </row>
    <row r="87">
      <c r="A87" s="173"/>
      <c r="B87" s="173"/>
      <c r="C87" s="173"/>
      <c r="D87" s="173"/>
      <c r="E87" s="173"/>
      <c r="F87" s="173"/>
      <c r="G87" s="173"/>
      <c r="H87" s="173"/>
      <c r="I87" s="173"/>
      <c r="J87" s="173"/>
      <c r="K87" s="173"/>
      <c r="L87" s="173"/>
      <c r="M87" s="173"/>
      <c r="N87" s="173"/>
      <c r="O87" s="173"/>
      <c r="P87" s="173"/>
      <c r="Q87" s="173"/>
      <c r="R87" s="173"/>
      <c r="S87" s="173"/>
      <c r="T87" s="173"/>
      <c r="U87" s="173"/>
      <c r="V87" s="173"/>
      <c r="W87" s="173"/>
      <c r="X87" s="173"/>
      <c r="Y87" s="173"/>
      <c r="Z87" s="173"/>
    </row>
    <row r="88">
      <c r="A88" s="173"/>
      <c r="B88" s="173"/>
      <c r="C88" s="173"/>
      <c r="D88" s="173"/>
      <c r="E88" s="173"/>
      <c r="F88" s="173"/>
      <c r="G88" s="173"/>
      <c r="H88" s="173"/>
      <c r="I88" s="173"/>
      <c r="J88" s="173"/>
      <c r="K88" s="173"/>
      <c r="L88" s="173"/>
      <c r="M88" s="173"/>
      <c r="N88" s="173"/>
      <c r="O88" s="173"/>
      <c r="P88" s="173"/>
      <c r="Q88" s="173"/>
      <c r="R88" s="173"/>
      <c r="S88" s="173"/>
      <c r="T88" s="173"/>
      <c r="U88" s="173"/>
      <c r="V88" s="173"/>
      <c r="W88" s="173"/>
      <c r="X88" s="173"/>
      <c r="Y88" s="173"/>
      <c r="Z88" s="173"/>
    </row>
    <row r="89">
      <c r="A89" s="173"/>
      <c r="B89" s="173"/>
      <c r="C89" s="173"/>
      <c r="D89" s="173"/>
      <c r="E89" s="173"/>
      <c r="F89" s="173"/>
      <c r="G89" s="173"/>
      <c r="H89" s="173"/>
      <c r="I89" s="173"/>
      <c r="J89" s="173"/>
      <c r="K89" s="173"/>
      <c r="L89" s="173"/>
      <c r="M89" s="173"/>
      <c r="N89" s="173"/>
      <c r="O89" s="173"/>
      <c r="P89" s="173"/>
      <c r="Q89" s="173"/>
      <c r="R89" s="173"/>
      <c r="S89" s="173"/>
      <c r="T89" s="173"/>
      <c r="U89" s="173"/>
      <c r="V89" s="173"/>
      <c r="W89" s="173"/>
      <c r="X89" s="173"/>
      <c r="Y89" s="173"/>
      <c r="Z89" s="173"/>
    </row>
    <row r="90">
      <c r="A90" s="173"/>
      <c r="B90" s="173"/>
      <c r="C90" s="173"/>
      <c r="D90" s="173"/>
      <c r="E90" s="173"/>
      <c r="F90" s="173"/>
      <c r="G90" s="173"/>
      <c r="H90" s="173"/>
      <c r="I90" s="173"/>
      <c r="J90" s="173"/>
      <c r="K90" s="173"/>
      <c r="L90" s="173"/>
      <c r="M90" s="173"/>
      <c r="N90" s="173"/>
      <c r="O90" s="173"/>
      <c r="P90" s="173"/>
      <c r="Q90" s="173"/>
      <c r="R90" s="173"/>
      <c r="S90" s="173"/>
      <c r="T90" s="173"/>
      <c r="U90" s="173"/>
      <c r="V90" s="173"/>
      <c r="W90" s="173"/>
      <c r="X90" s="173"/>
      <c r="Y90" s="173"/>
      <c r="Z90" s="173"/>
    </row>
    <row r="91">
      <c r="A91" s="173"/>
      <c r="B91" s="173"/>
      <c r="C91" s="173"/>
      <c r="D91" s="173"/>
      <c r="E91" s="173"/>
      <c r="F91" s="173"/>
      <c r="G91" s="173"/>
      <c r="H91" s="173"/>
      <c r="I91" s="173"/>
      <c r="J91" s="173"/>
      <c r="K91" s="173"/>
      <c r="L91" s="173"/>
      <c r="M91" s="173"/>
      <c r="N91" s="173"/>
      <c r="O91" s="173"/>
      <c r="P91" s="173"/>
      <c r="Q91" s="173"/>
      <c r="R91" s="173"/>
      <c r="S91" s="173"/>
      <c r="T91" s="173"/>
      <c r="U91" s="173"/>
      <c r="V91" s="173"/>
      <c r="W91" s="173"/>
      <c r="X91" s="173"/>
      <c r="Y91" s="173"/>
      <c r="Z91" s="173"/>
    </row>
    <row r="92">
      <c r="A92" s="173"/>
      <c r="B92" s="173"/>
      <c r="C92" s="173"/>
      <c r="D92" s="173"/>
      <c r="E92" s="173"/>
      <c r="F92" s="173"/>
      <c r="G92" s="173"/>
      <c r="H92" s="173"/>
      <c r="I92" s="173"/>
      <c r="J92" s="173"/>
      <c r="K92" s="173"/>
      <c r="L92" s="173"/>
      <c r="M92" s="173"/>
      <c r="N92" s="173"/>
      <c r="O92" s="173"/>
      <c r="P92" s="173"/>
      <c r="Q92" s="173"/>
      <c r="R92" s="173"/>
      <c r="S92" s="173"/>
      <c r="T92" s="173"/>
      <c r="U92" s="173"/>
      <c r="V92" s="173"/>
      <c r="W92" s="173"/>
      <c r="X92" s="173"/>
      <c r="Y92" s="173"/>
      <c r="Z92" s="173"/>
    </row>
    <row r="93">
      <c r="A93" s="173"/>
      <c r="B93" s="173"/>
      <c r="C93" s="173"/>
      <c r="D93" s="173"/>
      <c r="E93" s="173"/>
      <c r="F93" s="173"/>
      <c r="G93" s="173"/>
      <c r="H93" s="173"/>
      <c r="I93" s="173"/>
      <c r="J93" s="173"/>
      <c r="K93" s="173"/>
      <c r="L93" s="173"/>
      <c r="M93" s="173"/>
      <c r="N93" s="173"/>
      <c r="O93" s="173"/>
      <c r="P93" s="173"/>
      <c r="Q93" s="173"/>
      <c r="R93" s="173"/>
      <c r="S93" s="173"/>
      <c r="T93" s="173"/>
      <c r="U93" s="173"/>
      <c r="V93" s="173"/>
      <c r="W93" s="173"/>
      <c r="X93" s="173"/>
      <c r="Y93" s="173"/>
      <c r="Z93" s="173"/>
    </row>
    <row r="94">
      <c r="A94" s="173"/>
      <c r="B94" s="173"/>
      <c r="C94" s="173"/>
      <c r="D94" s="173"/>
      <c r="E94" s="173"/>
      <c r="F94" s="173"/>
      <c r="G94" s="173"/>
      <c r="H94" s="173"/>
      <c r="I94" s="173"/>
      <c r="J94" s="173"/>
      <c r="K94" s="173"/>
      <c r="L94" s="173"/>
      <c r="M94" s="173"/>
      <c r="N94" s="173"/>
      <c r="O94" s="173"/>
      <c r="P94" s="173"/>
      <c r="Q94" s="173"/>
      <c r="R94" s="173"/>
      <c r="S94" s="173"/>
      <c r="T94" s="173"/>
      <c r="U94" s="173"/>
      <c r="V94" s="173"/>
      <c r="W94" s="173"/>
      <c r="X94" s="173"/>
      <c r="Y94" s="173"/>
      <c r="Z94" s="173"/>
    </row>
    <row r="95">
      <c r="A95" s="173"/>
      <c r="B95" s="173"/>
      <c r="C95" s="173"/>
      <c r="D95" s="173"/>
      <c r="E95" s="173"/>
      <c r="F95" s="173"/>
      <c r="G95" s="173"/>
      <c r="H95" s="173"/>
      <c r="I95" s="173"/>
      <c r="J95" s="173"/>
      <c r="K95" s="173"/>
      <c r="L95" s="173"/>
      <c r="M95" s="173"/>
      <c r="N95" s="173"/>
      <c r="O95" s="173"/>
      <c r="P95" s="173"/>
      <c r="Q95" s="173"/>
      <c r="R95" s="173"/>
      <c r="S95" s="173"/>
      <c r="T95" s="173"/>
      <c r="U95" s="173"/>
      <c r="V95" s="173"/>
      <c r="W95" s="173"/>
      <c r="X95" s="173"/>
      <c r="Y95" s="173"/>
      <c r="Z95" s="173"/>
    </row>
    <row r="96">
      <c r="A96" s="173"/>
      <c r="B96" s="173"/>
      <c r="C96" s="173"/>
      <c r="D96" s="173"/>
      <c r="E96" s="173"/>
      <c r="F96" s="173"/>
      <c r="G96" s="173"/>
      <c r="H96" s="173"/>
      <c r="I96" s="173"/>
      <c r="J96" s="173"/>
      <c r="K96" s="173"/>
      <c r="L96" s="173"/>
      <c r="M96" s="173"/>
      <c r="N96" s="173"/>
      <c r="O96" s="173"/>
      <c r="P96" s="173"/>
      <c r="Q96" s="173"/>
      <c r="R96" s="173"/>
      <c r="S96" s="173"/>
      <c r="T96" s="173"/>
      <c r="U96" s="173"/>
      <c r="V96" s="173"/>
      <c r="W96" s="173"/>
      <c r="X96" s="173"/>
      <c r="Y96" s="173"/>
      <c r="Z96" s="173"/>
    </row>
    <row r="97">
      <c r="A97" s="173"/>
      <c r="B97" s="173"/>
      <c r="C97" s="173"/>
      <c r="D97" s="173"/>
      <c r="E97" s="173"/>
      <c r="F97" s="173"/>
      <c r="G97" s="173"/>
      <c r="H97" s="173"/>
      <c r="I97" s="173"/>
      <c r="J97" s="173"/>
      <c r="K97" s="173"/>
      <c r="L97" s="173"/>
      <c r="M97" s="173"/>
      <c r="N97" s="173"/>
      <c r="O97" s="173"/>
      <c r="P97" s="173"/>
      <c r="Q97" s="173"/>
      <c r="R97" s="173"/>
      <c r="S97" s="173"/>
      <c r="T97" s="173"/>
      <c r="U97" s="173"/>
      <c r="V97" s="173"/>
      <c r="W97" s="173"/>
      <c r="X97" s="173"/>
      <c r="Y97" s="173"/>
      <c r="Z97" s="173"/>
    </row>
    <row r="98">
      <c r="A98" s="173"/>
      <c r="B98" s="173"/>
      <c r="C98" s="173"/>
      <c r="D98" s="173"/>
      <c r="E98" s="173"/>
      <c r="F98" s="173"/>
      <c r="G98" s="173"/>
      <c r="H98" s="173"/>
      <c r="I98" s="173"/>
      <c r="J98" s="173"/>
      <c r="K98" s="173"/>
      <c r="L98" s="173"/>
      <c r="M98" s="173"/>
      <c r="N98" s="173"/>
      <c r="O98" s="173"/>
      <c r="P98" s="173"/>
      <c r="Q98" s="173"/>
      <c r="R98" s="173"/>
      <c r="S98" s="173"/>
      <c r="T98" s="173"/>
      <c r="U98" s="173"/>
      <c r="V98" s="173"/>
      <c r="W98" s="173"/>
      <c r="X98" s="173"/>
      <c r="Y98" s="173"/>
      <c r="Z98" s="173"/>
    </row>
    <row r="99">
      <c r="A99" s="173"/>
      <c r="B99" s="173"/>
      <c r="C99" s="173"/>
      <c r="D99" s="173"/>
      <c r="E99" s="173"/>
      <c r="F99" s="173"/>
      <c r="G99" s="173"/>
      <c r="H99" s="173"/>
      <c r="I99" s="173"/>
      <c r="J99" s="173"/>
      <c r="K99" s="173"/>
      <c r="L99" s="173"/>
      <c r="M99" s="173"/>
      <c r="N99" s="173"/>
      <c r="O99" s="173"/>
      <c r="P99" s="173"/>
      <c r="Q99" s="173"/>
      <c r="R99" s="173"/>
      <c r="S99" s="173"/>
      <c r="T99" s="173"/>
      <c r="U99" s="173"/>
      <c r="V99" s="173"/>
      <c r="W99" s="173"/>
      <c r="X99" s="173"/>
      <c r="Y99" s="173"/>
      <c r="Z99" s="173"/>
    </row>
    <row r="100">
      <c r="A100" s="173"/>
      <c r="B100" s="173"/>
      <c r="C100" s="173"/>
      <c r="D100" s="173"/>
      <c r="E100" s="173"/>
      <c r="F100" s="173"/>
      <c r="G100" s="173"/>
      <c r="H100" s="173"/>
      <c r="I100" s="173"/>
      <c r="J100" s="173"/>
      <c r="K100" s="173"/>
      <c r="L100" s="173"/>
      <c r="M100" s="173"/>
      <c r="N100" s="173"/>
      <c r="O100" s="173"/>
      <c r="P100" s="173"/>
      <c r="Q100" s="173"/>
      <c r="R100" s="173"/>
      <c r="S100" s="173"/>
      <c r="T100" s="173"/>
      <c r="U100" s="173"/>
      <c r="V100" s="173"/>
      <c r="W100" s="173"/>
      <c r="X100" s="173"/>
      <c r="Y100" s="173"/>
      <c r="Z100" s="173"/>
    </row>
    <row r="101">
      <c r="A101" s="173"/>
      <c r="B101" s="173"/>
      <c r="C101" s="173"/>
      <c r="D101" s="173"/>
      <c r="E101" s="173"/>
      <c r="F101" s="173"/>
      <c r="G101" s="173"/>
      <c r="H101" s="173"/>
      <c r="I101" s="173"/>
      <c r="J101" s="173"/>
      <c r="K101" s="173"/>
      <c r="L101" s="173"/>
      <c r="M101" s="173"/>
      <c r="N101" s="173"/>
      <c r="O101" s="173"/>
      <c r="P101" s="173"/>
      <c r="Q101" s="173"/>
      <c r="R101" s="173"/>
      <c r="S101" s="173"/>
      <c r="T101" s="173"/>
      <c r="U101" s="173"/>
      <c r="V101" s="173"/>
      <c r="W101" s="173"/>
      <c r="X101" s="173"/>
      <c r="Y101" s="173"/>
      <c r="Z101" s="173"/>
    </row>
    <row r="102">
      <c r="A102" s="173"/>
      <c r="B102" s="173"/>
      <c r="C102" s="173"/>
      <c r="D102" s="173"/>
      <c r="E102" s="173"/>
      <c r="F102" s="173"/>
      <c r="G102" s="173"/>
      <c r="H102" s="173"/>
      <c r="I102" s="173"/>
      <c r="J102" s="173"/>
      <c r="K102" s="173"/>
      <c r="L102" s="173"/>
      <c r="M102" s="173"/>
      <c r="N102" s="173"/>
      <c r="O102" s="173"/>
      <c r="P102" s="173"/>
      <c r="Q102" s="173"/>
      <c r="R102" s="173"/>
      <c r="S102" s="173"/>
      <c r="T102" s="173"/>
      <c r="U102" s="173"/>
      <c r="V102" s="173"/>
      <c r="W102" s="173"/>
      <c r="X102" s="173"/>
      <c r="Y102" s="173"/>
      <c r="Z102" s="173"/>
    </row>
    <row r="103">
      <c r="A103" s="173"/>
      <c r="B103" s="173"/>
      <c r="C103" s="173"/>
      <c r="D103" s="173"/>
      <c r="E103" s="173"/>
      <c r="F103" s="173"/>
      <c r="G103" s="173"/>
      <c r="H103" s="173"/>
      <c r="I103" s="173"/>
      <c r="J103" s="173"/>
      <c r="K103" s="173"/>
      <c r="L103" s="173"/>
      <c r="M103" s="173"/>
      <c r="N103" s="173"/>
      <c r="O103" s="173"/>
      <c r="P103" s="173"/>
      <c r="Q103" s="173"/>
      <c r="R103" s="173"/>
      <c r="S103" s="173"/>
      <c r="T103" s="173"/>
      <c r="U103" s="173"/>
      <c r="V103" s="173"/>
      <c r="W103" s="173"/>
      <c r="X103" s="173"/>
      <c r="Y103" s="173"/>
      <c r="Z103" s="173"/>
    </row>
    <row r="104">
      <c r="A104" s="173"/>
      <c r="B104" s="173"/>
      <c r="C104" s="173"/>
      <c r="D104" s="173"/>
      <c r="E104" s="173"/>
      <c r="F104" s="173"/>
      <c r="G104" s="173"/>
      <c r="H104" s="173"/>
      <c r="I104" s="173"/>
      <c r="J104" s="173"/>
      <c r="K104" s="173"/>
      <c r="L104" s="173"/>
      <c r="M104" s="173"/>
      <c r="N104" s="173"/>
      <c r="O104" s="173"/>
      <c r="P104" s="173"/>
      <c r="Q104" s="173"/>
      <c r="R104" s="173"/>
      <c r="S104" s="173"/>
      <c r="T104" s="173"/>
      <c r="U104" s="173"/>
      <c r="V104" s="173"/>
      <c r="W104" s="173"/>
      <c r="X104" s="173"/>
      <c r="Y104" s="173"/>
      <c r="Z104" s="173"/>
    </row>
    <row r="105">
      <c r="A105" s="173"/>
      <c r="B105" s="173"/>
      <c r="C105" s="173"/>
      <c r="D105" s="173"/>
      <c r="E105" s="173"/>
      <c r="F105" s="173"/>
      <c r="G105" s="173"/>
      <c r="H105" s="173"/>
      <c r="I105" s="173"/>
      <c r="J105" s="173"/>
      <c r="K105" s="173"/>
      <c r="L105" s="173"/>
      <c r="M105" s="173"/>
      <c r="N105" s="173"/>
      <c r="O105" s="173"/>
      <c r="P105" s="173"/>
      <c r="Q105" s="173"/>
      <c r="R105" s="173"/>
      <c r="S105" s="173"/>
      <c r="T105" s="173"/>
      <c r="U105" s="173"/>
      <c r="V105" s="173"/>
      <c r="W105" s="173"/>
      <c r="X105" s="173"/>
      <c r="Y105" s="173"/>
      <c r="Z105" s="173"/>
    </row>
    <row r="106">
      <c r="A106" s="173"/>
      <c r="B106" s="173"/>
      <c r="C106" s="173"/>
      <c r="D106" s="173"/>
      <c r="E106" s="173"/>
      <c r="F106" s="173"/>
      <c r="G106" s="173"/>
      <c r="H106" s="173"/>
      <c r="I106" s="173"/>
      <c r="J106" s="173"/>
      <c r="K106" s="173"/>
      <c r="L106" s="173"/>
      <c r="M106" s="173"/>
      <c r="N106" s="173"/>
      <c r="O106" s="173"/>
      <c r="P106" s="173"/>
      <c r="Q106" s="173"/>
      <c r="R106" s="173"/>
      <c r="S106" s="173"/>
      <c r="T106" s="173"/>
      <c r="U106" s="173"/>
      <c r="V106" s="173"/>
      <c r="W106" s="173"/>
      <c r="X106" s="173"/>
      <c r="Y106" s="173"/>
      <c r="Z106" s="173"/>
    </row>
    <row r="107">
      <c r="A107" s="173"/>
      <c r="B107" s="173"/>
      <c r="C107" s="173"/>
      <c r="D107" s="173"/>
      <c r="E107" s="173"/>
      <c r="F107" s="173"/>
      <c r="G107" s="173"/>
      <c r="H107" s="173"/>
      <c r="I107" s="173"/>
      <c r="J107" s="173"/>
      <c r="K107" s="173"/>
      <c r="L107" s="173"/>
      <c r="M107" s="173"/>
      <c r="N107" s="173"/>
      <c r="O107" s="173"/>
      <c r="P107" s="173"/>
      <c r="Q107" s="173"/>
      <c r="R107" s="173"/>
      <c r="S107" s="173"/>
      <c r="T107" s="173"/>
      <c r="U107" s="173"/>
      <c r="V107" s="173"/>
      <c r="W107" s="173"/>
      <c r="X107" s="173"/>
      <c r="Y107" s="173"/>
      <c r="Z107" s="173"/>
    </row>
    <row r="108">
      <c r="A108" s="173"/>
      <c r="B108" s="173"/>
      <c r="C108" s="173"/>
      <c r="D108" s="173"/>
      <c r="E108" s="173"/>
      <c r="F108" s="173"/>
      <c r="G108" s="173"/>
      <c r="H108" s="173"/>
      <c r="I108" s="173"/>
      <c r="J108" s="173"/>
      <c r="K108" s="173"/>
      <c r="L108" s="173"/>
      <c r="M108" s="173"/>
      <c r="N108" s="173"/>
      <c r="O108" s="173"/>
      <c r="P108" s="173"/>
      <c r="Q108" s="173"/>
      <c r="R108" s="173"/>
      <c r="S108" s="173"/>
      <c r="T108" s="173"/>
      <c r="U108" s="173"/>
      <c r="V108" s="173"/>
      <c r="W108" s="173"/>
      <c r="X108" s="173"/>
      <c r="Y108" s="173"/>
      <c r="Z108" s="173"/>
    </row>
    <row r="109">
      <c r="A109" s="173"/>
      <c r="B109" s="173"/>
      <c r="C109" s="173"/>
      <c r="D109" s="173"/>
      <c r="E109" s="173"/>
      <c r="F109" s="173"/>
      <c r="G109" s="173"/>
      <c r="H109" s="173"/>
      <c r="I109" s="173"/>
      <c r="J109" s="173"/>
      <c r="K109" s="173"/>
      <c r="L109" s="173"/>
      <c r="M109" s="173"/>
      <c r="N109" s="173"/>
      <c r="O109" s="173"/>
      <c r="P109" s="173"/>
      <c r="Q109" s="173"/>
      <c r="R109" s="173"/>
      <c r="S109" s="173"/>
      <c r="T109" s="173"/>
      <c r="U109" s="173"/>
      <c r="V109" s="173"/>
      <c r="W109" s="173"/>
      <c r="X109" s="173"/>
      <c r="Y109" s="173"/>
      <c r="Z109" s="173"/>
    </row>
    <row r="110">
      <c r="A110" s="173"/>
      <c r="B110" s="173"/>
      <c r="C110" s="173"/>
      <c r="D110" s="173"/>
      <c r="E110" s="173"/>
      <c r="F110" s="173"/>
      <c r="G110" s="173"/>
      <c r="H110" s="173"/>
      <c r="I110" s="173"/>
      <c r="J110" s="173"/>
      <c r="K110" s="173"/>
      <c r="L110" s="173"/>
      <c r="M110" s="173"/>
      <c r="N110" s="173"/>
      <c r="O110" s="173"/>
      <c r="P110" s="173"/>
      <c r="Q110" s="173"/>
      <c r="R110" s="173"/>
      <c r="S110" s="173"/>
      <c r="T110" s="173"/>
      <c r="U110" s="173"/>
      <c r="V110" s="173"/>
      <c r="W110" s="173"/>
      <c r="X110" s="173"/>
      <c r="Y110" s="173"/>
      <c r="Z110" s="173"/>
    </row>
    <row r="111">
      <c r="A111" s="173"/>
      <c r="B111" s="173"/>
      <c r="C111" s="173"/>
      <c r="D111" s="173"/>
      <c r="E111" s="173"/>
      <c r="F111" s="173"/>
      <c r="G111" s="173"/>
      <c r="H111" s="173"/>
      <c r="I111" s="173"/>
      <c r="J111" s="173"/>
      <c r="K111" s="173"/>
      <c r="L111" s="173"/>
      <c r="M111" s="173"/>
      <c r="N111" s="173"/>
      <c r="O111" s="173"/>
      <c r="P111" s="173"/>
      <c r="Q111" s="173"/>
      <c r="R111" s="173"/>
      <c r="S111" s="173"/>
      <c r="T111" s="173"/>
      <c r="U111" s="173"/>
      <c r="V111" s="173"/>
      <c r="W111" s="173"/>
      <c r="X111" s="173"/>
      <c r="Y111" s="173"/>
      <c r="Z111" s="173"/>
    </row>
    <row r="112">
      <c r="A112" s="173"/>
      <c r="B112" s="173"/>
      <c r="C112" s="173"/>
      <c r="D112" s="173"/>
      <c r="E112" s="173"/>
      <c r="F112" s="173"/>
      <c r="G112" s="173"/>
      <c r="H112" s="173"/>
      <c r="I112" s="173"/>
      <c r="J112" s="173"/>
      <c r="K112" s="173"/>
      <c r="L112" s="173"/>
      <c r="M112" s="173"/>
      <c r="N112" s="173"/>
      <c r="O112" s="173"/>
      <c r="P112" s="173"/>
      <c r="Q112" s="173"/>
      <c r="R112" s="173"/>
      <c r="S112" s="173"/>
      <c r="T112" s="173"/>
      <c r="U112" s="173"/>
      <c r="V112" s="173"/>
      <c r="W112" s="173"/>
      <c r="X112" s="173"/>
      <c r="Y112" s="173"/>
      <c r="Z112" s="173"/>
    </row>
    <row r="113">
      <c r="A113" s="173"/>
      <c r="B113" s="173"/>
      <c r="C113" s="173"/>
      <c r="D113" s="173"/>
      <c r="E113" s="173"/>
      <c r="F113" s="173"/>
      <c r="G113" s="173"/>
      <c r="H113" s="173"/>
      <c r="I113" s="173"/>
      <c r="J113" s="173"/>
      <c r="K113" s="173"/>
      <c r="L113" s="173"/>
      <c r="M113" s="173"/>
      <c r="N113" s="173"/>
      <c r="O113" s="173"/>
      <c r="P113" s="173"/>
      <c r="Q113" s="173"/>
      <c r="R113" s="173"/>
      <c r="S113" s="173"/>
      <c r="T113" s="173"/>
      <c r="U113" s="173"/>
      <c r="V113" s="173"/>
      <c r="W113" s="173"/>
      <c r="X113" s="173"/>
      <c r="Y113" s="173"/>
      <c r="Z113" s="173"/>
    </row>
    <row r="114">
      <c r="A114" s="173"/>
      <c r="B114" s="173"/>
      <c r="C114" s="173"/>
      <c r="D114" s="173"/>
      <c r="E114" s="173"/>
      <c r="F114" s="173"/>
      <c r="G114" s="173"/>
      <c r="H114" s="173"/>
      <c r="I114" s="173"/>
      <c r="J114" s="173"/>
      <c r="K114" s="173"/>
      <c r="L114" s="173"/>
      <c r="M114" s="173"/>
      <c r="N114" s="173"/>
      <c r="O114" s="173"/>
      <c r="P114" s="173"/>
      <c r="Q114" s="173"/>
      <c r="R114" s="173"/>
      <c r="S114" s="173"/>
      <c r="T114" s="173"/>
      <c r="U114" s="173"/>
      <c r="V114" s="173"/>
      <c r="W114" s="173"/>
      <c r="X114" s="173"/>
      <c r="Y114" s="173"/>
      <c r="Z114" s="173"/>
    </row>
    <row r="115">
      <c r="A115" s="173"/>
      <c r="B115" s="173"/>
      <c r="C115" s="173"/>
      <c r="D115" s="173"/>
      <c r="E115" s="173"/>
      <c r="F115" s="173"/>
      <c r="G115" s="173"/>
      <c r="H115" s="173"/>
      <c r="I115" s="173"/>
      <c r="J115" s="173"/>
      <c r="K115" s="173"/>
      <c r="L115" s="173"/>
      <c r="M115" s="173"/>
      <c r="N115" s="173"/>
      <c r="O115" s="173"/>
      <c r="P115" s="173"/>
      <c r="Q115" s="173"/>
      <c r="R115" s="173"/>
      <c r="S115" s="173"/>
      <c r="T115" s="173"/>
      <c r="U115" s="173"/>
      <c r="V115" s="173"/>
      <c r="W115" s="173"/>
      <c r="X115" s="173"/>
      <c r="Y115" s="173"/>
      <c r="Z115" s="173"/>
    </row>
    <row r="116">
      <c r="A116" s="173"/>
      <c r="B116" s="173"/>
      <c r="C116" s="173"/>
      <c r="D116" s="173"/>
      <c r="E116" s="173"/>
      <c r="F116" s="173"/>
      <c r="G116" s="173"/>
      <c r="H116" s="173"/>
      <c r="I116" s="173"/>
      <c r="J116" s="173"/>
      <c r="K116" s="173"/>
      <c r="L116" s="173"/>
      <c r="M116" s="173"/>
      <c r="N116" s="173"/>
      <c r="O116" s="173"/>
      <c r="P116" s="173"/>
      <c r="Q116" s="173"/>
      <c r="R116" s="173"/>
      <c r="S116" s="173"/>
      <c r="T116" s="173"/>
      <c r="U116" s="173"/>
      <c r="V116" s="173"/>
      <c r="W116" s="173"/>
      <c r="X116" s="173"/>
      <c r="Y116" s="173"/>
      <c r="Z116" s="173"/>
    </row>
    <row r="117">
      <c r="A117" s="173"/>
      <c r="B117" s="173"/>
      <c r="C117" s="173"/>
      <c r="D117" s="173"/>
      <c r="E117" s="173"/>
      <c r="F117" s="173"/>
      <c r="G117" s="173"/>
      <c r="H117" s="173"/>
      <c r="I117" s="173"/>
      <c r="J117" s="173"/>
      <c r="K117" s="173"/>
      <c r="L117" s="173"/>
      <c r="M117" s="173"/>
      <c r="N117" s="173"/>
      <c r="O117" s="173"/>
      <c r="P117" s="173"/>
      <c r="Q117" s="173"/>
      <c r="R117" s="173"/>
      <c r="S117" s="173"/>
      <c r="T117" s="173"/>
      <c r="U117" s="173"/>
      <c r="V117" s="173"/>
      <c r="W117" s="173"/>
      <c r="X117" s="173"/>
      <c r="Y117" s="173"/>
      <c r="Z117" s="173"/>
    </row>
    <row r="118">
      <c r="A118" s="173"/>
      <c r="B118" s="173"/>
      <c r="C118" s="173"/>
      <c r="D118" s="173"/>
      <c r="E118" s="173"/>
      <c r="F118" s="173"/>
      <c r="G118" s="173"/>
      <c r="H118" s="173"/>
      <c r="I118" s="173"/>
      <c r="J118" s="173"/>
      <c r="K118" s="173"/>
      <c r="L118" s="173"/>
      <c r="M118" s="173"/>
      <c r="N118" s="173"/>
      <c r="O118" s="173"/>
      <c r="P118" s="173"/>
      <c r="Q118" s="173"/>
      <c r="R118" s="173"/>
      <c r="S118" s="173"/>
      <c r="T118" s="173"/>
      <c r="U118" s="173"/>
      <c r="V118" s="173"/>
      <c r="W118" s="173"/>
      <c r="X118" s="173"/>
      <c r="Y118" s="173"/>
      <c r="Z118" s="173"/>
    </row>
    <row r="119">
      <c r="A119" s="173"/>
      <c r="B119" s="173"/>
      <c r="C119" s="173"/>
      <c r="D119" s="173"/>
      <c r="E119" s="173"/>
      <c r="F119" s="173"/>
      <c r="G119" s="173"/>
      <c r="H119" s="173"/>
      <c r="I119" s="173"/>
      <c r="J119" s="173"/>
      <c r="K119" s="173"/>
      <c r="L119" s="173"/>
      <c r="M119" s="173"/>
      <c r="N119" s="173"/>
      <c r="O119" s="173"/>
      <c r="P119" s="173"/>
      <c r="Q119" s="173"/>
      <c r="R119" s="173"/>
      <c r="S119" s="173"/>
      <c r="T119" s="173"/>
      <c r="U119" s="173"/>
      <c r="V119" s="173"/>
      <c r="W119" s="173"/>
      <c r="X119" s="173"/>
      <c r="Y119" s="173"/>
      <c r="Z119" s="173"/>
    </row>
    <row r="120">
      <c r="A120" s="173"/>
      <c r="B120" s="173"/>
      <c r="C120" s="173"/>
      <c r="D120" s="173"/>
      <c r="E120" s="173"/>
      <c r="F120" s="173"/>
      <c r="G120" s="173"/>
      <c r="H120" s="173"/>
      <c r="I120" s="173"/>
      <c r="J120" s="173"/>
      <c r="K120" s="173"/>
      <c r="L120" s="173"/>
      <c r="M120" s="173"/>
      <c r="N120" s="173"/>
      <c r="O120" s="173"/>
      <c r="P120" s="173"/>
      <c r="Q120" s="173"/>
      <c r="R120" s="173"/>
      <c r="S120" s="173"/>
      <c r="T120" s="173"/>
      <c r="U120" s="173"/>
      <c r="V120" s="173"/>
      <c r="W120" s="173"/>
      <c r="X120" s="173"/>
      <c r="Y120" s="173"/>
      <c r="Z120" s="173"/>
    </row>
    <row r="121">
      <c r="A121" s="173"/>
      <c r="B121" s="173"/>
      <c r="C121" s="173"/>
      <c r="D121" s="173"/>
      <c r="E121" s="173"/>
      <c r="F121" s="173"/>
      <c r="G121" s="173"/>
      <c r="H121" s="173"/>
      <c r="I121" s="173"/>
      <c r="J121" s="173"/>
      <c r="K121" s="173"/>
      <c r="L121" s="173"/>
      <c r="M121" s="173"/>
      <c r="N121" s="173"/>
      <c r="O121" s="173"/>
      <c r="P121" s="173"/>
      <c r="Q121" s="173"/>
      <c r="R121" s="173"/>
      <c r="S121" s="173"/>
      <c r="T121" s="173"/>
      <c r="U121" s="173"/>
      <c r="V121" s="173"/>
      <c r="W121" s="173"/>
      <c r="X121" s="173"/>
      <c r="Y121" s="173"/>
      <c r="Z121" s="173"/>
    </row>
    <row r="122">
      <c r="A122" s="173"/>
      <c r="B122" s="173"/>
      <c r="C122" s="173"/>
      <c r="D122" s="173"/>
      <c r="E122" s="173"/>
      <c r="F122" s="173"/>
      <c r="G122" s="173"/>
      <c r="H122" s="173"/>
      <c r="I122" s="173"/>
      <c r="J122" s="173"/>
      <c r="K122" s="173"/>
      <c r="L122" s="173"/>
      <c r="M122" s="173"/>
      <c r="N122" s="173"/>
      <c r="O122" s="173"/>
      <c r="P122" s="173"/>
      <c r="Q122" s="173"/>
      <c r="R122" s="173"/>
      <c r="S122" s="173"/>
      <c r="T122" s="173"/>
      <c r="U122" s="173"/>
      <c r="V122" s="173"/>
      <c r="W122" s="173"/>
      <c r="X122" s="173"/>
      <c r="Y122" s="173"/>
      <c r="Z122" s="173"/>
    </row>
    <row r="123">
      <c r="A123" s="173"/>
      <c r="B123" s="173"/>
      <c r="C123" s="173"/>
      <c r="D123" s="173"/>
      <c r="E123" s="173"/>
      <c r="F123" s="173"/>
      <c r="G123" s="173"/>
      <c r="H123" s="173"/>
      <c r="I123" s="173"/>
      <c r="J123" s="173"/>
      <c r="K123" s="173"/>
      <c r="L123" s="173"/>
      <c r="M123" s="173"/>
      <c r="N123" s="173"/>
      <c r="O123" s="173"/>
      <c r="P123" s="173"/>
      <c r="Q123" s="173"/>
      <c r="R123" s="173"/>
      <c r="S123" s="173"/>
      <c r="T123" s="173"/>
      <c r="U123" s="173"/>
      <c r="V123" s="173"/>
      <c r="W123" s="173"/>
      <c r="X123" s="173"/>
      <c r="Y123" s="173"/>
      <c r="Z123" s="173"/>
    </row>
    <row r="124">
      <c r="A124" s="173"/>
      <c r="B124" s="173"/>
      <c r="C124" s="173"/>
      <c r="D124" s="173"/>
      <c r="E124" s="173"/>
      <c r="F124" s="173"/>
      <c r="G124" s="173"/>
      <c r="H124" s="173"/>
      <c r="I124" s="173"/>
      <c r="J124" s="173"/>
      <c r="K124" s="173"/>
      <c r="L124" s="173"/>
      <c r="M124" s="173"/>
      <c r="N124" s="173"/>
      <c r="O124" s="173"/>
      <c r="P124" s="173"/>
      <c r="Q124" s="173"/>
      <c r="R124" s="173"/>
      <c r="S124" s="173"/>
      <c r="T124" s="173"/>
      <c r="U124" s="173"/>
      <c r="V124" s="173"/>
      <c r="W124" s="173"/>
      <c r="X124" s="173"/>
      <c r="Y124" s="173"/>
      <c r="Z124" s="173"/>
    </row>
    <row r="125">
      <c r="A125" s="173"/>
      <c r="B125" s="173"/>
      <c r="C125" s="173"/>
      <c r="D125" s="173"/>
      <c r="E125" s="173"/>
      <c r="F125" s="173"/>
      <c r="G125" s="173"/>
      <c r="H125" s="173"/>
      <c r="I125" s="173"/>
      <c r="J125" s="173"/>
      <c r="K125" s="173"/>
      <c r="L125" s="173"/>
      <c r="M125" s="173"/>
      <c r="N125" s="173"/>
      <c r="O125" s="173"/>
      <c r="P125" s="173"/>
      <c r="Q125" s="173"/>
      <c r="R125" s="173"/>
      <c r="S125" s="173"/>
      <c r="T125" s="173"/>
      <c r="U125" s="173"/>
      <c r="V125" s="173"/>
      <c r="W125" s="173"/>
      <c r="X125" s="173"/>
      <c r="Y125" s="173"/>
      <c r="Z125" s="173"/>
    </row>
    <row r="126">
      <c r="A126" s="173"/>
      <c r="B126" s="173"/>
      <c r="C126" s="173"/>
      <c r="D126" s="173"/>
      <c r="E126" s="173"/>
      <c r="F126" s="173"/>
      <c r="G126" s="173"/>
      <c r="H126" s="173"/>
      <c r="I126" s="173"/>
      <c r="J126" s="173"/>
      <c r="K126" s="173"/>
      <c r="L126" s="173"/>
      <c r="M126" s="173"/>
      <c r="N126" s="173"/>
      <c r="O126" s="173"/>
      <c r="P126" s="173"/>
      <c r="Q126" s="173"/>
      <c r="R126" s="173"/>
      <c r="S126" s="173"/>
      <c r="T126" s="173"/>
      <c r="U126" s="173"/>
      <c r="V126" s="173"/>
      <c r="W126" s="173"/>
      <c r="X126" s="173"/>
      <c r="Y126" s="173"/>
      <c r="Z126" s="173"/>
    </row>
    <row r="127">
      <c r="A127" s="173"/>
      <c r="B127" s="173"/>
      <c r="C127" s="173"/>
      <c r="D127" s="173"/>
      <c r="E127" s="173"/>
      <c r="F127" s="173"/>
      <c r="G127" s="173"/>
      <c r="H127" s="173"/>
      <c r="I127" s="173"/>
      <c r="J127" s="173"/>
      <c r="K127" s="173"/>
      <c r="L127" s="173"/>
      <c r="M127" s="173"/>
      <c r="N127" s="173"/>
      <c r="O127" s="173"/>
      <c r="P127" s="173"/>
      <c r="Q127" s="173"/>
      <c r="R127" s="173"/>
      <c r="S127" s="173"/>
      <c r="T127" s="173"/>
      <c r="U127" s="173"/>
      <c r="V127" s="173"/>
      <c r="W127" s="173"/>
      <c r="X127" s="173"/>
      <c r="Y127" s="173"/>
      <c r="Z127" s="173"/>
    </row>
    <row r="128">
      <c r="A128" s="173"/>
      <c r="B128" s="173"/>
      <c r="C128" s="173"/>
      <c r="D128" s="173"/>
      <c r="E128" s="173"/>
      <c r="F128" s="173"/>
      <c r="G128" s="173"/>
      <c r="H128" s="173"/>
      <c r="I128" s="173"/>
      <c r="J128" s="173"/>
      <c r="K128" s="173"/>
      <c r="L128" s="173"/>
      <c r="M128" s="173"/>
      <c r="N128" s="173"/>
      <c r="O128" s="173"/>
      <c r="P128" s="173"/>
      <c r="Q128" s="173"/>
      <c r="R128" s="173"/>
      <c r="S128" s="173"/>
      <c r="T128" s="173"/>
      <c r="U128" s="173"/>
      <c r="V128" s="173"/>
      <c r="W128" s="173"/>
      <c r="X128" s="173"/>
      <c r="Y128" s="173"/>
      <c r="Z128" s="173"/>
    </row>
    <row r="129">
      <c r="A129" s="173"/>
      <c r="B129" s="173"/>
      <c r="C129" s="173"/>
      <c r="D129" s="173"/>
      <c r="E129" s="173"/>
      <c r="F129" s="173"/>
      <c r="G129" s="173"/>
      <c r="H129" s="173"/>
      <c r="I129" s="173"/>
      <c r="J129" s="173"/>
      <c r="K129" s="173"/>
      <c r="L129" s="173"/>
      <c r="M129" s="173"/>
      <c r="N129" s="173"/>
      <c r="O129" s="173"/>
      <c r="P129" s="173"/>
      <c r="Q129" s="173"/>
      <c r="R129" s="173"/>
      <c r="S129" s="173"/>
      <c r="T129" s="173"/>
      <c r="U129" s="173"/>
      <c r="V129" s="173"/>
      <c r="W129" s="173"/>
      <c r="X129" s="173"/>
      <c r="Y129" s="173"/>
      <c r="Z129" s="173"/>
    </row>
    <row r="130">
      <c r="A130" s="173"/>
      <c r="B130" s="173"/>
      <c r="C130" s="173"/>
      <c r="D130" s="173"/>
      <c r="E130" s="173"/>
      <c r="F130" s="173"/>
      <c r="G130" s="173"/>
      <c r="H130" s="173"/>
      <c r="I130" s="173"/>
      <c r="J130" s="173"/>
      <c r="K130" s="173"/>
      <c r="L130" s="173"/>
      <c r="M130" s="173"/>
      <c r="N130" s="173"/>
      <c r="O130" s="173"/>
      <c r="P130" s="173"/>
      <c r="Q130" s="173"/>
      <c r="R130" s="173"/>
      <c r="S130" s="173"/>
      <c r="T130" s="173"/>
      <c r="U130" s="173"/>
      <c r="V130" s="173"/>
      <c r="W130" s="173"/>
      <c r="X130" s="173"/>
      <c r="Y130" s="173"/>
      <c r="Z130" s="173"/>
    </row>
    <row r="131">
      <c r="A131" s="173"/>
      <c r="B131" s="173"/>
      <c r="C131" s="173"/>
      <c r="D131" s="173"/>
      <c r="E131" s="173"/>
      <c r="F131" s="173"/>
      <c r="G131" s="173"/>
      <c r="H131" s="173"/>
      <c r="I131" s="173"/>
      <c r="J131" s="173"/>
      <c r="K131" s="173"/>
      <c r="L131" s="173"/>
      <c r="M131" s="173"/>
      <c r="N131" s="173"/>
      <c r="O131" s="173"/>
      <c r="P131" s="173"/>
      <c r="Q131" s="173"/>
      <c r="R131" s="173"/>
      <c r="S131" s="173"/>
      <c r="T131" s="173"/>
      <c r="U131" s="173"/>
      <c r="V131" s="173"/>
      <c r="W131" s="173"/>
      <c r="X131" s="173"/>
      <c r="Y131" s="173"/>
      <c r="Z131" s="173"/>
    </row>
    <row r="132">
      <c r="A132" s="173"/>
      <c r="B132" s="173"/>
      <c r="C132" s="173"/>
      <c r="D132" s="173"/>
      <c r="E132" s="173"/>
      <c r="F132" s="173"/>
      <c r="G132" s="173"/>
      <c r="H132" s="173"/>
      <c r="I132" s="173"/>
      <c r="J132" s="173"/>
      <c r="K132" s="173"/>
      <c r="L132" s="173"/>
      <c r="M132" s="173"/>
      <c r="N132" s="173"/>
      <c r="O132" s="173"/>
      <c r="P132" s="173"/>
      <c r="Q132" s="173"/>
      <c r="R132" s="173"/>
      <c r="S132" s="173"/>
      <c r="T132" s="173"/>
      <c r="U132" s="173"/>
      <c r="V132" s="173"/>
      <c r="W132" s="173"/>
      <c r="X132" s="173"/>
      <c r="Y132" s="173"/>
      <c r="Z132" s="173"/>
    </row>
    <row r="133">
      <c r="A133" s="173"/>
      <c r="B133" s="173"/>
      <c r="C133" s="173"/>
      <c r="D133" s="173"/>
      <c r="E133" s="173"/>
      <c r="F133" s="173"/>
      <c r="G133" s="173"/>
      <c r="H133" s="173"/>
      <c r="I133" s="173"/>
      <c r="J133" s="173"/>
      <c r="K133" s="173"/>
      <c r="L133" s="173"/>
      <c r="M133" s="173"/>
      <c r="N133" s="173"/>
      <c r="O133" s="173"/>
      <c r="P133" s="173"/>
      <c r="Q133" s="173"/>
      <c r="R133" s="173"/>
      <c r="S133" s="173"/>
      <c r="T133" s="173"/>
      <c r="U133" s="173"/>
      <c r="V133" s="173"/>
      <c r="W133" s="173"/>
      <c r="X133" s="173"/>
      <c r="Y133" s="173"/>
      <c r="Z133" s="173"/>
    </row>
    <row r="134">
      <c r="A134" s="173"/>
      <c r="B134" s="173"/>
      <c r="C134" s="173"/>
      <c r="D134" s="173"/>
      <c r="E134" s="173"/>
      <c r="F134" s="173"/>
      <c r="G134" s="173"/>
      <c r="H134" s="173"/>
      <c r="I134" s="173"/>
      <c r="J134" s="173"/>
      <c r="K134" s="173"/>
      <c r="L134" s="173"/>
      <c r="M134" s="173"/>
      <c r="N134" s="173"/>
      <c r="O134" s="173"/>
      <c r="P134" s="173"/>
      <c r="Q134" s="173"/>
      <c r="R134" s="173"/>
      <c r="S134" s="173"/>
      <c r="T134" s="173"/>
      <c r="U134" s="173"/>
      <c r="V134" s="173"/>
      <c r="W134" s="173"/>
      <c r="X134" s="173"/>
      <c r="Y134" s="173"/>
      <c r="Z134" s="173"/>
    </row>
    <row r="135">
      <c r="A135" s="173"/>
      <c r="B135" s="173"/>
      <c r="C135" s="173"/>
      <c r="D135" s="173"/>
      <c r="E135" s="173"/>
      <c r="F135" s="173"/>
      <c r="G135" s="173"/>
      <c r="H135" s="173"/>
      <c r="I135" s="173"/>
      <c r="J135" s="173"/>
      <c r="K135" s="173"/>
      <c r="L135" s="173"/>
      <c r="M135" s="173"/>
      <c r="N135" s="173"/>
      <c r="O135" s="173"/>
      <c r="P135" s="173"/>
      <c r="Q135" s="173"/>
      <c r="R135" s="173"/>
      <c r="S135" s="173"/>
      <c r="T135" s="173"/>
      <c r="U135" s="173"/>
      <c r="V135" s="173"/>
      <c r="W135" s="173"/>
      <c r="X135" s="173"/>
      <c r="Y135" s="173"/>
      <c r="Z135" s="173"/>
    </row>
    <row r="136">
      <c r="A136" s="173"/>
      <c r="B136" s="173"/>
      <c r="C136" s="173"/>
      <c r="D136" s="173"/>
      <c r="E136" s="173"/>
      <c r="F136" s="173"/>
      <c r="G136" s="173"/>
      <c r="H136" s="173"/>
      <c r="I136" s="173"/>
      <c r="J136" s="173"/>
      <c r="K136" s="173"/>
      <c r="L136" s="173"/>
      <c r="M136" s="173"/>
      <c r="N136" s="173"/>
      <c r="O136" s="173"/>
      <c r="P136" s="173"/>
      <c r="Q136" s="173"/>
      <c r="R136" s="173"/>
      <c r="S136" s="173"/>
      <c r="T136" s="173"/>
      <c r="U136" s="173"/>
      <c r="V136" s="173"/>
      <c r="W136" s="173"/>
      <c r="X136" s="173"/>
      <c r="Y136" s="173"/>
      <c r="Z136" s="173"/>
    </row>
    <row r="137">
      <c r="A137" s="173"/>
      <c r="B137" s="173"/>
      <c r="C137" s="173"/>
      <c r="D137" s="173"/>
      <c r="E137" s="173"/>
      <c r="F137" s="173"/>
      <c r="G137" s="173"/>
      <c r="H137" s="173"/>
      <c r="I137" s="173"/>
      <c r="J137" s="173"/>
      <c r="K137" s="173"/>
      <c r="L137" s="173"/>
      <c r="M137" s="173"/>
      <c r="N137" s="173"/>
      <c r="O137" s="173"/>
      <c r="P137" s="173"/>
      <c r="Q137" s="173"/>
      <c r="R137" s="173"/>
      <c r="S137" s="173"/>
      <c r="T137" s="173"/>
      <c r="U137" s="173"/>
      <c r="V137" s="173"/>
      <c r="W137" s="173"/>
      <c r="X137" s="173"/>
      <c r="Y137" s="173"/>
      <c r="Z137" s="173"/>
    </row>
    <row r="138">
      <c r="A138" s="173"/>
      <c r="B138" s="173"/>
      <c r="C138" s="173"/>
      <c r="D138" s="173"/>
      <c r="E138" s="173"/>
      <c r="F138" s="173"/>
      <c r="G138" s="173"/>
      <c r="H138" s="173"/>
      <c r="I138" s="173"/>
      <c r="J138" s="173"/>
      <c r="K138" s="173"/>
      <c r="L138" s="173"/>
      <c r="M138" s="173"/>
      <c r="N138" s="173"/>
      <c r="O138" s="173"/>
      <c r="P138" s="173"/>
      <c r="Q138" s="173"/>
      <c r="R138" s="173"/>
      <c r="S138" s="173"/>
      <c r="T138" s="173"/>
      <c r="U138" s="173"/>
      <c r="V138" s="173"/>
      <c r="W138" s="173"/>
      <c r="X138" s="173"/>
      <c r="Y138" s="173"/>
      <c r="Z138" s="173"/>
    </row>
    <row r="139">
      <c r="A139" s="173"/>
      <c r="B139" s="173"/>
      <c r="C139" s="173"/>
      <c r="D139" s="173"/>
      <c r="E139" s="173"/>
      <c r="F139" s="173"/>
      <c r="G139" s="173"/>
      <c r="H139" s="173"/>
      <c r="I139" s="173"/>
      <c r="J139" s="173"/>
      <c r="K139" s="173"/>
      <c r="L139" s="173"/>
      <c r="M139" s="173"/>
      <c r="N139" s="173"/>
      <c r="O139" s="173"/>
      <c r="P139" s="173"/>
      <c r="Q139" s="173"/>
      <c r="R139" s="173"/>
      <c r="S139" s="173"/>
      <c r="T139" s="173"/>
      <c r="U139" s="173"/>
      <c r="V139" s="173"/>
      <c r="W139" s="173"/>
      <c r="X139" s="173"/>
      <c r="Y139" s="173"/>
      <c r="Z139" s="173"/>
    </row>
    <row r="140">
      <c r="A140" s="173"/>
      <c r="B140" s="173"/>
      <c r="C140" s="173"/>
      <c r="D140" s="173"/>
      <c r="E140" s="173"/>
      <c r="F140" s="173"/>
      <c r="G140" s="173"/>
      <c r="H140" s="173"/>
      <c r="I140" s="173"/>
      <c r="J140" s="173"/>
      <c r="K140" s="173"/>
      <c r="L140" s="173"/>
      <c r="M140" s="173"/>
      <c r="N140" s="173"/>
      <c r="O140" s="173"/>
      <c r="P140" s="173"/>
      <c r="Q140" s="173"/>
      <c r="R140" s="173"/>
      <c r="S140" s="173"/>
      <c r="T140" s="173"/>
      <c r="U140" s="173"/>
      <c r="V140" s="173"/>
      <c r="W140" s="173"/>
      <c r="X140" s="173"/>
      <c r="Y140" s="173"/>
      <c r="Z140" s="173"/>
    </row>
    <row r="141">
      <c r="A141" s="173"/>
      <c r="B141" s="173"/>
      <c r="C141" s="173"/>
      <c r="D141" s="173"/>
      <c r="E141" s="173"/>
      <c r="F141" s="173"/>
      <c r="G141" s="173"/>
      <c r="H141" s="173"/>
      <c r="I141" s="173"/>
      <c r="J141" s="173"/>
      <c r="K141" s="173"/>
      <c r="L141" s="173"/>
      <c r="M141" s="173"/>
      <c r="N141" s="173"/>
      <c r="O141" s="173"/>
      <c r="P141" s="173"/>
      <c r="Q141" s="173"/>
      <c r="R141" s="173"/>
      <c r="S141" s="173"/>
      <c r="T141" s="173"/>
      <c r="U141" s="173"/>
      <c r="V141" s="173"/>
      <c r="W141" s="173"/>
      <c r="X141" s="173"/>
      <c r="Y141" s="173"/>
      <c r="Z141" s="173"/>
    </row>
    <row r="142">
      <c r="A142" s="173"/>
      <c r="B142" s="173"/>
      <c r="C142" s="173"/>
      <c r="D142" s="173"/>
      <c r="E142" s="173"/>
      <c r="F142" s="173"/>
      <c r="G142" s="173"/>
      <c r="H142" s="173"/>
      <c r="I142" s="173"/>
      <c r="J142" s="173"/>
      <c r="K142" s="173"/>
      <c r="L142" s="173"/>
      <c r="M142" s="173"/>
      <c r="N142" s="173"/>
      <c r="O142" s="173"/>
      <c r="P142" s="173"/>
      <c r="Q142" s="173"/>
      <c r="R142" s="173"/>
      <c r="S142" s="173"/>
      <c r="T142" s="173"/>
      <c r="U142" s="173"/>
      <c r="V142" s="173"/>
      <c r="W142" s="173"/>
      <c r="X142" s="173"/>
      <c r="Y142" s="173"/>
      <c r="Z142" s="173"/>
    </row>
    <row r="143">
      <c r="A143" s="173"/>
      <c r="B143" s="173"/>
      <c r="C143" s="173"/>
      <c r="D143" s="173"/>
      <c r="E143" s="173"/>
      <c r="F143" s="173"/>
      <c r="G143" s="173"/>
      <c r="H143" s="173"/>
      <c r="I143" s="173"/>
      <c r="J143" s="173"/>
      <c r="K143" s="173"/>
      <c r="L143" s="173"/>
      <c r="M143" s="173"/>
      <c r="N143" s="173"/>
      <c r="O143" s="173"/>
      <c r="P143" s="173"/>
      <c r="Q143" s="173"/>
      <c r="R143" s="173"/>
      <c r="S143" s="173"/>
      <c r="T143" s="173"/>
      <c r="U143" s="173"/>
      <c r="V143" s="173"/>
      <c r="W143" s="173"/>
      <c r="X143" s="173"/>
      <c r="Y143" s="173"/>
      <c r="Z143" s="173"/>
    </row>
    <row r="144">
      <c r="A144" s="173"/>
      <c r="B144" s="173"/>
      <c r="C144" s="173"/>
      <c r="D144" s="173"/>
      <c r="E144" s="173"/>
      <c r="F144" s="173"/>
      <c r="G144" s="173"/>
      <c r="H144" s="173"/>
      <c r="I144" s="173"/>
      <c r="J144" s="173"/>
      <c r="K144" s="173"/>
      <c r="L144" s="173"/>
      <c r="M144" s="173"/>
      <c r="N144" s="173"/>
      <c r="O144" s="173"/>
      <c r="P144" s="173"/>
      <c r="Q144" s="173"/>
      <c r="R144" s="173"/>
      <c r="S144" s="173"/>
      <c r="T144" s="173"/>
      <c r="U144" s="173"/>
      <c r="V144" s="173"/>
      <c r="W144" s="173"/>
      <c r="X144" s="173"/>
      <c r="Y144" s="173"/>
      <c r="Z144" s="173"/>
    </row>
    <row r="145">
      <c r="A145" s="173"/>
      <c r="B145" s="173"/>
      <c r="C145" s="173"/>
      <c r="D145" s="173"/>
      <c r="E145" s="173"/>
      <c r="F145" s="173"/>
      <c r="G145" s="173"/>
      <c r="H145" s="173"/>
      <c r="I145" s="173"/>
      <c r="J145" s="173"/>
      <c r="K145" s="173"/>
      <c r="L145" s="173"/>
      <c r="M145" s="173"/>
      <c r="N145" s="173"/>
      <c r="O145" s="173"/>
      <c r="P145" s="173"/>
      <c r="Q145" s="173"/>
      <c r="R145" s="173"/>
      <c r="S145" s="173"/>
      <c r="T145" s="173"/>
      <c r="U145" s="173"/>
      <c r="V145" s="173"/>
      <c r="W145" s="173"/>
      <c r="X145" s="173"/>
      <c r="Y145" s="173"/>
      <c r="Z145" s="173"/>
    </row>
    <row r="146">
      <c r="A146" s="173"/>
      <c r="B146" s="173"/>
      <c r="C146" s="173"/>
      <c r="D146" s="173"/>
      <c r="E146" s="173"/>
      <c r="F146" s="173"/>
      <c r="G146" s="173"/>
      <c r="H146" s="173"/>
      <c r="I146" s="173"/>
      <c r="J146" s="173"/>
      <c r="K146" s="173"/>
      <c r="L146" s="173"/>
      <c r="M146" s="173"/>
      <c r="N146" s="173"/>
      <c r="O146" s="173"/>
      <c r="P146" s="173"/>
      <c r="Q146" s="173"/>
      <c r="R146" s="173"/>
      <c r="S146" s="173"/>
      <c r="T146" s="173"/>
      <c r="U146" s="173"/>
      <c r="V146" s="173"/>
      <c r="W146" s="173"/>
      <c r="X146" s="173"/>
      <c r="Y146" s="173"/>
      <c r="Z146" s="173"/>
    </row>
    <row r="147">
      <c r="A147" s="173"/>
      <c r="B147" s="173"/>
      <c r="C147" s="173"/>
      <c r="D147" s="173"/>
      <c r="E147" s="173"/>
      <c r="F147" s="173"/>
      <c r="G147" s="173"/>
      <c r="H147" s="173"/>
      <c r="I147" s="173"/>
      <c r="J147" s="173"/>
      <c r="K147" s="173"/>
      <c r="L147" s="173"/>
      <c r="M147" s="173"/>
      <c r="N147" s="173"/>
      <c r="O147" s="173"/>
      <c r="P147" s="173"/>
      <c r="Q147" s="173"/>
      <c r="R147" s="173"/>
      <c r="S147" s="173"/>
      <c r="T147" s="173"/>
      <c r="U147" s="173"/>
      <c r="V147" s="173"/>
      <c r="W147" s="173"/>
      <c r="X147" s="173"/>
      <c r="Y147" s="173"/>
      <c r="Z147" s="173"/>
    </row>
    <row r="148">
      <c r="A148" s="173"/>
      <c r="B148" s="173"/>
      <c r="C148" s="173"/>
      <c r="D148" s="173"/>
      <c r="E148" s="173"/>
      <c r="F148" s="173"/>
      <c r="G148" s="173"/>
      <c r="H148" s="173"/>
      <c r="I148" s="173"/>
      <c r="J148" s="173"/>
      <c r="K148" s="173"/>
      <c r="L148" s="173"/>
      <c r="M148" s="173"/>
      <c r="N148" s="173"/>
      <c r="O148" s="173"/>
      <c r="P148" s="173"/>
      <c r="Q148" s="173"/>
      <c r="R148" s="173"/>
      <c r="S148" s="173"/>
      <c r="T148" s="173"/>
      <c r="U148" s="173"/>
      <c r="V148" s="173"/>
      <c r="W148" s="173"/>
      <c r="X148" s="173"/>
      <c r="Y148" s="173"/>
      <c r="Z148" s="173"/>
    </row>
    <row r="149">
      <c r="A149" s="173"/>
      <c r="B149" s="173"/>
      <c r="C149" s="173"/>
      <c r="D149" s="173"/>
      <c r="E149" s="173"/>
      <c r="F149" s="173"/>
      <c r="G149" s="173"/>
      <c r="H149" s="173"/>
      <c r="I149" s="173"/>
      <c r="J149" s="173"/>
      <c r="K149" s="173"/>
      <c r="L149" s="173"/>
      <c r="M149" s="173"/>
      <c r="N149" s="173"/>
      <c r="O149" s="173"/>
      <c r="P149" s="173"/>
      <c r="Q149" s="173"/>
      <c r="R149" s="173"/>
      <c r="S149" s="173"/>
      <c r="T149" s="173"/>
      <c r="U149" s="173"/>
      <c r="V149" s="173"/>
      <c r="W149" s="173"/>
      <c r="X149" s="173"/>
      <c r="Y149" s="173"/>
      <c r="Z149" s="173"/>
    </row>
    <row r="150">
      <c r="A150" s="173"/>
      <c r="B150" s="173"/>
      <c r="C150" s="173"/>
      <c r="D150" s="173"/>
      <c r="E150" s="173"/>
      <c r="F150" s="173"/>
      <c r="G150" s="173"/>
      <c r="H150" s="173"/>
      <c r="I150" s="173"/>
      <c r="J150" s="173"/>
      <c r="K150" s="173"/>
      <c r="L150" s="173"/>
      <c r="M150" s="173"/>
      <c r="N150" s="173"/>
      <c r="O150" s="173"/>
      <c r="P150" s="173"/>
      <c r="Q150" s="173"/>
      <c r="R150" s="173"/>
      <c r="S150" s="173"/>
      <c r="T150" s="173"/>
      <c r="U150" s="173"/>
      <c r="V150" s="173"/>
      <c r="W150" s="173"/>
      <c r="X150" s="173"/>
      <c r="Y150" s="173"/>
      <c r="Z150" s="173"/>
    </row>
    <row r="151">
      <c r="A151" s="173"/>
      <c r="B151" s="173"/>
      <c r="C151" s="173"/>
      <c r="D151" s="173"/>
      <c r="E151" s="173"/>
      <c r="F151" s="173"/>
      <c r="G151" s="173"/>
      <c r="H151" s="173"/>
      <c r="I151" s="173"/>
      <c r="J151" s="173"/>
      <c r="K151" s="173"/>
      <c r="L151" s="173"/>
      <c r="M151" s="173"/>
      <c r="N151" s="173"/>
      <c r="O151" s="173"/>
      <c r="P151" s="173"/>
      <c r="Q151" s="173"/>
      <c r="R151" s="173"/>
      <c r="S151" s="173"/>
      <c r="T151" s="173"/>
      <c r="U151" s="173"/>
      <c r="V151" s="173"/>
      <c r="W151" s="173"/>
      <c r="X151" s="173"/>
      <c r="Y151" s="173"/>
      <c r="Z151" s="173"/>
    </row>
    <row r="152">
      <c r="A152" s="173"/>
      <c r="B152" s="173"/>
      <c r="C152" s="173"/>
      <c r="D152" s="173"/>
      <c r="E152" s="173"/>
      <c r="F152" s="173"/>
      <c r="G152" s="173"/>
      <c r="H152" s="173"/>
      <c r="I152" s="173"/>
      <c r="J152" s="173"/>
      <c r="K152" s="173"/>
      <c r="L152" s="173"/>
      <c r="M152" s="173"/>
      <c r="N152" s="173"/>
      <c r="O152" s="173"/>
      <c r="P152" s="173"/>
      <c r="Q152" s="173"/>
      <c r="R152" s="173"/>
      <c r="S152" s="173"/>
      <c r="T152" s="173"/>
      <c r="U152" s="173"/>
      <c r="V152" s="173"/>
      <c r="W152" s="173"/>
      <c r="X152" s="173"/>
      <c r="Y152" s="173"/>
      <c r="Z152" s="173"/>
    </row>
    <row r="153">
      <c r="A153" s="173"/>
      <c r="B153" s="173"/>
      <c r="C153" s="173"/>
      <c r="D153" s="173"/>
      <c r="E153" s="173"/>
      <c r="F153" s="173"/>
      <c r="G153" s="173"/>
      <c r="H153" s="173"/>
      <c r="I153" s="173"/>
      <c r="J153" s="173"/>
      <c r="K153" s="173"/>
      <c r="L153" s="173"/>
      <c r="M153" s="173"/>
      <c r="N153" s="173"/>
      <c r="O153" s="173"/>
      <c r="P153" s="173"/>
      <c r="Q153" s="173"/>
      <c r="R153" s="173"/>
      <c r="S153" s="173"/>
      <c r="T153" s="173"/>
      <c r="U153" s="173"/>
      <c r="V153" s="173"/>
      <c r="W153" s="173"/>
      <c r="X153" s="173"/>
      <c r="Y153" s="173"/>
      <c r="Z153" s="173"/>
    </row>
    <row r="154">
      <c r="A154" s="173"/>
      <c r="B154" s="173"/>
      <c r="C154" s="173"/>
      <c r="D154" s="173"/>
      <c r="E154" s="173"/>
      <c r="F154" s="173"/>
      <c r="G154" s="173"/>
      <c r="H154" s="173"/>
      <c r="I154" s="173"/>
      <c r="J154" s="173"/>
      <c r="K154" s="173"/>
      <c r="L154" s="173"/>
      <c r="M154" s="173"/>
      <c r="N154" s="173"/>
      <c r="O154" s="173"/>
      <c r="P154" s="173"/>
      <c r="Q154" s="173"/>
      <c r="R154" s="173"/>
      <c r="S154" s="173"/>
      <c r="T154" s="173"/>
      <c r="U154" s="173"/>
      <c r="V154" s="173"/>
      <c r="W154" s="173"/>
      <c r="X154" s="173"/>
      <c r="Y154" s="173"/>
      <c r="Z154" s="173"/>
    </row>
    <row r="155">
      <c r="A155" s="173"/>
      <c r="B155" s="173"/>
      <c r="C155" s="173"/>
      <c r="D155" s="173"/>
      <c r="E155" s="173"/>
      <c r="F155" s="173"/>
      <c r="G155" s="173"/>
      <c r="H155" s="173"/>
      <c r="I155" s="173"/>
      <c r="J155" s="173"/>
      <c r="K155" s="173"/>
      <c r="L155" s="173"/>
      <c r="M155" s="173"/>
      <c r="N155" s="173"/>
      <c r="O155" s="173"/>
      <c r="P155" s="173"/>
      <c r="Q155" s="173"/>
      <c r="R155" s="173"/>
      <c r="S155" s="173"/>
      <c r="T155" s="173"/>
      <c r="U155" s="173"/>
      <c r="V155" s="173"/>
      <c r="W155" s="173"/>
      <c r="X155" s="173"/>
      <c r="Y155" s="173"/>
      <c r="Z155" s="173"/>
    </row>
    <row r="156">
      <c r="A156" s="173"/>
      <c r="B156" s="173"/>
      <c r="C156" s="173"/>
      <c r="D156" s="173"/>
      <c r="E156" s="173"/>
      <c r="F156" s="173"/>
      <c r="G156" s="173"/>
      <c r="H156" s="173"/>
      <c r="I156" s="173"/>
      <c r="J156" s="173"/>
      <c r="K156" s="173"/>
      <c r="L156" s="173"/>
      <c r="M156" s="173"/>
      <c r="N156" s="173"/>
      <c r="O156" s="173"/>
      <c r="P156" s="173"/>
      <c r="Q156" s="173"/>
      <c r="R156" s="173"/>
      <c r="S156" s="173"/>
      <c r="T156" s="173"/>
      <c r="U156" s="173"/>
      <c r="V156" s="173"/>
      <c r="W156" s="173"/>
      <c r="X156" s="173"/>
      <c r="Y156" s="173"/>
      <c r="Z156" s="173"/>
    </row>
    <row r="157">
      <c r="A157" s="173"/>
      <c r="B157" s="173"/>
      <c r="C157" s="173"/>
      <c r="D157" s="173"/>
      <c r="E157" s="173"/>
      <c r="F157" s="173"/>
      <c r="G157" s="173"/>
      <c r="H157" s="173"/>
      <c r="I157" s="173"/>
      <c r="J157" s="173"/>
      <c r="K157" s="173"/>
      <c r="L157" s="173"/>
      <c r="M157" s="173"/>
      <c r="N157" s="173"/>
      <c r="O157" s="173"/>
      <c r="P157" s="173"/>
      <c r="Q157" s="173"/>
      <c r="R157" s="173"/>
      <c r="S157" s="173"/>
      <c r="T157" s="173"/>
      <c r="U157" s="173"/>
      <c r="V157" s="173"/>
      <c r="W157" s="173"/>
      <c r="X157" s="173"/>
      <c r="Y157" s="173"/>
      <c r="Z157" s="173"/>
    </row>
    <row r="158">
      <c r="A158" s="173"/>
      <c r="B158" s="173"/>
      <c r="C158" s="173"/>
      <c r="D158" s="173"/>
      <c r="E158" s="173"/>
      <c r="F158" s="173"/>
      <c r="G158" s="173"/>
      <c r="H158" s="173"/>
      <c r="I158" s="173"/>
      <c r="J158" s="173"/>
      <c r="K158" s="173"/>
      <c r="L158" s="173"/>
      <c r="M158" s="173"/>
      <c r="N158" s="173"/>
      <c r="O158" s="173"/>
      <c r="P158" s="173"/>
      <c r="Q158" s="173"/>
      <c r="R158" s="173"/>
      <c r="S158" s="173"/>
      <c r="T158" s="173"/>
      <c r="U158" s="173"/>
      <c r="V158" s="173"/>
      <c r="W158" s="173"/>
      <c r="X158" s="173"/>
      <c r="Y158" s="173"/>
      <c r="Z158" s="173"/>
    </row>
    <row r="159">
      <c r="A159" s="173"/>
      <c r="B159" s="173"/>
      <c r="C159" s="173"/>
      <c r="D159" s="173"/>
      <c r="E159" s="173"/>
      <c r="F159" s="173"/>
      <c r="G159" s="173"/>
      <c r="H159" s="173"/>
      <c r="I159" s="173"/>
      <c r="J159" s="173"/>
      <c r="K159" s="173"/>
      <c r="L159" s="173"/>
      <c r="M159" s="173"/>
      <c r="N159" s="173"/>
      <c r="O159" s="173"/>
      <c r="P159" s="173"/>
      <c r="Q159" s="173"/>
      <c r="R159" s="173"/>
      <c r="S159" s="173"/>
      <c r="T159" s="173"/>
      <c r="U159" s="173"/>
      <c r="V159" s="173"/>
      <c r="W159" s="173"/>
      <c r="X159" s="173"/>
      <c r="Y159" s="173"/>
      <c r="Z159" s="173"/>
    </row>
    <row r="160">
      <c r="A160" s="173"/>
      <c r="B160" s="173"/>
      <c r="C160" s="173"/>
      <c r="D160" s="173"/>
      <c r="E160" s="173"/>
      <c r="F160" s="173"/>
      <c r="G160" s="173"/>
      <c r="H160" s="173"/>
      <c r="I160" s="173"/>
      <c r="J160" s="173"/>
      <c r="K160" s="173"/>
      <c r="L160" s="173"/>
      <c r="M160" s="173"/>
      <c r="N160" s="173"/>
      <c r="O160" s="173"/>
      <c r="P160" s="173"/>
      <c r="Q160" s="173"/>
      <c r="R160" s="173"/>
      <c r="S160" s="173"/>
      <c r="T160" s="173"/>
      <c r="U160" s="173"/>
      <c r="V160" s="173"/>
      <c r="W160" s="173"/>
      <c r="X160" s="173"/>
      <c r="Y160" s="173"/>
      <c r="Z160" s="173"/>
    </row>
    <row r="161">
      <c r="A161" s="173"/>
      <c r="B161" s="173"/>
      <c r="C161" s="173"/>
      <c r="D161" s="173"/>
      <c r="E161" s="173"/>
      <c r="F161" s="173"/>
      <c r="G161" s="173"/>
      <c r="H161" s="173"/>
      <c r="I161" s="173"/>
      <c r="J161" s="173"/>
      <c r="K161" s="173"/>
      <c r="L161" s="173"/>
      <c r="M161" s="173"/>
      <c r="N161" s="173"/>
      <c r="O161" s="173"/>
      <c r="P161" s="173"/>
      <c r="Q161" s="173"/>
      <c r="R161" s="173"/>
      <c r="S161" s="173"/>
      <c r="T161" s="173"/>
      <c r="U161" s="173"/>
      <c r="V161" s="173"/>
      <c r="W161" s="173"/>
      <c r="X161" s="173"/>
      <c r="Y161" s="173"/>
      <c r="Z161" s="173"/>
    </row>
    <row r="162">
      <c r="A162" s="173"/>
      <c r="B162" s="173"/>
      <c r="C162" s="173"/>
      <c r="D162" s="173"/>
      <c r="E162" s="173"/>
      <c r="F162" s="173"/>
      <c r="G162" s="173"/>
      <c r="H162" s="173"/>
      <c r="I162" s="173"/>
      <c r="J162" s="173"/>
      <c r="K162" s="173"/>
      <c r="L162" s="173"/>
      <c r="M162" s="173"/>
      <c r="N162" s="173"/>
      <c r="O162" s="173"/>
      <c r="P162" s="173"/>
      <c r="Q162" s="173"/>
      <c r="R162" s="173"/>
      <c r="S162" s="173"/>
      <c r="T162" s="173"/>
      <c r="U162" s="173"/>
      <c r="V162" s="173"/>
      <c r="W162" s="173"/>
      <c r="X162" s="173"/>
      <c r="Y162" s="173"/>
      <c r="Z162" s="173"/>
    </row>
    <row r="163">
      <c r="A163" s="173"/>
      <c r="B163" s="173"/>
      <c r="C163" s="173"/>
      <c r="D163" s="173"/>
      <c r="E163" s="173"/>
      <c r="F163" s="173"/>
      <c r="G163" s="173"/>
      <c r="H163" s="173"/>
      <c r="I163" s="173"/>
      <c r="J163" s="173"/>
      <c r="K163" s="173"/>
      <c r="L163" s="173"/>
      <c r="M163" s="173"/>
      <c r="N163" s="173"/>
      <c r="O163" s="173"/>
      <c r="P163" s="173"/>
      <c r="Q163" s="173"/>
      <c r="R163" s="173"/>
      <c r="S163" s="173"/>
      <c r="T163" s="173"/>
      <c r="U163" s="173"/>
      <c r="V163" s="173"/>
      <c r="W163" s="173"/>
      <c r="X163" s="173"/>
      <c r="Y163" s="173"/>
      <c r="Z163" s="173"/>
    </row>
    <row r="164">
      <c r="A164" s="173"/>
      <c r="B164" s="173"/>
      <c r="C164" s="173"/>
      <c r="D164" s="173"/>
      <c r="E164" s="173"/>
      <c r="F164" s="173"/>
      <c r="G164" s="173"/>
      <c r="H164" s="173"/>
      <c r="I164" s="173"/>
      <c r="J164" s="173"/>
      <c r="K164" s="173"/>
      <c r="L164" s="173"/>
      <c r="M164" s="173"/>
      <c r="N164" s="173"/>
      <c r="O164" s="173"/>
      <c r="P164" s="173"/>
      <c r="Q164" s="173"/>
      <c r="R164" s="173"/>
      <c r="S164" s="173"/>
      <c r="T164" s="173"/>
      <c r="U164" s="173"/>
      <c r="V164" s="173"/>
      <c r="W164" s="173"/>
      <c r="X164" s="173"/>
      <c r="Y164" s="173"/>
      <c r="Z164" s="173"/>
    </row>
    <row r="165">
      <c r="A165" s="173"/>
      <c r="B165" s="173"/>
      <c r="C165" s="173"/>
      <c r="D165" s="173"/>
      <c r="E165" s="173"/>
      <c r="F165" s="173"/>
      <c r="G165" s="173"/>
      <c r="H165" s="173"/>
      <c r="I165" s="173"/>
      <c r="J165" s="173"/>
      <c r="K165" s="173"/>
      <c r="L165" s="173"/>
      <c r="M165" s="173"/>
      <c r="N165" s="173"/>
      <c r="O165" s="173"/>
      <c r="P165" s="173"/>
      <c r="Q165" s="173"/>
      <c r="R165" s="173"/>
      <c r="S165" s="173"/>
      <c r="T165" s="173"/>
      <c r="U165" s="173"/>
      <c r="V165" s="173"/>
      <c r="W165" s="173"/>
      <c r="X165" s="173"/>
      <c r="Y165" s="173"/>
      <c r="Z165" s="173"/>
    </row>
    <row r="166">
      <c r="A166" s="173"/>
      <c r="B166" s="173"/>
      <c r="C166" s="173"/>
      <c r="D166" s="173"/>
      <c r="E166" s="173"/>
      <c r="F166" s="173"/>
      <c r="G166" s="173"/>
      <c r="H166" s="173"/>
      <c r="I166" s="173"/>
      <c r="J166" s="173"/>
      <c r="K166" s="173"/>
      <c r="L166" s="173"/>
      <c r="M166" s="173"/>
      <c r="N166" s="173"/>
      <c r="O166" s="173"/>
      <c r="P166" s="173"/>
      <c r="Q166" s="173"/>
      <c r="R166" s="173"/>
      <c r="S166" s="173"/>
      <c r="T166" s="173"/>
      <c r="U166" s="173"/>
      <c r="V166" s="173"/>
      <c r="W166" s="173"/>
      <c r="X166" s="173"/>
      <c r="Y166" s="173"/>
      <c r="Z166" s="173"/>
    </row>
    <row r="167">
      <c r="A167" s="173"/>
      <c r="B167" s="173"/>
      <c r="C167" s="173"/>
      <c r="D167" s="173"/>
      <c r="E167" s="173"/>
      <c r="F167" s="173"/>
      <c r="G167" s="173"/>
      <c r="H167" s="173"/>
      <c r="I167" s="173"/>
      <c r="J167" s="173"/>
      <c r="K167" s="173"/>
      <c r="L167" s="173"/>
      <c r="M167" s="173"/>
      <c r="N167" s="173"/>
      <c r="O167" s="173"/>
      <c r="P167" s="173"/>
      <c r="Q167" s="173"/>
      <c r="R167" s="173"/>
      <c r="S167" s="173"/>
      <c r="T167" s="173"/>
      <c r="U167" s="173"/>
      <c r="V167" s="173"/>
      <c r="W167" s="173"/>
      <c r="X167" s="173"/>
      <c r="Y167" s="173"/>
      <c r="Z167" s="173"/>
    </row>
    <row r="168">
      <c r="A168" s="173"/>
      <c r="B168" s="173"/>
      <c r="C168" s="173"/>
      <c r="D168" s="173"/>
      <c r="E168" s="173"/>
      <c r="F168" s="173"/>
      <c r="G168" s="173"/>
      <c r="H168" s="173"/>
      <c r="I168" s="173"/>
      <c r="J168" s="173"/>
      <c r="K168" s="173"/>
      <c r="L168" s="173"/>
      <c r="M168" s="173"/>
      <c r="N168" s="173"/>
      <c r="O168" s="173"/>
      <c r="P168" s="173"/>
      <c r="Q168" s="173"/>
      <c r="R168" s="173"/>
      <c r="S168" s="173"/>
      <c r="T168" s="173"/>
      <c r="U168" s="173"/>
      <c r="V168" s="173"/>
      <c r="W168" s="173"/>
      <c r="X168" s="173"/>
      <c r="Y168" s="173"/>
      <c r="Z168" s="173"/>
    </row>
    <row r="169">
      <c r="A169" s="173"/>
      <c r="B169" s="173"/>
      <c r="C169" s="173"/>
      <c r="D169" s="173"/>
      <c r="E169" s="173"/>
      <c r="F169" s="173"/>
      <c r="G169" s="173"/>
      <c r="H169" s="173"/>
      <c r="I169" s="173"/>
      <c r="J169" s="173"/>
      <c r="K169" s="173"/>
      <c r="L169" s="173"/>
      <c r="M169" s="173"/>
      <c r="N169" s="173"/>
      <c r="O169" s="173"/>
      <c r="P169" s="173"/>
      <c r="Q169" s="173"/>
      <c r="R169" s="173"/>
      <c r="S169" s="173"/>
      <c r="T169" s="173"/>
      <c r="U169" s="173"/>
      <c r="V169" s="173"/>
      <c r="W169" s="173"/>
      <c r="X169" s="173"/>
      <c r="Y169" s="173"/>
      <c r="Z169" s="173"/>
    </row>
    <row r="170">
      <c r="A170" s="173"/>
      <c r="B170" s="173"/>
      <c r="C170" s="173"/>
      <c r="D170" s="173"/>
      <c r="E170" s="173"/>
      <c r="F170" s="173"/>
      <c r="G170" s="173"/>
      <c r="H170" s="173"/>
      <c r="I170" s="173"/>
      <c r="J170" s="173"/>
      <c r="K170" s="173"/>
      <c r="L170" s="173"/>
      <c r="M170" s="173"/>
      <c r="N170" s="173"/>
      <c r="O170" s="173"/>
      <c r="P170" s="173"/>
      <c r="Q170" s="173"/>
      <c r="R170" s="173"/>
      <c r="S170" s="173"/>
      <c r="T170" s="173"/>
      <c r="U170" s="173"/>
      <c r="V170" s="173"/>
      <c r="W170" s="173"/>
      <c r="X170" s="173"/>
      <c r="Y170" s="173"/>
      <c r="Z170" s="173"/>
    </row>
    <row r="171">
      <c r="A171" s="173"/>
      <c r="B171" s="173"/>
      <c r="C171" s="173"/>
      <c r="D171" s="173"/>
      <c r="E171" s="173"/>
      <c r="F171" s="173"/>
      <c r="G171" s="173"/>
      <c r="H171" s="173"/>
      <c r="I171" s="173"/>
      <c r="J171" s="173"/>
      <c r="K171" s="173"/>
      <c r="L171" s="173"/>
      <c r="M171" s="173"/>
      <c r="N171" s="173"/>
      <c r="O171" s="173"/>
      <c r="P171" s="173"/>
      <c r="Q171" s="173"/>
      <c r="R171" s="173"/>
      <c r="S171" s="173"/>
      <c r="T171" s="173"/>
      <c r="U171" s="173"/>
      <c r="V171" s="173"/>
      <c r="W171" s="173"/>
      <c r="X171" s="173"/>
      <c r="Y171" s="173"/>
      <c r="Z171" s="173"/>
    </row>
    <row r="172">
      <c r="A172" s="173"/>
      <c r="B172" s="173"/>
      <c r="C172" s="173"/>
      <c r="D172" s="173"/>
      <c r="E172" s="173"/>
      <c r="F172" s="173"/>
      <c r="G172" s="173"/>
      <c r="H172" s="173"/>
      <c r="I172" s="173"/>
      <c r="J172" s="173"/>
      <c r="K172" s="173"/>
      <c r="L172" s="173"/>
      <c r="M172" s="173"/>
      <c r="N172" s="173"/>
      <c r="O172" s="173"/>
      <c r="P172" s="173"/>
      <c r="Q172" s="173"/>
      <c r="R172" s="173"/>
      <c r="S172" s="173"/>
      <c r="T172" s="173"/>
      <c r="U172" s="173"/>
      <c r="V172" s="173"/>
      <c r="W172" s="173"/>
      <c r="X172" s="173"/>
      <c r="Y172" s="173"/>
      <c r="Z172" s="173"/>
    </row>
    <row r="173">
      <c r="A173" s="173"/>
      <c r="B173" s="173"/>
      <c r="C173" s="173"/>
      <c r="D173" s="173"/>
      <c r="E173" s="173"/>
      <c r="F173" s="173"/>
      <c r="G173" s="173"/>
      <c r="H173" s="173"/>
      <c r="I173" s="173"/>
      <c r="J173" s="173"/>
      <c r="K173" s="173"/>
      <c r="L173" s="173"/>
      <c r="M173" s="173"/>
      <c r="N173" s="173"/>
      <c r="O173" s="173"/>
      <c r="P173" s="173"/>
      <c r="Q173" s="173"/>
      <c r="R173" s="173"/>
      <c r="S173" s="173"/>
      <c r="T173" s="173"/>
      <c r="U173" s="173"/>
      <c r="V173" s="173"/>
      <c r="W173" s="173"/>
      <c r="X173" s="173"/>
      <c r="Y173" s="173"/>
      <c r="Z173" s="173"/>
    </row>
    <row r="174">
      <c r="A174" s="173"/>
      <c r="B174" s="173"/>
      <c r="C174" s="173"/>
      <c r="D174" s="173"/>
      <c r="E174" s="173"/>
      <c r="F174" s="173"/>
      <c r="G174" s="173"/>
      <c r="H174" s="173"/>
      <c r="I174" s="173"/>
      <c r="J174" s="173"/>
      <c r="K174" s="173"/>
      <c r="L174" s="173"/>
      <c r="M174" s="173"/>
      <c r="N174" s="173"/>
      <c r="O174" s="173"/>
      <c r="P174" s="173"/>
      <c r="Q174" s="173"/>
      <c r="R174" s="173"/>
      <c r="S174" s="173"/>
      <c r="T174" s="173"/>
      <c r="U174" s="173"/>
      <c r="V174" s="173"/>
      <c r="W174" s="173"/>
      <c r="X174" s="173"/>
      <c r="Y174" s="173"/>
      <c r="Z174" s="173"/>
    </row>
    <row r="175">
      <c r="A175" s="173"/>
      <c r="B175" s="173"/>
      <c r="C175" s="173"/>
      <c r="D175" s="173"/>
      <c r="E175" s="173"/>
      <c r="F175" s="173"/>
      <c r="G175" s="173"/>
      <c r="H175" s="173"/>
      <c r="I175" s="173"/>
      <c r="J175" s="173"/>
      <c r="K175" s="173"/>
      <c r="L175" s="173"/>
      <c r="M175" s="173"/>
      <c r="N175" s="173"/>
      <c r="O175" s="173"/>
      <c r="P175" s="173"/>
      <c r="Q175" s="173"/>
      <c r="R175" s="173"/>
      <c r="S175" s="173"/>
      <c r="T175" s="173"/>
      <c r="U175" s="173"/>
      <c r="V175" s="173"/>
      <c r="W175" s="173"/>
      <c r="X175" s="173"/>
      <c r="Y175" s="173"/>
      <c r="Z175" s="173"/>
    </row>
    <row r="176">
      <c r="A176" s="173"/>
      <c r="B176" s="173"/>
      <c r="C176" s="173"/>
      <c r="D176" s="173"/>
      <c r="E176" s="173"/>
      <c r="F176" s="173"/>
      <c r="G176" s="173"/>
      <c r="H176" s="173"/>
      <c r="I176" s="173"/>
      <c r="J176" s="173"/>
      <c r="K176" s="173"/>
      <c r="L176" s="173"/>
      <c r="M176" s="173"/>
      <c r="N176" s="173"/>
      <c r="O176" s="173"/>
      <c r="P176" s="173"/>
      <c r="Q176" s="173"/>
      <c r="R176" s="173"/>
      <c r="S176" s="173"/>
      <c r="T176" s="173"/>
      <c r="U176" s="173"/>
      <c r="V176" s="173"/>
      <c r="W176" s="173"/>
      <c r="X176" s="173"/>
      <c r="Y176" s="173"/>
      <c r="Z176" s="173"/>
    </row>
    <row r="177">
      <c r="A177" s="173"/>
      <c r="B177" s="173"/>
      <c r="C177" s="173"/>
      <c r="D177" s="173"/>
      <c r="E177" s="173"/>
      <c r="F177" s="173"/>
      <c r="G177" s="173"/>
      <c r="H177" s="173"/>
      <c r="I177" s="173"/>
      <c r="J177" s="173"/>
      <c r="K177" s="173"/>
      <c r="L177" s="173"/>
      <c r="M177" s="173"/>
      <c r="N177" s="173"/>
      <c r="O177" s="173"/>
      <c r="P177" s="173"/>
      <c r="Q177" s="173"/>
      <c r="R177" s="173"/>
      <c r="S177" s="173"/>
      <c r="T177" s="173"/>
      <c r="U177" s="173"/>
      <c r="V177" s="173"/>
      <c r="W177" s="173"/>
      <c r="X177" s="173"/>
      <c r="Y177" s="173"/>
      <c r="Z177" s="173"/>
    </row>
    <row r="178">
      <c r="A178" s="173"/>
      <c r="B178" s="173"/>
      <c r="C178" s="173"/>
      <c r="D178" s="173"/>
      <c r="E178" s="173"/>
      <c r="F178" s="173"/>
      <c r="G178" s="173"/>
      <c r="H178" s="173"/>
      <c r="I178" s="173"/>
      <c r="J178" s="173"/>
      <c r="K178" s="173"/>
      <c r="L178" s="173"/>
      <c r="M178" s="173"/>
      <c r="N178" s="173"/>
      <c r="O178" s="173"/>
      <c r="P178" s="173"/>
      <c r="Q178" s="173"/>
      <c r="R178" s="173"/>
      <c r="S178" s="173"/>
      <c r="T178" s="173"/>
      <c r="U178" s="173"/>
      <c r="V178" s="173"/>
      <c r="W178" s="173"/>
      <c r="X178" s="173"/>
      <c r="Y178" s="173"/>
      <c r="Z178" s="173"/>
    </row>
    <row r="179">
      <c r="A179" s="173"/>
      <c r="B179" s="173"/>
      <c r="C179" s="173"/>
      <c r="D179" s="173"/>
      <c r="E179" s="173"/>
      <c r="F179" s="173"/>
      <c r="G179" s="173"/>
      <c r="H179" s="173"/>
      <c r="I179" s="173"/>
      <c r="J179" s="173"/>
      <c r="K179" s="173"/>
      <c r="L179" s="173"/>
      <c r="M179" s="173"/>
      <c r="N179" s="173"/>
      <c r="O179" s="173"/>
      <c r="P179" s="173"/>
      <c r="Q179" s="173"/>
      <c r="R179" s="173"/>
      <c r="S179" s="173"/>
      <c r="T179" s="173"/>
      <c r="U179" s="173"/>
      <c r="V179" s="173"/>
      <c r="W179" s="173"/>
      <c r="X179" s="173"/>
      <c r="Y179" s="173"/>
      <c r="Z179" s="173"/>
    </row>
    <row r="180">
      <c r="A180" s="173"/>
      <c r="B180" s="173"/>
      <c r="C180" s="173"/>
      <c r="D180" s="173"/>
      <c r="E180" s="173"/>
      <c r="F180" s="173"/>
      <c r="G180" s="173"/>
      <c r="H180" s="173"/>
      <c r="I180" s="173"/>
      <c r="J180" s="173"/>
      <c r="K180" s="173"/>
      <c r="L180" s="173"/>
      <c r="M180" s="173"/>
      <c r="N180" s="173"/>
      <c r="O180" s="173"/>
      <c r="P180" s="173"/>
      <c r="Q180" s="173"/>
      <c r="R180" s="173"/>
      <c r="S180" s="173"/>
      <c r="T180" s="173"/>
      <c r="U180" s="173"/>
      <c r="V180" s="173"/>
      <c r="W180" s="173"/>
      <c r="X180" s="173"/>
      <c r="Y180" s="173"/>
      <c r="Z180" s="173"/>
    </row>
    <row r="181">
      <c r="A181" s="173"/>
      <c r="B181" s="173"/>
      <c r="C181" s="173"/>
      <c r="D181" s="173"/>
      <c r="E181" s="173"/>
      <c r="F181" s="173"/>
      <c r="G181" s="173"/>
      <c r="H181" s="173"/>
      <c r="I181" s="173"/>
      <c r="J181" s="173"/>
      <c r="K181" s="173"/>
      <c r="L181" s="173"/>
      <c r="M181" s="173"/>
      <c r="N181" s="173"/>
      <c r="O181" s="173"/>
      <c r="P181" s="173"/>
      <c r="Q181" s="173"/>
      <c r="R181" s="173"/>
      <c r="S181" s="173"/>
      <c r="T181" s="173"/>
      <c r="U181" s="173"/>
      <c r="V181" s="173"/>
      <c r="W181" s="173"/>
      <c r="X181" s="173"/>
      <c r="Y181" s="173"/>
      <c r="Z181" s="173"/>
    </row>
    <row r="182">
      <c r="A182" s="173"/>
      <c r="B182" s="173"/>
      <c r="C182" s="173"/>
      <c r="D182" s="173"/>
      <c r="E182" s="173"/>
      <c r="F182" s="173"/>
      <c r="G182" s="173"/>
      <c r="H182" s="173"/>
      <c r="I182" s="173"/>
      <c r="J182" s="173"/>
      <c r="K182" s="173"/>
      <c r="L182" s="173"/>
      <c r="M182" s="173"/>
      <c r="N182" s="173"/>
      <c r="O182" s="173"/>
      <c r="P182" s="173"/>
      <c r="Q182" s="173"/>
      <c r="R182" s="173"/>
      <c r="S182" s="173"/>
      <c r="T182" s="173"/>
      <c r="U182" s="173"/>
      <c r="V182" s="173"/>
      <c r="W182" s="173"/>
      <c r="X182" s="173"/>
      <c r="Y182" s="173"/>
      <c r="Z182" s="173"/>
    </row>
    <row r="183">
      <c r="A183" s="173"/>
      <c r="B183" s="173"/>
      <c r="C183" s="173"/>
      <c r="D183" s="173"/>
      <c r="E183" s="173"/>
      <c r="F183" s="173"/>
      <c r="G183" s="173"/>
      <c r="H183" s="173"/>
      <c r="I183" s="173"/>
      <c r="J183" s="173"/>
      <c r="K183" s="173"/>
      <c r="L183" s="173"/>
      <c r="M183" s="173"/>
      <c r="N183" s="173"/>
      <c r="O183" s="173"/>
      <c r="P183" s="173"/>
      <c r="Q183" s="173"/>
      <c r="R183" s="173"/>
      <c r="S183" s="173"/>
      <c r="T183" s="173"/>
      <c r="U183" s="173"/>
      <c r="V183" s="173"/>
      <c r="W183" s="173"/>
      <c r="X183" s="173"/>
      <c r="Y183" s="173"/>
      <c r="Z183" s="173"/>
    </row>
    <row r="184">
      <c r="A184" s="173"/>
      <c r="B184" s="173"/>
      <c r="C184" s="173"/>
      <c r="D184" s="173"/>
      <c r="E184" s="173"/>
      <c r="F184" s="173"/>
      <c r="G184" s="173"/>
      <c r="H184" s="173"/>
      <c r="I184" s="173"/>
      <c r="J184" s="173"/>
      <c r="K184" s="173"/>
      <c r="L184" s="173"/>
      <c r="M184" s="173"/>
      <c r="N184" s="173"/>
      <c r="O184" s="173"/>
      <c r="P184" s="173"/>
      <c r="Q184" s="173"/>
      <c r="R184" s="173"/>
      <c r="S184" s="173"/>
      <c r="T184" s="173"/>
      <c r="U184" s="173"/>
      <c r="V184" s="173"/>
      <c r="W184" s="173"/>
      <c r="X184" s="173"/>
      <c r="Y184" s="173"/>
      <c r="Z184" s="173"/>
    </row>
    <row r="185">
      <c r="A185" s="173"/>
      <c r="B185" s="173"/>
      <c r="C185" s="173"/>
      <c r="D185" s="173"/>
      <c r="E185" s="173"/>
      <c r="F185" s="173"/>
      <c r="G185" s="173"/>
      <c r="H185" s="173"/>
      <c r="I185" s="173"/>
      <c r="J185" s="173"/>
      <c r="K185" s="173"/>
      <c r="L185" s="173"/>
      <c r="M185" s="173"/>
      <c r="N185" s="173"/>
      <c r="O185" s="173"/>
      <c r="P185" s="173"/>
      <c r="Q185" s="173"/>
      <c r="R185" s="173"/>
      <c r="S185" s="173"/>
      <c r="T185" s="173"/>
      <c r="U185" s="173"/>
      <c r="V185" s="173"/>
      <c r="W185" s="173"/>
      <c r="X185" s="173"/>
      <c r="Y185" s="173"/>
      <c r="Z185" s="173"/>
    </row>
    <row r="186">
      <c r="A186" s="173"/>
      <c r="B186" s="173"/>
      <c r="C186" s="173"/>
      <c r="D186" s="173"/>
      <c r="E186" s="173"/>
      <c r="F186" s="173"/>
      <c r="G186" s="173"/>
      <c r="H186" s="173"/>
      <c r="I186" s="173"/>
      <c r="J186" s="173"/>
      <c r="K186" s="173"/>
      <c r="L186" s="173"/>
      <c r="M186" s="173"/>
      <c r="N186" s="173"/>
      <c r="O186" s="173"/>
      <c r="P186" s="173"/>
      <c r="Q186" s="173"/>
      <c r="R186" s="173"/>
      <c r="S186" s="173"/>
      <c r="T186" s="173"/>
      <c r="U186" s="173"/>
      <c r="V186" s="173"/>
      <c r="W186" s="173"/>
      <c r="X186" s="173"/>
      <c r="Y186" s="173"/>
      <c r="Z186" s="173"/>
    </row>
    <row r="187">
      <c r="A187" s="173"/>
      <c r="B187" s="173"/>
      <c r="C187" s="173"/>
      <c r="D187" s="173"/>
      <c r="E187" s="173"/>
      <c r="F187" s="173"/>
      <c r="G187" s="173"/>
      <c r="H187" s="173"/>
      <c r="I187" s="173"/>
      <c r="J187" s="173"/>
      <c r="K187" s="173"/>
      <c r="L187" s="173"/>
      <c r="M187" s="173"/>
      <c r="N187" s="173"/>
      <c r="O187" s="173"/>
      <c r="P187" s="173"/>
      <c r="Q187" s="173"/>
      <c r="R187" s="173"/>
      <c r="S187" s="173"/>
      <c r="T187" s="173"/>
      <c r="U187" s="173"/>
      <c r="V187" s="173"/>
      <c r="W187" s="173"/>
      <c r="X187" s="173"/>
      <c r="Y187" s="173"/>
      <c r="Z187" s="173"/>
    </row>
    <row r="188">
      <c r="A188" s="173"/>
      <c r="B188" s="173"/>
      <c r="C188" s="173"/>
      <c r="D188" s="173"/>
      <c r="E188" s="173"/>
      <c r="F188" s="173"/>
      <c r="G188" s="173"/>
      <c r="H188" s="173"/>
      <c r="I188" s="173"/>
      <c r="J188" s="173"/>
      <c r="K188" s="173"/>
      <c r="L188" s="173"/>
      <c r="M188" s="173"/>
      <c r="N188" s="173"/>
      <c r="O188" s="173"/>
      <c r="P188" s="173"/>
      <c r="Q188" s="173"/>
      <c r="R188" s="173"/>
      <c r="S188" s="173"/>
      <c r="T188" s="173"/>
      <c r="U188" s="173"/>
      <c r="V188" s="173"/>
      <c r="W188" s="173"/>
      <c r="X188" s="173"/>
      <c r="Y188" s="173"/>
      <c r="Z188" s="173"/>
    </row>
    <row r="189">
      <c r="A189" s="173"/>
      <c r="B189" s="173"/>
      <c r="C189" s="173"/>
      <c r="D189" s="173"/>
      <c r="E189" s="173"/>
      <c r="F189" s="173"/>
      <c r="G189" s="173"/>
      <c r="H189" s="173"/>
      <c r="I189" s="173"/>
      <c r="J189" s="173"/>
      <c r="K189" s="173"/>
      <c r="L189" s="173"/>
      <c r="M189" s="173"/>
      <c r="N189" s="173"/>
      <c r="O189" s="173"/>
      <c r="P189" s="173"/>
      <c r="Q189" s="173"/>
      <c r="R189" s="173"/>
      <c r="S189" s="173"/>
      <c r="T189" s="173"/>
      <c r="U189" s="173"/>
      <c r="V189" s="173"/>
      <c r="W189" s="173"/>
      <c r="X189" s="173"/>
      <c r="Y189" s="173"/>
      <c r="Z189" s="173"/>
    </row>
    <row r="190">
      <c r="A190" s="173"/>
      <c r="B190" s="173"/>
      <c r="C190" s="173"/>
      <c r="D190" s="173"/>
      <c r="E190" s="173"/>
      <c r="F190" s="173"/>
      <c r="G190" s="173"/>
      <c r="H190" s="173"/>
      <c r="I190" s="173"/>
      <c r="J190" s="173"/>
      <c r="K190" s="173"/>
      <c r="L190" s="173"/>
      <c r="M190" s="173"/>
      <c r="N190" s="173"/>
      <c r="O190" s="173"/>
      <c r="P190" s="173"/>
      <c r="Q190" s="173"/>
      <c r="R190" s="173"/>
      <c r="S190" s="173"/>
      <c r="T190" s="173"/>
      <c r="U190" s="173"/>
      <c r="V190" s="173"/>
      <c r="W190" s="173"/>
      <c r="X190" s="173"/>
      <c r="Y190" s="173"/>
      <c r="Z190" s="173"/>
    </row>
    <row r="191">
      <c r="A191" s="173"/>
      <c r="B191" s="173"/>
      <c r="C191" s="173"/>
      <c r="D191" s="173"/>
      <c r="E191" s="173"/>
      <c r="F191" s="173"/>
      <c r="G191" s="173"/>
      <c r="H191" s="173"/>
      <c r="I191" s="173"/>
      <c r="J191" s="173"/>
      <c r="K191" s="173"/>
      <c r="L191" s="173"/>
      <c r="M191" s="173"/>
      <c r="N191" s="173"/>
      <c r="O191" s="173"/>
      <c r="P191" s="173"/>
      <c r="Q191" s="173"/>
      <c r="R191" s="173"/>
      <c r="S191" s="173"/>
      <c r="T191" s="173"/>
      <c r="U191" s="173"/>
      <c r="V191" s="173"/>
      <c r="W191" s="173"/>
      <c r="X191" s="173"/>
      <c r="Y191" s="173"/>
      <c r="Z191" s="173"/>
    </row>
    <row r="192">
      <c r="A192" s="173"/>
      <c r="B192" s="173"/>
      <c r="C192" s="173"/>
      <c r="D192" s="173"/>
      <c r="E192" s="173"/>
      <c r="F192" s="173"/>
      <c r="G192" s="173"/>
      <c r="H192" s="173"/>
      <c r="I192" s="173"/>
      <c r="J192" s="173"/>
      <c r="K192" s="173"/>
      <c r="L192" s="173"/>
      <c r="M192" s="173"/>
      <c r="N192" s="173"/>
      <c r="O192" s="173"/>
      <c r="P192" s="173"/>
      <c r="Q192" s="173"/>
      <c r="R192" s="173"/>
      <c r="S192" s="173"/>
      <c r="T192" s="173"/>
      <c r="U192" s="173"/>
      <c r="V192" s="173"/>
      <c r="W192" s="173"/>
      <c r="X192" s="173"/>
      <c r="Y192" s="173"/>
      <c r="Z192" s="173"/>
    </row>
    <row r="193">
      <c r="A193" s="173"/>
      <c r="B193" s="173"/>
      <c r="C193" s="173"/>
      <c r="D193" s="173"/>
      <c r="E193" s="173"/>
      <c r="F193" s="173"/>
      <c r="G193" s="173"/>
      <c r="H193" s="173"/>
      <c r="I193" s="173"/>
      <c r="J193" s="173"/>
      <c r="K193" s="173"/>
      <c r="L193" s="173"/>
      <c r="M193" s="173"/>
      <c r="N193" s="173"/>
      <c r="O193" s="173"/>
      <c r="P193" s="173"/>
      <c r="Q193" s="173"/>
      <c r="R193" s="173"/>
      <c r="S193" s="173"/>
      <c r="T193" s="173"/>
      <c r="U193" s="173"/>
      <c r="V193" s="173"/>
      <c r="W193" s="173"/>
      <c r="X193" s="173"/>
      <c r="Y193" s="173"/>
      <c r="Z193" s="173"/>
    </row>
    <row r="194">
      <c r="A194" s="173"/>
      <c r="B194" s="173"/>
      <c r="C194" s="173"/>
      <c r="D194" s="173"/>
      <c r="E194" s="173"/>
      <c r="F194" s="173"/>
      <c r="G194" s="173"/>
      <c r="H194" s="173"/>
      <c r="I194" s="173"/>
      <c r="J194" s="173"/>
      <c r="K194" s="173"/>
      <c r="L194" s="173"/>
      <c r="M194" s="173"/>
      <c r="N194" s="173"/>
      <c r="O194" s="173"/>
      <c r="P194" s="173"/>
      <c r="Q194" s="173"/>
      <c r="R194" s="173"/>
      <c r="S194" s="173"/>
      <c r="T194" s="173"/>
      <c r="U194" s="173"/>
      <c r="V194" s="173"/>
      <c r="W194" s="173"/>
      <c r="X194" s="173"/>
      <c r="Y194" s="173"/>
      <c r="Z194" s="173"/>
    </row>
    <row r="195">
      <c r="A195" s="173"/>
      <c r="B195" s="173"/>
      <c r="C195" s="173"/>
      <c r="D195" s="173"/>
      <c r="E195" s="173"/>
      <c r="F195" s="173"/>
      <c r="G195" s="173"/>
      <c r="H195" s="173"/>
      <c r="I195" s="173"/>
      <c r="J195" s="173"/>
      <c r="K195" s="173"/>
      <c r="L195" s="173"/>
      <c r="M195" s="173"/>
      <c r="N195" s="173"/>
      <c r="O195" s="173"/>
      <c r="P195" s="173"/>
      <c r="Q195" s="173"/>
      <c r="R195" s="173"/>
      <c r="S195" s="173"/>
      <c r="T195" s="173"/>
      <c r="U195" s="173"/>
      <c r="V195" s="173"/>
      <c r="W195" s="173"/>
      <c r="X195" s="173"/>
      <c r="Y195" s="173"/>
      <c r="Z195" s="173"/>
    </row>
    <row r="196">
      <c r="A196" s="173"/>
      <c r="B196" s="173"/>
      <c r="C196" s="173"/>
      <c r="D196" s="173"/>
      <c r="E196" s="173"/>
      <c r="F196" s="173"/>
      <c r="G196" s="173"/>
      <c r="H196" s="173"/>
      <c r="I196" s="173"/>
      <c r="J196" s="173"/>
      <c r="K196" s="173"/>
      <c r="L196" s="173"/>
      <c r="M196" s="173"/>
      <c r="N196" s="173"/>
      <c r="O196" s="173"/>
      <c r="P196" s="173"/>
      <c r="Q196" s="173"/>
      <c r="R196" s="173"/>
      <c r="S196" s="173"/>
      <c r="T196" s="173"/>
      <c r="U196" s="173"/>
      <c r="V196" s="173"/>
      <c r="W196" s="173"/>
      <c r="X196" s="173"/>
      <c r="Y196" s="173"/>
      <c r="Z196" s="173"/>
    </row>
    <row r="197">
      <c r="A197" s="173"/>
      <c r="B197" s="173"/>
      <c r="C197" s="173"/>
      <c r="D197" s="173"/>
      <c r="E197" s="173"/>
      <c r="F197" s="173"/>
      <c r="G197" s="173"/>
      <c r="H197" s="173"/>
      <c r="I197" s="173"/>
      <c r="J197" s="173"/>
      <c r="K197" s="173"/>
      <c r="L197" s="173"/>
      <c r="M197" s="173"/>
      <c r="N197" s="173"/>
      <c r="O197" s="173"/>
      <c r="P197" s="173"/>
      <c r="Q197" s="173"/>
      <c r="R197" s="173"/>
      <c r="S197" s="173"/>
      <c r="T197" s="173"/>
      <c r="U197" s="173"/>
      <c r="V197" s="173"/>
      <c r="W197" s="173"/>
      <c r="X197" s="173"/>
      <c r="Y197" s="173"/>
      <c r="Z197" s="173"/>
    </row>
    <row r="198">
      <c r="A198" s="173"/>
      <c r="B198" s="173"/>
      <c r="C198" s="173"/>
      <c r="D198" s="173"/>
      <c r="E198" s="173"/>
      <c r="F198" s="173"/>
      <c r="G198" s="173"/>
      <c r="H198" s="173"/>
      <c r="I198" s="173"/>
      <c r="J198" s="173"/>
      <c r="K198" s="173"/>
      <c r="L198" s="173"/>
      <c r="M198" s="173"/>
      <c r="N198" s="173"/>
      <c r="O198" s="173"/>
      <c r="P198" s="173"/>
      <c r="Q198" s="173"/>
      <c r="R198" s="173"/>
      <c r="S198" s="173"/>
      <c r="T198" s="173"/>
      <c r="U198" s="173"/>
      <c r="V198" s="173"/>
      <c r="W198" s="173"/>
      <c r="X198" s="173"/>
      <c r="Y198" s="173"/>
      <c r="Z198" s="173"/>
    </row>
    <row r="199">
      <c r="A199" s="173"/>
      <c r="B199" s="173"/>
      <c r="C199" s="173"/>
      <c r="D199" s="173"/>
      <c r="E199" s="173"/>
      <c r="F199" s="173"/>
      <c r="G199" s="173"/>
      <c r="H199" s="173"/>
      <c r="I199" s="173"/>
      <c r="J199" s="173"/>
      <c r="K199" s="173"/>
      <c r="L199" s="173"/>
      <c r="M199" s="173"/>
      <c r="N199" s="173"/>
      <c r="O199" s="173"/>
      <c r="P199" s="173"/>
      <c r="Q199" s="173"/>
      <c r="R199" s="173"/>
      <c r="S199" s="173"/>
      <c r="T199" s="173"/>
      <c r="U199" s="173"/>
      <c r="V199" s="173"/>
      <c r="W199" s="173"/>
      <c r="X199" s="173"/>
      <c r="Y199" s="173"/>
      <c r="Z199" s="173"/>
    </row>
    <row r="200">
      <c r="A200" s="173"/>
      <c r="B200" s="173"/>
      <c r="C200" s="173"/>
      <c r="D200" s="173"/>
      <c r="E200" s="173"/>
      <c r="F200" s="173"/>
      <c r="G200" s="173"/>
      <c r="H200" s="173"/>
      <c r="I200" s="173"/>
      <c r="J200" s="173"/>
      <c r="K200" s="173"/>
      <c r="L200" s="173"/>
      <c r="M200" s="173"/>
      <c r="N200" s="173"/>
      <c r="O200" s="173"/>
      <c r="P200" s="173"/>
      <c r="Q200" s="173"/>
      <c r="R200" s="173"/>
      <c r="S200" s="173"/>
      <c r="T200" s="173"/>
      <c r="U200" s="173"/>
      <c r="V200" s="173"/>
      <c r="W200" s="173"/>
      <c r="X200" s="173"/>
      <c r="Y200" s="173"/>
      <c r="Z200" s="173"/>
    </row>
    <row r="201">
      <c r="A201" s="173"/>
      <c r="B201" s="173"/>
      <c r="C201" s="173"/>
      <c r="D201" s="173"/>
      <c r="E201" s="173"/>
      <c r="F201" s="173"/>
      <c r="G201" s="173"/>
      <c r="H201" s="173"/>
      <c r="I201" s="173"/>
      <c r="J201" s="173"/>
      <c r="K201" s="173"/>
      <c r="L201" s="173"/>
      <c r="M201" s="173"/>
      <c r="N201" s="173"/>
      <c r="O201" s="173"/>
      <c r="P201" s="173"/>
      <c r="Q201" s="173"/>
      <c r="R201" s="173"/>
      <c r="S201" s="173"/>
      <c r="T201" s="173"/>
      <c r="U201" s="173"/>
      <c r="V201" s="173"/>
      <c r="W201" s="173"/>
      <c r="X201" s="173"/>
      <c r="Y201" s="173"/>
      <c r="Z201" s="173"/>
    </row>
    <row r="202">
      <c r="A202" s="173"/>
      <c r="B202" s="173"/>
      <c r="C202" s="173"/>
      <c r="D202" s="173"/>
      <c r="E202" s="173"/>
      <c r="F202" s="173"/>
      <c r="G202" s="173"/>
      <c r="H202" s="173"/>
      <c r="I202" s="173"/>
      <c r="J202" s="173"/>
      <c r="K202" s="173"/>
      <c r="L202" s="173"/>
      <c r="M202" s="173"/>
      <c r="N202" s="173"/>
      <c r="O202" s="173"/>
      <c r="P202" s="173"/>
      <c r="Q202" s="173"/>
      <c r="R202" s="173"/>
      <c r="S202" s="173"/>
      <c r="T202" s="173"/>
      <c r="U202" s="173"/>
      <c r="V202" s="173"/>
      <c r="W202" s="173"/>
      <c r="X202" s="173"/>
      <c r="Y202" s="173"/>
      <c r="Z202" s="173"/>
    </row>
    <row r="203">
      <c r="A203" s="173"/>
      <c r="B203" s="173"/>
      <c r="C203" s="173"/>
      <c r="D203" s="173"/>
      <c r="E203" s="173"/>
      <c r="F203" s="173"/>
      <c r="G203" s="173"/>
      <c r="H203" s="173"/>
      <c r="I203" s="173"/>
      <c r="J203" s="173"/>
      <c r="K203" s="173"/>
      <c r="L203" s="173"/>
      <c r="M203" s="173"/>
      <c r="N203" s="173"/>
      <c r="O203" s="173"/>
      <c r="P203" s="173"/>
      <c r="Q203" s="173"/>
      <c r="R203" s="173"/>
      <c r="S203" s="173"/>
      <c r="T203" s="173"/>
      <c r="U203" s="173"/>
      <c r="V203" s="173"/>
      <c r="W203" s="173"/>
      <c r="X203" s="173"/>
      <c r="Y203" s="173"/>
      <c r="Z203" s="173"/>
    </row>
    <row r="204">
      <c r="A204" s="173"/>
      <c r="B204" s="173"/>
      <c r="C204" s="173"/>
      <c r="D204" s="173"/>
      <c r="E204" s="173"/>
      <c r="F204" s="173"/>
      <c r="G204" s="173"/>
      <c r="H204" s="173"/>
      <c r="I204" s="173"/>
      <c r="J204" s="173"/>
      <c r="K204" s="173"/>
      <c r="L204" s="173"/>
      <c r="M204" s="173"/>
      <c r="N204" s="173"/>
      <c r="O204" s="173"/>
      <c r="P204" s="173"/>
      <c r="Q204" s="173"/>
      <c r="R204" s="173"/>
      <c r="S204" s="173"/>
      <c r="T204" s="173"/>
      <c r="U204" s="173"/>
      <c r="V204" s="173"/>
      <c r="W204" s="173"/>
      <c r="X204" s="173"/>
      <c r="Y204" s="173"/>
      <c r="Z204" s="173"/>
    </row>
    <row r="205">
      <c r="A205" s="173"/>
      <c r="B205" s="173"/>
      <c r="C205" s="173"/>
      <c r="D205" s="173"/>
      <c r="E205" s="173"/>
      <c r="F205" s="173"/>
      <c r="G205" s="173"/>
      <c r="H205" s="173"/>
      <c r="I205" s="173"/>
      <c r="J205" s="173"/>
      <c r="K205" s="173"/>
      <c r="L205" s="173"/>
      <c r="M205" s="173"/>
      <c r="N205" s="173"/>
      <c r="O205" s="173"/>
      <c r="P205" s="173"/>
      <c r="Q205" s="173"/>
      <c r="R205" s="173"/>
      <c r="S205" s="173"/>
      <c r="T205" s="173"/>
      <c r="U205" s="173"/>
      <c r="V205" s="173"/>
      <c r="W205" s="173"/>
      <c r="X205" s="173"/>
      <c r="Y205" s="173"/>
      <c r="Z205" s="173"/>
    </row>
    <row r="206">
      <c r="A206" s="173"/>
      <c r="B206" s="173"/>
      <c r="C206" s="173"/>
      <c r="D206" s="173"/>
      <c r="E206" s="173"/>
      <c r="F206" s="173"/>
      <c r="G206" s="173"/>
      <c r="H206" s="173"/>
      <c r="I206" s="173"/>
      <c r="J206" s="173"/>
      <c r="K206" s="173"/>
      <c r="L206" s="173"/>
      <c r="M206" s="173"/>
      <c r="N206" s="173"/>
      <c r="O206" s="173"/>
      <c r="P206" s="173"/>
      <c r="Q206" s="173"/>
      <c r="R206" s="173"/>
      <c r="S206" s="173"/>
      <c r="T206" s="173"/>
      <c r="U206" s="173"/>
      <c r="V206" s="173"/>
      <c r="W206" s="173"/>
      <c r="X206" s="173"/>
      <c r="Y206" s="173"/>
      <c r="Z206" s="173"/>
    </row>
    <row r="207">
      <c r="A207" s="173"/>
      <c r="B207" s="173"/>
      <c r="C207" s="173"/>
      <c r="D207" s="173"/>
      <c r="E207" s="173"/>
      <c r="F207" s="173"/>
      <c r="G207" s="173"/>
      <c r="H207" s="173"/>
      <c r="I207" s="173"/>
      <c r="J207" s="173"/>
      <c r="K207" s="173"/>
      <c r="L207" s="173"/>
      <c r="M207" s="173"/>
      <c r="N207" s="173"/>
      <c r="O207" s="173"/>
      <c r="P207" s="173"/>
      <c r="Q207" s="173"/>
      <c r="R207" s="173"/>
      <c r="S207" s="173"/>
      <c r="T207" s="173"/>
      <c r="U207" s="173"/>
      <c r="V207" s="173"/>
      <c r="W207" s="173"/>
      <c r="X207" s="173"/>
      <c r="Y207" s="173"/>
      <c r="Z207" s="173"/>
    </row>
    <row r="208">
      <c r="A208" s="173"/>
      <c r="B208" s="173"/>
      <c r="C208" s="173"/>
      <c r="D208" s="173"/>
      <c r="E208" s="173"/>
      <c r="F208" s="173"/>
      <c r="G208" s="173"/>
      <c r="H208" s="173"/>
      <c r="I208" s="173"/>
      <c r="J208" s="173"/>
      <c r="K208" s="173"/>
      <c r="L208" s="173"/>
      <c r="M208" s="173"/>
      <c r="N208" s="173"/>
      <c r="O208" s="173"/>
      <c r="P208" s="173"/>
      <c r="Q208" s="173"/>
      <c r="R208" s="173"/>
      <c r="S208" s="173"/>
      <c r="T208" s="173"/>
      <c r="U208" s="173"/>
      <c r="V208" s="173"/>
      <c r="W208" s="173"/>
      <c r="X208" s="173"/>
      <c r="Y208" s="173"/>
      <c r="Z208" s="173"/>
    </row>
    <row r="209">
      <c r="A209" s="173"/>
      <c r="B209" s="173"/>
      <c r="C209" s="173"/>
      <c r="D209" s="173"/>
      <c r="E209" s="173"/>
      <c r="F209" s="173"/>
      <c r="G209" s="173"/>
      <c r="H209" s="173"/>
      <c r="I209" s="173"/>
      <c r="J209" s="173"/>
      <c r="K209" s="173"/>
      <c r="L209" s="173"/>
      <c r="M209" s="173"/>
      <c r="N209" s="173"/>
      <c r="O209" s="173"/>
      <c r="P209" s="173"/>
      <c r="Q209" s="173"/>
      <c r="R209" s="173"/>
      <c r="S209" s="173"/>
      <c r="T209" s="173"/>
      <c r="U209" s="173"/>
      <c r="V209" s="173"/>
      <c r="W209" s="173"/>
      <c r="X209" s="173"/>
      <c r="Y209" s="173"/>
      <c r="Z209" s="173"/>
    </row>
    <row r="210">
      <c r="A210" s="173"/>
      <c r="B210" s="173"/>
      <c r="C210" s="173"/>
      <c r="D210" s="173"/>
      <c r="E210" s="173"/>
      <c r="F210" s="173"/>
      <c r="G210" s="173"/>
      <c r="H210" s="173"/>
      <c r="I210" s="173"/>
      <c r="J210" s="173"/>
      <c r="K210" s="173"/>
      <c r="L210" s="173"/>
      <c r="M210" s="173"/>
      <c r="N210" s="173"/>
      <c r="O210" s="173"/>
      <c r="P210" s="173"/>
      <c r="Q210" s="173"/>
      <c r="R210" s="173"/>
      <c r="S210" s="173"/>
      <c r="T210" s="173"/>
      <c r="U210" s="173"/>
      <c r="V210" s="173"/>
      <c r="W210" s="173"/>
      <c r="X210" s="173"/>
      <c r="Y210" s="173"/>
      <c r="Z210" s="173"/>
    </row>
    <row r="211">
      <c r="A211" s="173"/>
      <c r="B211" s="173"/>
      <c r="C211" s="173"/>
      <c r="D211" s="173"/>
      <c r="E211" s="173"/>
      <c r="F211" s="173"/>
      <c r="G211" s="173"/>
      <c r="H211" s="173"/>
      <c r="I211" s="173"/>
      <c r="J211" s="173"/>
      <c r="K211" s="173"/>
      <c r="L211" s="173"/>
      <c r="M211" s="173"/>
      <c r="N211" s="173"/>
      <c r="O211" s="173"/>
      <c r="P211" s="173"/>
      <c r="Q211" s="173"/>
      <c r="R211" s="173"/>
      <c r="S211" s="173"/>
      <c r="T211" s="173"/>
      <c r="U211" s="173"/>
      <c r="V211" s="173"/>
      <c r="W211" s="173"/>
      <c r="X211" s="173"/>
      <c r="Y211" s="173"/>
      <c r="Z211" s="173"/>
    </row>
    <row r="212">
      <c r="A212" s="173"/>
      <c r="B212" s="173"/>
      <c r="C212" s="173"/>
      <c r="D212" s="173"/>
      <c r="E212" s="173"/>
      <c r="F212" s="173"/>
      <c r="G212" s="173"/>
      <c r="H212" s="173"/>
      <c r="I212" s="173"/>
      <c r="J212" s="173"/>
      <c r="K212" s="173"/>
      <c r="L212" s="173"/>
      <c r="M212" s="173"/>
      <c r="N212" s="173"/>
      <c r="O212" s="173"/>
      <c r="P212" s="173"/>
      <c r="Q212" s="173"/>
      <c r="R212" s="173"/>
      <c r="S212" s="173"/>
      <c r="T212" s="173"/>
      <c r="U212" s="173"/>
      <c r="V212" s="173"/>
      <c r="W212" s="173"/>
      <c r="X212" s="173"/>
      <c r="Y212" s="173"/>
      <c r="Z212" s="173"/>
    </row>
    <row r="213">
      <c r="A213" s="173"/>
      <c r="B213" s="173"/>
      <c r="C213" s="173"/>
      <c r="D213" s="173"/>
      <c r="E213" s="173"/>
      <c r="F213" s="173"/>
      <c r="G213" s="173"/>
      <c r="H213" s="173"/>
      <c r="I213" s="173"/>
      <c r="J213" s="173"/>
      <c r="K213" s="173"/>
      <c r="L213" s="173"/>
      <c r="M213" s="173"/>
      <c r="N213" s="173"/>
      <c r="O213" s="173"/>
      <c r="P213" s="173"/>
      <c r="Q213" s="173"/>
      <c r="R213" s="173"/>
      <c r="S213" s="173"/>
      <c r="T213" s="173"/>
      <c r="U213" s="173"/>
      <c r="V213" s="173"/>
      <c r="W213" s="173"/>
      <c r="X213" s="173"/>
      <c r="Y213" s="173"/>
      <c r="Z213" s="173"/>
    </row>
    <row r="214">
      <c r="A214" s="173"/>
      <c r="B214" s="173"/>
      <c r="C214" s="173"/>
      <c r="D214" s="173"/>
      <c r="E214" s="173"/>
      <c r="F214" s="173"/>
      <c r="G214" s="173"/>
      <c r="H214" s="173"/>
      <c r="I214" s="173"/>
      <c r="J214" s="173"/>
      <c r="K214" s="173"/>
      <c r="L214" s="173"/>
      <c r="M214" s="173"/>
      <c r="N214" s="173"/>
      <c r="O214" s="173"/>
      <c r="P214" s="173"/>
      <c r="Q214" s="173"/>
      <c r="R214" s="173"/>
      <c r="S214" s="173"/>
      <c r="T214" s="173"/>
      <c r="U214" s="173"/>
      <c r="V214" s="173"/>
      <c r="W214" s="173"/>
      <c r="X214" s="173"/>
      <c r="Y214" s="173"/>
      <c r="Z214" s="173"/>
    </row>
    <row r="215">
      <c r="A215" s="173"/>
      <c r="B215" s="173"/>
      <c r="C215" s="173"/>
      <c r="D215" s="173"/>
      <c r="E215" s="173"/>
      <c r="F215" s="173"/>
      <c r="G215" s="173"/>
      <c r="H215" s="173"/>
      <c r="I215" s="173"/>
      <c r="J215" s="173"/>
      <c r="K215" s="173"/>
      <c r="L215" s="173"/>
      <c r="M215" s="173"/>
      <c r="N215" s="173"/>
      <c r="O215" s="173"/>
      <c r="P215" s="173"/>
      <c r="Q215" s="173"/>
      <c r="R215" s="173"/>
      <c r="S215" s="173"/>
      <c r="T215" s="173"/>
      <c r="U215" s="173"/>
      <c r="V215" s="173"/>
      <c r="W215" s="173"/>
      <c r="X215" s="173"/>
      <c r="Y215" s="173"/>
      <c r="Z215" s="173"/>
    </row>
    <row r="216">
      <c r="A216" s="173"/>
      <c r="B216" s="173"/>
      <c r="C216" s="173"/>
      <c r="D216" s="173"/>
      <c r="E216" s="173"/>
      <c r="F216" s="173"/>
      <c r="G216" s="173"/>
      <c r="H216" s="173"/>
      <c r="I216" s="173"/>
      <c r="J216" s="173"/>
      <c r="K216" s="173"/>
      <c r="L216" s="173"/>
      <c r="M216" s="173"/>
      <c r="N216" s="173"/>
      <c r="O216" s="173"/>
      <c r="P216" s="173"/>
      <c r="Q216" s="173"/>
      <c r="R216" s="173"/>
      <c r="S216" s="173"/>
      <c r="T216" s="173"/>
      <c r="U216" s="173"/>
      <c r="V216" s="173"/>
      <c r="W216" s="173"/>
      <c r="X216" s="173"/>
      <c r="Y216" s="173"/>
      <c r="Z216" s="173"/>
    </row>
    <row r="217">
      <c r="A217" s="173"/>
      <c r="B217" s="173"/>
      <c r="C217" s="173"/>
      <c r="D217" s="173"/>
      <c r="E217" s="173"/>
      <c r="F217" s="173"/>
      <c r="G217" s="173"/>
      <c r="H217" s="173"/>
      <c r="I217" s="173"/>
      <c r="J217" s="173"/>
      <c r="K217" s="173"/>
      <c r="L217" s="173"/>
      <c r="M217" s="173"/>
      <c r="N217" s="173"/>
      <c r="O217" s="173"/>
      <c r="P217" s="173"/>
      <c r="Q217" s="173"/>
      <c r="R217" s="173"/>
      <c r="S217" s="173"/>
      <c r="T217" s="173"/>
      <c r="U217" s="173"/>
      <c r="V217" s="173"/>
      <c r="W217" s="173"/>
      <c r="X217" s="173"/>
      <c r="Y217" s="173"/>
      <c r="Z217" s="173"/>
    </row>
    <row r="218">
      <c r="A218" s="173"/>
      <c r="B218" s="173"/>
      <c r="C218" s="173"/>
      <c r="D218" s="173"/>
      <c r="E218" s="173"/>
      <c r="F218" s="173"/>
      <c r="G218" s="173"/>
      <c r="H218" s="173"/>
      <c r="I218" s="173"/>
      <c r="J218" s="173"/>
      <c r="K218" s="173"/>
      <c r="L218" s="173"/>
      <c r="M218" s="173"/>
      <c r="N218" s="173"/>
      <c r="O218" s="173"/>
      <c r="P218" s="173"/>
      <c r="Q218" s="173"/>
      <c r="R218" s="173"/>
      <c r="S218" s="173"/>
      <c r="T218" s="173"/>
      <c r="U218" s="173"/>
      <c r="V218" s="173"/>
      <c r="W218" s="173"/>
      <c r="X218" s="173"/>
      <c r="Y218" s="173"/>
      <c r="Z218" s="173"/>
    </row>
    <row r="219">
      <c r="A219" s="173"/>
      <c r="B219" s="173"/>
      <c r="C219" s="173"/>
      <c r="D219" s="173"/>
      <c r="E219" s="173"/>
      <c r="F219" s="173"/>
      <c r="G219" s="173"/>
      <c r="H219" s="173"/>
      <c r="I219" s="173"/>
      <c r="J219" s="173"/>
      <c r="K219" s="173"/>
      <c r="L219" s="173"/>
      <c r="M219" s="173"/>
      <c r="N219" s="173"/>
      <c r="O219" s="173"/>
      <c r="P219" s="173"/>
      <c r="Q219" s="173"/>
      <c r="R219" s="173"/>
      <c r="S219" s="173"/>
      <c r="T219" s="173"/>
      <c r="U219" s="173"/>
      <c r="V219" s="173"/>
      <c r="W219" s="173"/>
      <c r="X219" s="173"/>
      <c r="Y219" s="173"/>
      <c r="Z219" s="173"/>
    </row>
    <row r="220">
      <c r="A220" s="173"/>
      <c r="B220" s="173"/>
      <c r="C220" s="173"/>
      <c r="D220" s="173"/>
      <c r="E220" s="173"/>
      <c r="F220" s="173"/>
      <c r="G220" s="173"/>
      <c r="H220" s="173"/>
      <c r="I220" s="173"/>
      <c r="J220" s="173"/>
      <c r="K220" s="173"/>
      <c r="L220" s="173"/>
      <c r="M220" s="173"/>
      <c r="N220" s="173"/>
      <c r="O220" s="173"/>
      <c r="P220" s="173"/>
      <c r="Q220" s="173"/>
      <c r="R220" s="173"/>
      <c r="S220" s="173"/>
      <c r="T220" s="173"/>
      <c r="U220" s="173"/>
      <c r="V220" s="173"/>
      <c r="W220" s="173"/>
      <c r="X220" s="173"/>
      <c r="Y220" s="173"/>
      <c r="Z220" s="173"/>
    </row>
    <row r="221">
      <c r="A221" s="173"/>
      <c r="B221" s="173"/>
      <c r="C221" s="173"/>
      <c r="D221" s="173"/>
      <c r="E221" s="173"/>
      <c r="F221" s="173"/>
      <c r="G221" s="173"/>
      <c r="H221" s="173"/>
      <c r="I221" s="173"/>
      <c r="J221" s="173"/>
      <c r="K221" s="173"/>
      <c r="L221" s="173"/>
      <c r="M221" s="173"/>
      <c r="N221" s="173"/>
      <c r="O221" s="173"/>
      <c r="P221" s="173"/>
      <c r="Q221" s="173"/>
      <c r="R221" s="173"/>
      <c r="S221" s="173"/>
      <c r="T221" s="173"/>
      <c r="U221" s="173"/>
      <c r="V221" s="173"/>
      <c r="W221" s="173"/>
      <c r="X221" s="173"/>
      <c r="Y221" s="173"/>
      <c r="Z221" s="173"/>
    </row>
    <row r="222">
      <c r="A222" s="173"/>
      <c r="B222" s="173"/>
      <c r="C222" s="173"/>
      <c r="D222" s="173"/>
      <c r="E222" s="173"/>
      <c r="F222" s="173"/>
      <c r="G222" s="173"/>
      <c r="H222" s="173"/>
      <c r="I222" s="173"/>
      <c r="J222" s="173"/>
      <c r="K222" s="173"/>
      <c r="L222" s="173"/>
      <c r="M222" s="173"/>
      <c r="N222" s="173"/>
      <c r="O222" s="173"/>
      <c r="P222" s="173"/>
      <c r="Q222" s="173"/>
      <c r="R222" s="173"/>
      <c r="S222" s="173"/>
      <c r="T222" s="173"/>
      <c r="U222" s="173"/>
      <c r="V222" s="173"/>
      <c r="W222" s="173"/>
      <c r="X222" s="173"/>
      <c r="Y222" s="173"/>
      <c r="Z222" s="173"/>
    </row>
    <row r="223">
      <c r="A223" s="173"/>
      <c r="B223" s="173"/>
      <c r="C223" s="173"/>
      <c r="D223" s="173"/>
      <c r="E223" s="173"/>
      <c r="F223" s="173"/>
      <c r="G223" s="173"/>
      <c r="H223" s="173"/>
      <c r="I223" s="173"/>
      <c r="J223" s="173"/>
      <c r="K223" s="173"/>
      <c r="L223" s="173"/>
      <c r="M223" s="173"/>
      <c r="N223" s="173"/>
      <c r="O223" s="173"/>
      <c r="P223" s="173"/>
      <c r="Q223" s="173"/>
      <c r="R223" s="173"/>
      <c r="S223" s="173"/>
      <c r="T223" s="173"/>
      <c r="U223" s="173"/>
      <c r="V223" s="173"/>
      <c r="W223" s="173"/>
      <c r="X223" s="173"/>
      <c r="Y223" s="173"/>
      <c r="Z223" s="173"/>
    </row>
    <row r="224">
      <c r="A224" s="173"/>
      <c r="B224" s="173"/>
      <c r="C224" s="173"/>
      <c r="D224" s="173"/>
      <c r="E224" s="173"/>
      <c r="F224" s="173"/>
      <c r="G224" s="173"/>
      <c r="H224" s="173"/>
      <c r="I224" s="173"/>
      <c r="J224" s="173"/>
      <c r="K224" s="173"/>
      <c r="L224" s="173"/>
      <c r="M224" s="173"/>
      <c r="N224" s="173"/>
      <c r="O224" s="173"/>
      <c r="P224" s="173"/>
      <c r="Q224" s="173"/>
      <c r="R224" s="173"/>
      <c r="S224" s="173"/>
      <c r="T224" s="173"/>
      <c r="U224" s="173"/>
      <c r="V224" s="173"/>
      <c r="W224" s="173"/>
      <c r="X224" s="173"/>
      <c r="Y224" s="173"/>
      <c r="Z224" s="173"/>
    </row>
    <row r="225">
      <c r="A225" s="173"/>
      <c r="B225" s="173"/>
      <c r="C225" s="173"/>
      <c r="D225" s="173"/>
      <c r="E225" s="173"/>
      <c r="F225" s="173"/>
      <c r="G225" s="173"/>
      <c r="H225" s="173"/>
      <c r="I225" s="173"/>
      <c r="J225" s="173"/>
      <c r="K225" s="173"/>
      <c r="L225" s="173"/>
      <c r="M225" s="173"/>
      <c r="N225" s="173"/>
      <c r="O225" s="173"/>
      <c r="P225" s="173"/>
      <c r="Q225" s="173"/>
      <c r="R225" s="173"/>
      <c r="S225" s="173"/>
      <c r="T225" s="173"/>
      <c r="U225" s="173"/>
      <c r="V225" s="173"/>
      <c r="W225" s="173"/>
      <c r="X225" s="173"/>
      <c r="Y225" s="173"/>
      <c r="Z225" s="173"/>
    </row>
    <row r="226">
      <c r="A226" s="173"/>
      <c r="B226" s="173"/>
      <c r="C226" s="173"/>
      <c r="D226" s="173"/>
      <c r="E226" s="173"/>
      <c r="F226" s="173"/>
      <c r="G226" s="173"/>
      <c r="H226" s="173"/>
      <c r="I226" s="173"/>
      <c r="J226" s="173"/>
      <c r="K226" s="173"/>
      <c r="L226" s="173"/>
      <c r="M226" s="173"/>
      <c r="N226" s="173"/>
      <c r="O226" s="173"/>
      <c r="P226" s="173"/>
      <c r="Q226" s="173"/>
      <c r="R226" s="173"/>
      <c r="S226" s="173"/>
      <c r="T226" s="173"/>
      <c r="U226" s="173"/>
      <c r="V226" s="173"/>
      <c r="W226" s="173"/>
      <c r="X226" s="173"/>
      <c r="Y226" s="173"/>
      <c r="Z226" s="173"/>
    </row>
    <row r="227">
      <c r="A227" s="173"/>
      <c r="B227" s="173"/>
      <c r="C227" s="173"/>
      <c r="D227" s="173"/>
      <c r="E227" s="173"/>
      <c r="F227" s="173"/>
      <c r="G227" s="173"/>
      <c r="H227" s="173"/>
      <c r="I227" s="173"/>
      <c r="J227" s="173"/>
      <c r="K227" s="173"/>
      <c r="L227" s="173"/>
      <c r="M227" s="173"/>
      <c r="N227" s="173"/>
      <c r="O227" s="173"/>
      <c r="P227" s="173"/>
      <c r="Q227" s="173"/>
      <c r="R227" s="173"/>
      <c r="S227" s="173"/>
      <c r="T227" s="173"/>
      <c r="U227" s="173"/>
      <c r="V227" s="173"/>
      <c r="W227" s="173"/>
      <c r="X227" s="173"/>
      <c r="Y227" s="173"/>
      <c r="Z227" s="173"/>
    </row>
    <row r="228">
      <c r="A228" s="173"/>
      <c r="B228" s="173"/>
      <c r="C228" s="173"/>
      <c r="D228" s="173"/>
      <c r="E228" s="173"/>
      <c r="F228" s="173"/>
      <c r="G228" s="173"/>
      <c r="H228" s="173"/>
      <c r="I228" s="173"/>
      <c r="J228" s="173"/>
      <c r="K228" s="173"/>
      <c r="L228" s="173"/>
      <c r="M228" s="173"/>
      <c r="N228" s="173"/>
      <c r="O228" s="173"/>
      <c r="P228" s="173"/>
      <c r="Q228" s="173"/>
      <c r="R228" s="173"/>
      <c r="S228" s="173"/>
      <c r="T228" s="173"/>
      <c r="U228" s="173"/>
      <c r="V228" s="173"/>
      <c r="W228" s="173"/>
      <c r="X228" s="173"/>
      <c r="Y228" s="173"/>
      <c r="Z228" s="173"/>
    </row>
    <row r="229">
      <c r="A229" s="173"/>
      <c r="B229" s="173"/>
      <c r="C229" s="173"/>
      <c r="D229" s="173"/>
      <c r="E229" s="173"/>
      <c r="F229" s="173"/>
      <c r="G229" s="173"/>
      <c r="H229" s="173"/>
      <c r="I229" s="173"/>
      <c r="J229" s="173"/>
      <c r="K229" s="173"/>
      <c r="L229" s="173"/>
      <c r="M229" s="173"/>
      <c r="N229" s="173"/>
      <c r="O229" s="173"/>
      <c r="P229" s="173"/>
      <c r="Q229" s="173"/>
      <c r="R229" s="173"/>
      <c r="S229" s="173"/>
      <c r="T229" s="173"/>
      <c r="U229" s="173"/>
      <c r="V229" s="173"/>
      <c r="W229" s="173"/>
      <c r="X229" s="173"/>
      <c r="Y229" s="173"/>
      <c r="Z229" s="173"/>
    </row>
    <row r="230">
      <c r="A230" s="173"/>
      <c r="B230" s="173"/>
      <c r="C230" s="173"/>
      <c r="D230" s="173"/>
      <c r="E230" s="173"/>
      <c r="F230" s="173"/>
      <c r="G230" s="173"/>
      <c r="H230" s="173"/>
      <c r="I230" s="173"/>
      <c r="J230" s="173"/>
      <c r="K230" s="173"/>
      <c r="L230" s="173"/>
      <c r="M230" s="173"/>
      <c r="N230" s="173"/>
      <c r="O230" s="173"/>
      <c r="P230" s="173"/>
      <c r="Q230" s="173"/>
      <c r="R230" s="173"/>
      <c r="S230" s="173"/>
      <c r="T230" s="173"/>
      <c r="U230" s="173"/>
      <c r="V230" s="173"/>
      <c r="W230" s="173"/>
      <c r="X230" s="173"/>
      <c r="Y230" s="173"/>
      <c r="Z230" s="173"/>
    </row>
    <row r="231">
      <c r="A231" s="173"/>
      <c r="B231" s="173"/>
      <c r="C231" s="173"/>
      <c r="D231" s="173"/>
      <c r="E231" s="173"/>
      <c r="F231" s="173"/>
      <c r="G231" s="173"/>
      <c r="H231" s="173"/>
      <c r="I231" s="173"/>
      <c r="J231" s="173"/>
      <c r="K231" s="173"/>
      <c r="L231" s="173"/>
      <c r="M231" s="173"/>
      <c r="N231" s="173"/>
      <c r="O231" s="173"/>
      <c r="P231" s="173"/>
      <c r="Q231" s="173"/>
      <c r="R231" s="173"/>
      <c r="S231" s="173"/>
      <c r="T231" s="173"/>
      <c r="U231" s="173"/>
      <c r="V231" s="173"/>
      <c r="W231" s="173"/>
      <c r="X231" s="173"/>
      <c r="Y231" s="173"/>
      <c r="Z231" s="173"/>
    </row>
    <row r="232">
      <c r="A232" s="173"/>
      <c r="B232" s="173"/>
      <c r="C232" s="173"/>
      <c r="D232" s="173"/>
      <c r="E232" s="173"/>
      <c r="F232" s="173"/>
      <c r="G232" s="173"/>
      <c r="H232" s="173"/>
      <c r="I232" s="173"/>
      <c r="J232" s="173"/>
      <c r="K232" s="173"/>
      <c r="L232" s="173"/>
      <c r="M232" s="173"/>
      <c r="N232" s="173"/>
      <c r="O232" s="173"/>
      <c r="P232" s="173"/>
      <c r="Q232" s="173"/>
      <c r="R232" s="173"/>
      <c r="S232" s="173"/>
      <c r="T232" s="173"/>
      <c r="U232" s="173"/>
      <c r="V232" s="173"/>
      <c r="W232" s="173"/>
      <c r="X232" s="173"/>
      <c r="Y232" s="173"/>
      <c r="Z232" s="173"/>
    </row>
    <row r="233">
      <c r="A233" s="173"/>
      <c r="B233" s="173"/>
      <c r="C233" s="173"/>
      <c r="D233" s="173"/>
      <c r="E233" s="173"/>
      <c r="F233" s="173"/>
      <c r="G233" s="173"/>
      <c r="H233" s="173"/>
      <c r="I233" s="173"/>
      <c r="J233" s="173"/>
      <c r="K233" s="173"/>
      <c r="L233" s="173"/>
      <c r="M233" s="173"/>
      <c r="N233" s="173"/>
      <c r="O233" s="173"/>
      <c r="P233" s="173"/>
      <c r="Q233" s="173"/>
      <c r="R233" s="173"/>
      <c r="S233" s="173"/>
      <c r="T233" s="173"/>
      <c r="U233" s="173"/>
      <c r="V233" s="173"/>
      <c r="W233" s="173"/>
      <c r="X233" s="173"/>
      <c r="Y233" s="173"/>
      <c r="Z233" s="173"/>
    </row>
    <row r="234">
      <c r="A234" s="173"/>
      <c r="B234" s="173"/>
      <c r="C234" s="173"/>
      <c r="D234" s="173"/>
      <c r="E234" s="173"/>
      <c r="F234" s="173"/>
      <c r="G234" s="173"/>
      <c r="H234" s="173"/>
      <c r="I234" s="173"/>
      <c r="J234" s="173"/>
      <c r="K234" s="173"/>
      <c r="L234" s="173"/>
      <c r="M234" s="173"/>
      <c r="N234" s="173"/>
      <c r="O234" s="173"/>
      <c r="P234" s="173"/>
      <c r="Q234" s="173"/>
      <c r="R234" s="173"/>
      <c r="S234" s="173"/>
      <c r="T234" s="173"/>
      <c r="U234" s="173"/>
      <c r="V234" s="173"/>
      <c r="W234" s="173"/>
      <c r="X234" s="173"/>
      <c r="Y234" s="173"/>
      <c r="Z234" s="173"/>
    </row>
    <row r="235">
      <c r="A235" s="173"/>
      <c r="B235" s="173"/>
      <c r="C235" s="173"/>
      <c r="D235" s="173"/>
      <c r="E235" s="173"/>
      <c r="F235" s="173"/>
      <c r="G235" s="173"/>
      <c r="H235" s="173"/>
      <c r="I235" s="173"/>
      <c r="J235" s="173"/>
      <c r="K235" s="173"/>
      <c r="L235" s="173"/>
      <c r="M235" s="173"/>
      <c r="N235" s="173"/>
      <c r="O235" s="173"/>
      <c r="P235" s="173"/>
      <c r="Q235" s="173"/>
      <c r="R235" s="173"/>
      <c r="S235" s="173"/>
      <c r="T235" s="173"/>
      <c r="U235" s="173"/>
      <c r="V235" s="173"/>
      <c r="W235" s="173"/>
      <c r="X235" s="173"/>
      <c r="Y235" s="173"/>
      <c r="Z235" s="173"/>
    </row>
    <row r="236">
      <c r="A236" s="173"/>
      <c r="B236" s="173"/>
      <c r="C236" s="173"/>
      <c r="D236" s="173"/>
      <c r="E236" s="173"/>
      <c r="F236" s="173"/>
      <c r="G236" s="173"/>
      <c r="H236" s="173"/>
      <c r="I236" s="173"/>
      <c r="J236" s="173"/>
      <c r="K236" s="173"/>
      <c r="L236" s="173"/>
      <c r="M236" s="173"/>
      <c r="N236" s="173"/>
      <c r="O236" s="173"/>
      <c r="P236" s="173"/>
      <c r="Q236" s="173"/>
      <c r="R236" s="173"/>
      <c r="S236" s="173"/>
      <c r="T236" s="173"/>
      <c r="U236" s="173"/>
      <c r="V236" s="173"/>
      <c r="W236" s="173"/>
      <c r="X236" s="173"/>
      <c r="Y236" s="173"/>
      <c r="Z236" s="173"/>
    </row>
    <row r="237">
      <c r="A237" s="173"/>
      <c r="B237" s="173"/>
      <c r="C237" s="173"/>
      <c r="D237" s="173"/>
      <c r="E237" s="173"/>
      <c r="F237" s="173"/>
      <c r="G237" s="173"/>
      <c r="H237" s="173"/>
      <c r="I237" s="173"/>
      <c r="J237" s="173"/>
      <c r="K237" s="173"/>
      <c r="L237" s="173"/>
      <c r="M237" s="173"/>
      <c r="N237" s="173"/>
      <c r="O237" s="173"/>
      <c r="P237" s="173"/>
      <c r="Q237" s="173"/>
      <c r="R237" s="173"/>
      <c r="S237" s="173"/>
      <c r="T237" s="173"/>
      <c r="U237" s="173"/>
      <c r="V237" s="173"/>
      <c r="W237" s="173"/>
      <c r="X237" s="173"/>
      <c r="Y237" s="173"/>
      <c r="Z237" s="173"/>
    </row>
    <row r="238">
      <c r="A238" s="173"/>
      <c r="B238" s="173"/>
      <c r="C238" s="173"/>
      <c r="D238" s="173"/>
      <c r="E238" s="173"/>
      <c r="F238" s="173"/>
      <c r="G238" s="173"/>
      <c r="H238" s="173"/>
      <c r="I238" s="173"/>
      <c r="J238" s="173"/>
      <c r="K238" s="173"/>
      <c r="L238" s="173"/>
      <c r="M238" s="173"/>
      <c r="N238" s="173"/>
      <c r="O238" s="173"/>
      <c r="P238" s="173"/>
      <c r="Q238" s="173"/>
      <c r="R238" s="173"/>
      <c r="S238" s="173"/>
      <c r="T238" s="173"/>
      <c r="U238" s="173"/>
      <c r="V238" s="173"/>
      <c r="W238" s="173"/>
      <c r="X238" s="173"/>
      <c r="Y238" s="173"/>
      <c r="Z238" s="173"/>
    </row>
    <row r="239">
      <c r="A239" s="173"/>
      <c r="B239" s="173"/>
      <c r="C239" s="173"/>
      <c r="D239" s="173"/>
      <c r="E239" s="173"/>
      <c r="F239" s="173"/>
      <c r="G239" s="173"/>
      <c r="H239" s="173"/>
      <c r="I239" s="173"/>
      <c r="J239" s="173"/>
      <c r="K239" s="173"/>
      <c r="L239" s="173"/>
      <c r="M239" s="173"/>
      <c r="N239" s="173"/>
      <c r="O239" s="173"/>
      <c r="P239" s="173"/>
      <c r="Q239" s="173"/>
      <c r="R239" s="173"/>
      <c r="S239" s="173"/>
      <c r="T239" s="173"/>
      <c r="U239" s="173"/>
      <c r="V239" s="173"/>
      <c r="W239" s="173"/>
      <c r="X239" s="173"/>
      <c r="Y239" s="173"/>
      <c r="Z239" s="173"/>
    </row>
    <row r="240">
      <c r="A240" s="173"/>
      <c r="B240" s="173"/>
      <c r="C240" s="173"/>
      <c r="D240" s="173"/>
      <c r="E240" s="173"/>
      <c r="F240" s="173"/>
      <c r="G240" s="173"/>
      <c r="H240" s="173"/>
      <c r="I240" s="173"/>
      <c r="J240" s="173"/>
      <c r="K240" s="173"/>
      <c r="L240" s="173"/>
      <c r="M240" s="173"/>
      <c r="N240" s="173"/>
      <c r="O240" s="173"/>
      <c r="P240" s="173"/>
      <c r="Q240" s="173"/>
      <c r="R240" s="173"/>
      <c r="S240" s="173"/>
      <c r="T240" s="173"/>
      <c r="U240" s="173"/>
      <c r="V240" s="173"/>
      <c r="W240" s="173"/>
      <c r="X240" s="173"/>
      <c r="Y240" s="173"/>
      <c r="Z240" s="173"/>
    </row>
    <row r="241">
      <c r="A241" s="173"/>
      <c r="B241" s="173"/>
      <c r="C241" s="173"/>
      <c r="D241" s="173"/>
      <c r="E241" s="173"/>
      <c r="F241" s="173"/>
      <c r="G241" s="173"/>
      <c r="H241" s="173"/>
      <c r="I241" s="173"/>
      <c r="J241" s="173"/>
      <c r="K241" s="173"/>
      <c r="L241" s="173"/>
      <c r="M241" s="173"/>
      <c r="N241" s="173"/>
      <c r="O241" s="173"/>
      <c r="P241" s="173"/>
      <c r="Q241" s="173"/>
      <c r="R241" s="173"/>
      <c r="S241" s="173"/>
      <c r="T241" s="173"/>
      <c r="U241" s="173"/>
      <c r="V241" s="173"/>
      <c r="W241" s="173"/>
      <c r="X241" s="173"/>
      <c r="Y241" s="173"/>
      <c r="Z241" s="173"/>
    </row>
    <row r="242">
      <c r="A242" s="173"/>
      <c r="B242" s="173"/>
      <c r="C242" s="173"/>
      <c r="D242" s="173"/>
      <c r="E242" s="173"/>
      <c r="F242" s="173"/>
      <c r="G242" s="173"/>
      <c r="H242" s="173"/>
      <c r="I242" s="173"/>
      <c r="J242" s="173"/>
      <c r="K242" s="173"/>
      <c r="L242" s="173"/>
      <c r="M242" s="173"/>
      <c r="N242" s="173"/>
      <c r="O242" s="173"/>
      <c r="P242" s="173"/>
      <c r="Q242" s="173"/>
      <c r="R242" s="173"/>
      <c r="S242" s="173"/>
      <c r="T242" s="173"/>
      <c r="U242" s="173"/>
      <c r="V242" s="173"/>
      <c r="W242" s="173"/>
      <c r="X242" s="173"/>
      <c r="Y242" s="173"/>
      <c r="Z242" s="173"/>
    </row>
    <row r="243">
      <c r="A243" s="173"/>
      <c r="B243" s="173"/>
      <c r="C243" s="173"/>
      <c r="D243" s="173"/>
      <c r="E243" s="173"/>
      <c r="F243" s="173"/>
      <c r="G243" s="173"/>
      <c r="H243" s="173"/>
      <c r="I243" s="173"/>
      <c r="J243" s="173"/>
      <c r="K243" s="173"/>
      <c r="L243" s="173"/>
      <c r="M243" s="173"/>
      <c r="N243" s="173"/>
      <c r="O243" s="173"/>
      <c r="P243" s="173"/>
      <c r="Q243" s="173"/>
      <c r="R243" s="173"/>
      <c r="S243" s="173"/>
      <c r="T243" s="173"/>
      <c r="U243" s="173"/>
      <c r="V243" s="173"/>
      <c r="W243" s="173"/>
      <c r="X243" s="173"/>
      <c r="Y243" s="173"/>
      <c r="Z243" s="173"/>
    </row>
    <row r="244">
      <c r="A244" s="173"/>
      <c r="B244" s="173"/>
      <c r="C244" s="173"/>
      <c r="D244" s="173"/>
      <c r="E244" s="173"/>
      <c r="F244" s="173"/>
      <c r="G244" s="173"/>
      <c r="H244" s="173"/>
      <c r="I244" s="173"/>
      <c r="J244" s="173"/>
      <c r="K244" s="173"/>
      <c r="L244" s="173"/>
      <c r="M244" s="173"/>
      <c r="N244" s="173"/>
      <c r="O244" s="173"/>
      <c r="P244" s="173"/>
      <c r="Q244" s="173"/>
      <c r="R244" s="173"/>
      <c r="S244" s="173"/>
      <c r="T244" s="173"/>
      <c r="U244" s="173"/>
      <c r="V244" s="173"/>
      <c r="W244" s="173"/>
      <c r="X244" s="173"/>
      <c r="Y244" s="173"/>
      <c r="Z244" s="173"/>
    </row>
    <row r="245">
      <c r="A245" s="173"/>
      <c r="B245" s="173"/>
      <c r="C245" s="173"/>
      <c r="D245" s="173"/>
      <c r="E245" s="173"/>
      <c r="F245" s="173"/>
      <c r="G245" s="173"/>
      <c r="H245" s="173"/>
      <c r="I245" s="173"/>
      <c r="J245" s="173"/>
      <c r="K245" s="173"/>
      <c r="L245" s="173"/>
      <c r="M245" s="173"/>
      <c r="N245" s="173"/>
      <c r="O245" s="173"/>
      <c r="P245" s="173"/>
      <c r="Q245" s="173"/>
      <c r="R245" s="173"/>
      <c r="S245" s="173"/>
      <c r="T245" s="173"/>
      <c r="U245" s="173"/>
      <c r="V245" s="173"/>
      <c r="W245" s="173"/>
      <c r="X245" s="173"/>
      <c r="Y245" s="173"/>
      <c r="Z245" s="173"/>
    </row>
    <row r="246">
      <c r="A246" s="173"/>
      <c r="B246" s="173"/>
      <c r="C246" s="173"/>
      <c r="D246" s="173"/>
      <c r="E246" s="173"/>
      <c r="F246" s="173"/>
      <c r="G246" s="173"/>
      <c r="H246" s="173"/>
      <c r="I246" s="173"/>
      <c r="J246" s="173"/>
      <c r="K246" s="173"/>
      <c r="L246" s="173"/>
      <c r="M246" s="173"/>
      <c r="N246" s="173"/>
      <c r="O246" s="173"/>
      <c r="P246" s="173"/>
      <c r="Q246" s="173"/>
      <c r="R246" s="173"/>
      <c r="S246" s="173"/>
      <c r="T246" s="173"/>
      <c r="U246" s="173"/>
      <c r="V246" s="173"/>
      <c r="W246" s="173"/>
      <c r="X246" s="173"/>
      <c r="Y246" s="173"/>
      <c r="Z246" s="173"/>
    </row>
    <row r="247">
      <c r="A247" s="173"/>
      <c r="B247" s="173"/>
      <c r="C247" s="173"/>
      <c r="D247" s="173"/>
      <c r="E247" s="173"/>
      <c r="F247" s="173"/>
      <c r="G247" s="173"/>
      <c r="H247" s="173"/>
      <c r="I247" s="173"/>
      <c r="J247" s="173"/>
      <c r="K247" s="173"/>
      <c r="L247" s="173"/>
      <c r="M247" s="173"/>
      <c r="N247" s="173"/>
      <c r="O247" s="173"/>
      <c r="P247" s="173"/>
      <c r="Q247" s="173"/>
      <c r="R247" s="173"/>
      <c r="S247" s="173"/>
      <c r="T247" s="173"/>
      <c r="U247" s="173"/>
      <c r="V247" s="173"/>
      <c r="W247" s="173"/>
      <c r="X247" s="173"/>
      <c r="Y247" s="173"/>
      <c r="Z247" s="173"/>
    </row>
    <row r="248">
      <c r="A248" s="173"/>
      <c r="B248" s="173"/>
      <c r="C248" s="173"/>
      <c r="D248" s="173"/>
      <c r="E248" s="173"/>
      <c r="F248" s="173"/>
      <c r="G248" s="173"/>
      <c r="H248" s="173"/>
      <c r="I248" s="173"/>
      <c r="J248" s="173"/>
      <c r="K248" s="173"/>
      <c r="L248" s="173"/>
      <c r="M248" s="173"/>
      <c r="N248" s="173"/>
      <c r="O248" s="173"/>
      <c r="P248" s="173"/>
      <c r="Q248" s="173"/>
      <c r="R248" s="173"/>
      <c r="S248" s="173"/>
      <c r="T248" s="173"/>
      <c r="U248" s="173"/>
      <c r="V248" s="173"/>
      <c r="W248" s="173"/>
      <c r="X248" s="173"/>
      <c r="Y248" s="173"/>
      <c r="Z248" s="173"/>
    </row>
    <row r="249">
      <c r="A249" s="173"/>
      <c r="B249" s="173"/>
      <c r="C249" s="173"/>
      <c r="D249" s="173"/>
      <c r="E249" s="173"/>
      <c r="F249" s="173"/>
      <c r="G249" s="173"/>
      <c r="H249" s="173"/>
      <c r="I249" s="173"/>
      <c r="J249" s="173"/>
      <c r="K249" s="173"/>
      <c r="L249" s="173"/>
      <c r="M249" s="173"/>
      <c r="N249" s="173"/>
      <c r="O249" s="173"/>
      <c r="P249" s="173"/>
      <c r="Q249" s="173"/>
      <c r="R249" s="173"/>
      <c r="S249" s="173"/>
      <c r="T249" s="173"/>
      <c r="U249" s="173"/>
      <c r="V249" s="173"/>
      <c r="W249" s="173"/>
      <c r="X249" s="173"/>
      <c r="Y249" s="173"/>
      <c r="Z249" s="173"/>
    </row>
    <row r="250">
      <c r="A250" s="173"/>
      <c r="B250" s="173"/>
      <c r="C250" s="173"/>
      <c r="D250" s="173"/>
      <c r="E250" s="173"/>
      <c r="F250" s="173"/>
      <c r="G250" s="173"/>
      <c r="H250" s="173"/>
      <c r="I250" s="173"/>
      <c r="J250" s="173"/>
      <c r="K250" s="173"/>
      <c r="L250" s="173"/>
      <c r="M250" s="173"/>
      <c r="N250" s="173"/>
      <c r="O250" s="173"/>
      <c r="P250" s="173"/>
      <c r="Q250" s="173"/>
      <c r="R250" s="173"/>
      <c r="S250" s="173"/>
      <c r="T250" s="173"/>
      <c r="U250" s="173"/>
      <c r="V250" s="173"/>
      <c r="W250" s="173"/>
      <c r="X250" s="173"/>
      <c r="Y250" s="173"/>
      <c r="Z250" s="173"/>
    </row>
    <row r="251">
      <c r="A251" s="173"/>
      <c r="B251" s="173"/>
      <c r="C251" s="173"/>
      <c r="D251" s="173"/>
      <c r="E251" s="173"/>
      <c r="F251" s="173"/>
      <c r="G251" s="173"/>
      <c r="H251" s="173"/>
      <c r="I251" s="173"/>
      <c r="J251" s="173"/>
      <c r="K251" s="173"/>
      <c r="L251" s="173"/>
      <c r="M251" s="173"/>
      <c r="N251" s="173"/>
      <c r="O251" s="173"/>
      <c r="P251" s="173"/>
      <c r="Q251" s="173"/>
      <c r="R251" s="173"/>
      <c r="S251" s="173"/>
      <c r="T251" s="173"/>
      <c r="U251" s="173"/>
      <c r="V251" s="173"/>
      <c r="W251" s="173"/>
      <c r="X251" s="173"/>
      <c r="Y251" s="173"/>
      <c r="Z251" s="173"/>
    </row>
    <row r="252">
      <c r="A252" s="173"/>
      <c r="B252" s="173"/>
      <c r="C252" s="173"/>
      <c r="D252" s="173"/>
      <c r="E252" s="173"/>
      <c r="F252" s="173"/>
      <c r="G252" s="173"/>
      <c r="H252" s="173"/>
      <c r="I252" s="173"/>
      <c r="J252" s="173"/>
      <c r="K252" s="173"/>
      <c r="L252" s="173"/>
      <c r="M252" s="173"/>
      <c r="N252" s="173"/>
      <c r="O252" s="173"/>
      <c r="P252" s="173"/>
      <c r="Q252" s="173"/>
      <c r="R252" s="173"/>
      <c r="S252" s="173"/>
      <c r="T252" s="173"/>
      <c r="U252" s="173"/>
      <c r="V252" s="173"/>
      <c r="W252" s="173"/>
      <c r="X252" s="173"/>
      <c r="Y252" s="173"/>
      <c r="Z252" s="173"/>
    </row>
    <row r="253">
      <c r="A253" s="173"/>
      <c r="B253" s="173"/>
      <c r="C253" s="173"/>
      <c r="D253" s="173"/>
      <c r="E253" s="173"/>
      <c r="F253" s="173"/>
      <c r="G253" s="173"/>
      <c r="H253" s="173"/>
      <c r="I253" s="173"/>
      <c r="J253" s="173"/>
      <c r="K253" s="173"/>
      <c r="L253" s="173"/>
      <c r="M253" s="173"/>
      <c r="N253" s="173"/>
      <c r="O253" s="173"/>
      <c r="P253" s="173"/>
      <c r="Q253" s="173"/>
      <c r="R253" s="173"/>
      <c r="S253" s="173"/>
      <c r="T253" s="173"/>
      <c r="U253" s="173"/>
      <c r="V253" s="173"/>
      <c r="W253" s="173"/>
      <c r="X253" s="173"/>
      <c r="Y253" s="173"/>
      <c r="Z253" s="173"/>
    </row>
    <row r="254">
      <c r="A254" s="173"/>
      <c r="B254" s="173"/>
      <c r="C254" s="173"/>
      <c r="D254" s="173"/>
      <c r="E254" s="173"/>
      <c r="F254" s="173"/>
      <c r="G254" s="173"/>
      <c r="H254" s="173"/>
      <c r="I254" s="173"/>
      <c r="J254" s="173"/>
      <c r="K254" s="173"/>
      <c r="L254" s="173"/>
      <c r="M254" s="173"/>
      <c r="N254" s="173"/>
      <c r="O254" s="173"/>
      <c r="P254" s="173"/>
      <c r="Q254" s="173"/>
      <c r="R254" s="173"/>
      <c r="S254" s="173"/>
      <c r="T254" s="173"/>
      <c r="U254" s="173"/>
      <c r="V254" s="173"/>
      <c r="W254" s="173"/>
      <c r="X254" s="173"/>
      <c r="Y254" s="173"/>
      <c r="Z254" s="173"/>
    </row>
    <row r="255">
      <c r="A255" s="173"/>
      <c r="B255" s="173"/>
      <c r="C255" s="173"/>
      <c r="D255" s="173"/>
      <c r="E255" s="173"/>
      <c r="F255" s="173"/>
      <c r="G255" s="173"/>
      <c r="H255" s="173"/>
      <c r="I255" s="173"/>
      <c r="J255" s="173"/>
      <c r="K255" s="173"/>
      <c r="L255" s="173"/>
      <c r="M255" s="173"/>
      <c r="N255" s="173"/>
      <c r="O255" s="173"/>
      <c r="P255" s="173"/>
      <c r="Q255" s="173"/>
      <c r="R255" s="173"/>
      <c r="S255" s="173"/>
      <c r="T255" s="173"/>
      <c r="U255" s="173"/>
      <c r="V255" s="173"/>
      <c r="W255" s="173"/>
      <c r="X255" s="173"/>
      <c r="Y255" s="173"/>
      <c r="Z255" s="173"/>
    </row>
    <row r="256">
      <c r="A256" s="173"/>
      <c r="B256" s="173"/>
      <c r="C256" s="173"/>
      <c r="D256" s="173"/>
      <c r="E256" s="173"/>
      <c r="F256" s="173"/>
      <c r="G256" s="173"/>
      <c r="H256" s="173"/>
      <c r="I256" s="173"/>
      <c r="J256" s="173"/>
      <c r="K256" s="173"/>
      <c r="L256" s="173"/>
      <c r="M256" s="173"/>
      <c r="N256" s="173"/>
      <c r="O256" s="173"/>
      <c r="P256" s="173"/>
      <c r="Q256" s="173"/>
      <c r="R256" s="173"/>
      <c r="S256" s="173"/>
      <c r="T256" s="173"/>
      <c r="U256" s="173"/>
      <c r="V256" s="173"/>
      <c r="W256" s="173"/>
      <c r="X256" s="173"/>
      <c r="Y256" s="173"/>
      <c r="Z256" s="173"/>
    </row>
    <row r="257">
      <c r="A257" s="173"/>
      <c r="B257" s="173"/>
      <c r="C257" s="173"/>
      <c r="D257" s="173"/>
      <c r="E257" s="173"/>
      <c r="F257" s="173"/>
      <c r="G257" s="173"/>
      <c r="H257" s="173"/>
      <c r="I257" s="173"/>
      <c r="J257" s="173"/>
      <c r="K257" s="173"/>
      <c r="L257" s="173"/>
      <c r="M257" s="173"/>
      <c r="N257" s="173"/>
      <c r="O257" s="173"/>
      <c r="P257" s="173"/>
      <c r="Q257" s="173"/>
      <c r="R257" s="173"/>
      <c r="S257" s="173"/>
      <c r="T257" s="173"/>
      <c r="U257" s="173"/>
      <c r="V257" s="173"/>
      <c r="W257" s="173"/>
      <c r="X257" s="173"/>
      <c r="Y257" s="173"/>
      <c r="Z257" s="173"/>
    </row>
    <row r="258">
      <c r="A258" s="173"/>
      <c r="B258" s="173"/>
      <c r="C258" s="173"/>
      <c r="D258" s="173"/>
      <c r="E258" s="173"/>
      <c r="F258" s="173"/>
      <c r="G258" s="173"/>
      <c r="H258" s="173"/>
      <c r="I258" s="173"/>
      <c r="J258" s="173"/>
      <c r="K258" s="173"/>
      <c r="L258" s="173"/>
      <c r="M258" s="173"/>
      <c r="N258" s="173"/>
      <c r="O258" s="173"/>
      <c r="P258" s="173"/>
      <c r="Q258" s="173"/>
      <c r="R258" s="173"/>
      <c r="S258" s="173"/>
      <c r="T258" s="173"/>
      <c r="U258" s="173"/>
      <c r="V258" s="173"/>
      <c r="W258" s="173"/>
      <c r="X258" s="173"/>
      <c r="Y258" s="173"/>
      <c r="Z258" s="173"/>
    </row>
    <row r="259">
      <c r="A259" s="173"/>
      <c r="B259" s="173"/>
      <c r="C259" s="173"/>
      <c r="D259" s="173"/>
      <c r="E259" s="173"/>
      <c r="F259" s="173"/>
      <c r="G259" s="173"/>
      <c r="H259" s="173"/>
      <c r="I259" s="173"/>
      <c r="J259" s="173"/>
      <c r="K259" s="173"/>
      <c r="L259" s="173"/>
      <c r="M259" s="173"/>
      <c r="N259" s="173"/>
      <c r="O259" s="173"/>
      <c r="P259" s="173"/>
      <c r="Q259" s="173"/>
      <c r="R259" s="173"/>
      <c r="S259" s="173"/>
      <c r="T259" s="173"/>
      <c r="U259" s="173"/>
      <c r="V259" s="173"/>
      <c r="W259" s="173"/>
      <c r="X259" s="173"/>
      <c r="Y259" s="173"/>
      <c r="Z259" s="173"/>
    </row>
    <row r="260">
      <c r="A260" s="173"/>
      <c r="B260" s="173"/>
      <c r="C260" s="173"/>
      <c r="D260" s="173"/>
      <c r="E260" s="173"/>
      <c r="F260" s="173"/>
      <c r="G260" s="173"/>
      <c r="H260" s="173"/>
      <c r="I260" s="173"/>
      <c r="J260" s="173"/>
      <c r="K260" s="173"/>
      <c r="L260" s="173"/>
      <c r="M260" s="173"/>
      <c r="N260" s="173"/>
      <c r="O260" s="173"/>
      <c r="P260" s="173"/>
      <c r="Q260" s="173"/>
      <c r="R260" s="173"/>
      <c r="S260" s="173"/>
      <c r="T260" s="173"/>
      <c r="U260" s="173"/>
      <c r="V260" s="173"/>
      <c r="W260" s="173"/>
      <c r="X260" s="173"/>
      <c r="Y260" s="173"/>
      <c r="Z260" s="173"/>
    </row>
    <row r="261">
      <c r="A261" s="173"/>
      <c r="B261" s="173"/>
      <c r="C261" s="173"/>
      <c r="D261" s="173"/>
      <c r="E261" s="173"/>
      <c r="F261" s="173"/>
      <c r="G261" s="173"/>
      <c r="H261" s="173"/>
      <c r="I261" s="173"/>
      <c r="J261" s="173"/>
      <c r="K261" s="173"/>
      <c r="L261" s="173"/>
      <c r="M261" s="173"/>
      <c r="N261" s="173"/>
      <c r="O261" s="173"/>
      <c r="P261" s="173"/>
      <c r="Q261" s="173"/>
      <c r="R261" s="173"/>
      <c r="S261" s="173"/>
      <c r="T261" s="173"/>
      <c r="U261" s="173"/>
      <c r="V261" s="173"/>
      <c r="W261" s="173"/>
      <c r="X261" s="173"/>
      <c r="Y261" s="173"/>
      <c r="Z261" s="173"/>
    </row>
    <row r="262">
      <c r="A262" s="173"/>
      <c r="B262" s="173"/>
      <c r="C262" s="173"/>
      <c r="D262" s="173"/>
      <c r="E262" s="173"/>
      <c r="F262" s="173"/>
      <c r="G262" s="173"/>
      <c r="H262" s="173"/>
      <c r="I262" s="173"/>
      <c r="J262" s="173"/>
      <c r="K262" s="173"/>
      <c r="L262" s="173"/>
      <c r="M262" s="173"/>
      <c r="N262" s="173"/>
      <c r="O262" s="173"/>
      <c r="P262" s="173"/>
      <c r="Q262" s="173"/>
      <c r="R262" s="173"/>
      <c r="S262" s="173"/>
      <c r="T262" s="173"/>
      <c r="U262" s="173"/>
      <c r="V262" s="173"/>
      <c r="W262" s="173"/>
      <c r="X262" s="173"/>
      <c r="Y262" s="173"/>
      <c r="Z262" s="173"/>
    </row>
    <row r="263">
      <c r="A263" s="173"/>
      <c r="B263" s="173"/>
      <c r="C263" s="173"/>
      <c r="D263" s="173"/>
      <c r="E263" s="173"/>
      <c r="F263" s="173"/>
      <c r="G263" s="173"/>
      <c r="H263" s="173"/>
      <c r="I263" s="173"/>
      <c r="J263" s="173"/>
      <c r="K263" s="173"/>
      <c r="L263" s="173"/>
      <c r="M263" s="173"/>
      <c r="N263" s="173"/>
      <c r="O263" s="173"/>
      <c r="P263" s="173"/>
      <c r="Q263" s="173"/>
      <c r="R263" s="173"/>
      <c r="S263" s="173"/>
      <c r="T263" s="173"/>
      <c r="U263" s="173"/>
      <c r="V263" s="173"/>
      <c r="W263" s="173"/>
      <c r="X263" s="173"/>
      <c r="Y263" s="173"/>
      <c r="Z263" s="173"/>
    </row>
    <row r="264">
      <c r="A264" s="173"/>
      <c r="B264" s="173"/>
      <c r="C264" s="173"/>
      <c r="D264" s="173"/>
      <c r="E264" s="173"/>
      <c r="F264" s="173"/>
      <c r="G264" s="173"/>
      <c r="H264" s="173"/>
      <c r="I264" s="173"/>
      <c r="J264" s="173"/>
      <c r="K264" s="173"/>
      <c r="L264" s="173"/>
      <c r="M264" s="173"/>
      <c r="N264" s="173"/>
      <c r="O264" s="173"/>
      <c r="P264" s="173"/>
      <c r="Q264" s="173"/>
      <c r="R264" s="173"/>
      <c r="S264" s="173"/>
      <c r="T264" s="173"/>
      <c r="U264" s="173"/>
      <c r="V264" s="173"/>
      <c r="W264" s="173"/>
      <c r="X264" s="173"/>
      <c r="Y264" s="173"/>
      <c r="Z264" s="173"/>
    </row>
    <row r="265">
      <c r="A265" s="173"/>
      <c r="B265" s="173"/>
      <c r="C265" s="173"/>
      <c r="D265" s="173"/>
      <c r="E265" s="173"/>
      <c r="F265" s="173"/>
      <c r="G265" s="173"/>
      <c r="H265" s="173"/>
      <c r="I265" s="173"/>
      <c r="J265" s="173"/>
      <c r="K265" s="173"/>
      <c r="L265" s="173"/>
      <c r="M265" s="173"/>
      <c r="N265" s="173"/>
      <c r="O265" s="173"/>
      <c r="P265" s="173"/>
      <c r="Q265" s="173"/>
      <c r="R265" s="173"/>
      <c r="S265" s="173"/>
      <c r="T265" s="173"/>
      <c r="U265" s="173"/>
      <c r="V265" s="173"/>
      <c r="W265" s="173"/>
      <c r="X265" s="173"/>
      <c r="Y265" s="173"/>
      <c r="Z265" s="173"/>
    </row>
    <row r="266">
      <c r="A266" s="173"/>
      <c r="B266" s="173"/>
      <c r="C266" s="173"/>
      <c r="D266" s="173"/>
      <c r="E266" s="173"/>
      <c r="F266" s="173"/>
      <c r="G266" s="173"/>
      <c r="H266" s="173"/>
      <c r="I266" s="173"/>
      <c r="J266" s="173"/>
      <c r="K266" s="173"/>
      <c r="L266" s="173"/>
      <c r="M266" s="173"/>
      <c r="N266" s="173"/>
      <c r="O266" s="173"/>
      <c r="P266" s="173"/>
      <c r="Q266" s="173"/>
      <c r="R266" s="173"/>
      <c r="S266" s="173"/>
      <c r="T266" s="173"/>
      <c r="U266" s="173"/>
      <c r="V266" s="173"/>
      <c r="W266" s="173"/>
      <c r="X266" s="173"/>
      <c r="Y266" s="173"/>
      <c r="Z266" s="173"/>
    </row>
    <row r="267">
      <c r="A267" s="173"/>
      <c r="B267" s="173"/>
      <c r="C267" s="173"/>
      <c r="D267" s="173"/>
      <c r="E267" s="173"/>
      <c r="F267" s="173"/>
      <c r="G267" s="173"/>
      <c r="H267" s="173"/>
      <c r="I267" s="173"/>
      <c r="J267" s="173"/>
      <c r="K267" s="173"/>
      <c r="L267" s="173"/>
      <c r="M267" s="173"/>
      <c r="N267" s="173"/>
      <c r="O267" s="173"/>
      <c r="P267" s="173"/>
      <c r="Q267" s="173"/>
      <c r="R267" s="173"/>
      <c r="S267" s="173"/>
      <c r="T267" s="173"/>
      <c r="U267" s="173"/>
      <c r="V267" s="173"/>
      <c r="W267" s="173"/>
      <c r="X267" s="173"/>
      <c r="Y267" s="173"/>
      <c r="Z267" s="173"/>
    </row>
    <row r="268">
      <c r="A268" s="173"/>
      <c r="B268" s="173"/>
      <c r="C268" s="173"/>
      <c r="D268" s="173"/>
      <c r="E268" s="173"/>
      <c r="F268" s="173"/>
      <c r="G268" s="173"/>
      <c r="H268" s="173"/>
      <c r="I268" s="173"/>
      <c r="J268" s="173"/>
      <c r="K268" s="173"/>
      <c r="L268" s="173"/>
      <c r="M268" s="173"/>
      <c r="N268" s="173"/>
      <c r="O268" s="173"/>
      <c r="P268" s="173"/>
      <c r="Q268" s="173"/>
      <c r="R268" s="173"/>
      <c r="S268" s="173"/>
      <c r="T268" s="173"/>
      <c r="U268" s="173"/>
      <c r="V268" s="173"/>
      <c r="W268" s="173"/>
      <c r="X268" s="173"/>
      <c r="Y268" s="173"/>
      <c r="Z268" s="173"/>
    </row>
    <row r="269">
      <c r="A269" s="173"/>
      <c r="B269" s="173"/>
      <c r="C269" s="173"/>
      <c r="D269" s="173"/>
      <c r="E269" s="173"/>
      <c r="F269" s="173"/>
      <c r="G269" s="173"/>
      <c r="H269" s="173"/>
      <c r="I269" s="173"/>
      <c r="J269" s="173"/>
      <c r="K269" s="173"/>
      <c r="L269" s="173"/>
      <c r="M269" s="173"/>
      <c r="N269" s="173"/>
      <c r="O269" s="173"/>
      <c r="P269" s="173"/>
      <c r="Q269" s="173"/>
      <c r="R269" s="173"/>
      <c r="S269" s="173"/>
      <c r="T269" s="173"/>
      <c r="U269" s="173"/>
      <c r="V269" s="173"/>
      <c r="W269" s="173"/>
      <c r="X269" s="173"/>
      <c r="Y269" s="173"/>
      <c r="Z269" s="173"/>
    </row>
    <row r="270">
      <c r="A270" s="173"/>
      <c r="B270" s="173"/>
      <c r="C270" s="173"/>
      <c r="D270" s="173"/>
      <c r="E270" s="173"/>
      <c r="F270" s="173"/>
      <c r="G270" s="173"/>
      <c r="H270" s="173"/>
      <c r="I270" s="173"/>
      <c r="J270" s="173"/>
      <c r="K270" s="173"/>
      <c r="L270" s="173"/>
      <c r="M270" s="173"/>
      <c r="N270" s="173"/>
      <c r="O270" s="173"/>
      <c r="P270" s="173"/>
      <c r="Q270" s="173"/>
      <c r="R270" s="173"/>
      <c r="S270" s="173"/>
      <c r="T270" s="173"/>
      <c r="U270" s="173"/>
      <c r="V270" s="173"/>
      <c r="W270" s="173"/>
      <c r="X270" s="173"/>
      <c r="Y270" s="173"/>
      <c r="Z270" s="173"/>
    </row>
    <row r="271">
      <c r="A271" s="173"/>
      <c r="B271" s="173"/>
      <c r="C271" s="173"/>
      <c r="D271" s="173"/>
      <c r="E271" s="173"/>
      <c r="F271" s="173"/>
      <c r="G271" s="173"/>
      <c r="H271" s="173"/>
      <c r="I271" s="173"/>
      <c r="J271" s="173"/>
      <c r="K271" s="173"/>
      <c r="L271" s="173"/>
      <c r="M271" s="173"/>
      <c r="N271" s="173"/>
      <c r="O271" s="173"/>
      <c r="P271" s="173"/>
      <c r="Q271" s="173"/>
      <c r="R271" s="173"/>
      <c r="S271" s="173"/>
      <c r="T271" s="173"/>
      <c r="U271" s="173"/>
      <c r="V271" s="173"/>
      <c r="W271" s="173"/>
      <c r="X271" s="173"/>
      <c r="Y271" s="173"/>
      <c r="Z271" s="173"/>
    </row>
    <row r="272">
      <c r="A272" s="173"/>
      <c r="B272" s="173"/>
      <c r="C272" s="173"/>
      <c r="D272" s="173"/>
      <c r="E272" s="173"/>
      <c r="F272" s="173"/>
      <c r="G272" s="173"/>
      <c r="H272" s="173"/>
      <c r="I272" s="173"/>
      <c r="J272" s="173"/>
      <c r="K272" s="173"/>
      <c r="L272" s="173"/>
      <c r="M272" s="173"/>
      <c r="N272" s="173"/>
      <c r="O272" s="173"/>
      <c r="P272" s="173"/>
      <c r="Q272" s="173"/>
      <c r="R272" s="173"/>
      <c r="S272" s="173"/>
      <c r="T272" s="173"/>
      <c r="U272" s="173"/>
      <c r="V272" s="173"/>
      <c r="W272" s="173"/>
      <c r="X272" s="173"/>
      <c r="Y272" s="173"/>
      <c r="Z272" s="173"/>
    </row>
    <row r="273">
      <c r="A273" s="173"/>
      <c r="B273" s="173"/>
      <c r="C273" s="173"/>
      <c r="D273" s="173"/>
      <c r="E273" s="173"/>
      <c r="F273" s="173"/>
      <c r="G273" s="173"/>
      <c r="H273" s="173"/>
      <c r="I273" s="173"/>
      <c r="J273" s="173"/>
      <c r="K273" s="173"/>
      <c r="L273" s="173"/>
      <c r="M273" s="173"/>
      <c r="N273" s="173"/>
      <c r="O273" s="173"/>
      <c r="P273" s="173"/>
      <c r="Q273" s="173"/>
      <c r="R273" s="173"/>
      <c r="S273" s="173"/>
      <c r="T273" s="173"/>
      <c r="U273" s="173"/>
      <c r="V273" s="173"/>
      <c r="W273" s="173"/>
      <c r="X273" s="173"/>
      <c r="Y273" s="173"/>
      <c r="Z273" s="173"/>
    </row>
    <row r="274">
      <c r="A274" s="173"/>
      <c r="B274" s="173"/>
      <c r="C274" s="173"/>
      <c r="D274" s="173"/>
      <c r="E274" s="173"/>
      <c r="F274" s="173"/>
      <c r="G274" s="173"/>
      <c r="H274" s="173"/>
      <c r="I274" s="173"/>
      <c r="J274" s="173"/>
      <c r="K274" s="173"/>
      <c r="L274" s="173"/>
      <c r="M274" s="173"/>
      <c r="N274" s="173"/>
      <c r="O274" s="173"/>
      <c r="P274" s="173"/>
      <c r="Q274" s="173"/>
      <c r="R274" s="173"/>
      <c r="S274" s="173"/>
      <c r="T274" s="173"/>
      <c r="U274" s="173"/>
      <c r="V274" s="173"/>
      <c r="W274" s="173"/>
      <c r="X274" s="173"/>
      <c r="Y274" s="173"/>
      <c r="Z274" s="173"/>
    </row>
    <row r="275">
      <c r="A275" s="173"/>
      <c r="B275" s="173"/>
      <c r="C275" s="173"/>
      <c r="D275" s="173"/>
      <c r="E275" s="173"/>
      <c r="F275" s="173"/>
      <c r="G275" s="173"/>
      <c r="H275" s="173"/>
      <c r="I275" s="173"/>
      <c r="J275" s="173"/>
      <c r="K275" s="173"/>
      <c r="L275" s="173"/>
      <c r="M275" s="173"/>
      <c r="N275" s="173"/>
      <c r="O275" s="173"/>
      <c r="P275" s="173"/>
      <c r="Q275" s="173"/>
      <c r="R275" s="173"/>
      <c r="S275" s="173"/>
      <c r="T275" s="173"/>
      <c r="U275" s="173"/>
      <c r="V275" s="173"/>
      <c r="W275" s="173"/>
      <c r="X275" s="173"/>
      <c r="Y275" s="173"/>
      <c r="Z275" s="173"/>
    </row>
    <row r="276">
      <c r="A276" s="173"/>
      <c r="B276" s="173"/>
      <c r="C276" s="173"/>
      <c r="D276" s="173"/>
      <c r="E276" s="173"/>
      <c r="F276" s="173"/>
      <c r="G276" s="173"/>
      <c r="H276" s="173"/>
      <c r="I276" s="173"/>
      <c r="J276" s="173"/>
      <c r="K276" s="173"/>
      <c r="L276" s="173"/>
      <c r="M276" s="173"/>
      <c r="N276" s="173"/>
      <c r="O276" s="173"/>
      <c r="P276" s="173"/>
      <c r="Q276" s="173"/>
      <c r="R276" s="173"/>
      <c r="S276" s="173"/>
      <c r="T276" s="173"/>
      <c r="U276" s="173"/>
      <c r="V276" s="173"/>
      <c r="W276" s="173"/>
      <c r="X276" s="173"/>
      <c r="Y276" s="173"/>
      <c r="Z276" s="173"/>
    </row>
    <row r="277">
      <c r="A277" s="173"/>
      <c r="B277" s="173"/>
      <c r="C277" s="173"/>
      <c r="D277" s="173"/>
      <c r="E277" s="173"/>
      <c r="F277" s="173"/>
      <c r="G277" s="173"/>
      <c r="H277" s="173"/>
      <c r="I277" s="173"/>
      <c r="J277" s="173"/>
      <c r="K277" s="173"/>
      <c r="L277" s="173"/>
      <c r="M277" s="173"/>
      <c r="N277" s="173"/>
      <c r="O277" s="173"/>
      <c r="P277" s="173"/>
      <c r="Q277" s="173"/>
      <c r="R277" s="173"/>
      <c r="S277" s="173"/>
      <c r="T277" s="173"/>
      <c r="U277" s="173"/>
      <c r="V277" s="173"/>
      <c r="W277" s="173"/>
      <c r="X277" s="173"/>
      <c r="Y277" s="173"/>
      <c r="Z277" s="173"/>
    </row>
    <row r="278">
      <c r="A278" s="173"/>
      <c r="B278" s="173"/>
      <c r="C278" s="173"/>
      <c r="D278" s="173"/>
      <c r="E278" s="173"/>
      <c r="F278" s="173"/>
      <c r="G278" s="173"/>
      <c r="H278" s="173"/>
      <c r="I278" s="173"/>
      <c r="J278" s="173"/>
      <c r="K278" s="173"/>
      <c r="L278" s="173"/>
      <c r="M278" s="173"/>
      <c r="N278" s="173"/>
      <c r="O278" s="173"/>
      <c r="P278" s="173"/>
      <c r="Q278" s="173"/>
      <c r="R278" s="173"/>
      <c r="S278" s="173"/>
      <c r="T278" s="173"/>
      <c r="U278" s="173"/>
      <c r="V278" s="173"/>
      <c r="W278" s="173"/>
      <c r="X278" s="173"/>
      <c r="Y278" s="173"/>
      <c r="Z278" s="173"/>
    </row>
    <row r="279">
      <c r="A279" s="173"/>
      <c r="B279" s="173"/>
      <c r="C279" s="173"/>
      <c r="D279" s="173"/>
      <c r="E279" s="173"/>
      <c r="F279" s="173"/>
      <c r="G279" s="173"/>
      <c r="H279" s="173"/>
      <c r="I279" s="173"/>
      <c r="J279" s="173"/>
      <c r="K279" s="173"/>
      <c r="L279" s="173"/>
      <c r="M279" s="173"/>
      <c r="N279" s="173"/>
      <c r="O279" s="173"/>
      <c r="P279" s="173"/>
      <c r="Q279" s="173"/>
      <c r="R279" s="173"/>
      <c r="S279" s="173"/>
      <c r="T279" s="173"/>
      <c r="U279" s="173"/>
      <c r="V279" s="173"/>
      <c r="W279" s="173"/>
      <c r="X279" s="173"/>
      <c r="Y279" s="173"/>
      <c r="Z279" s="173"/>
    </row>
    <row r="280">
      <c r="A280" s="173"/>
      <c r="B280" s="173"/>
      <c r="C280" s="173"/>
      <c r="D280" s="173"/>
      <c r="E280" s="173"/>
      <c r="F280" s="173"/>
      <c r="G280" s="173"/>
      <c r="H280" s="173"/>
      <c r="I280" s="173"/>
      <c r="J280" s="173"/>
      <c r="K280" s="173"/>
      <c r="L280" s="173"/>
      <c r="M280" s="173"/>
      <c r="N280" s="173"/>
      <c r="O280" s="173"/>
      <c r="P280" s="173"/>
      <c r="Q280" s="173"/>
      <c r="R280" s="173"/>
      <c r="S280" s="173"/>
      <c r="T280" s="173"/>
      <c r="U280" s="173"/>
      <c r="V280" s="173"/>
      <c r="W280" s="173"/>
      <c r="X280" s="173"/>
      <c r="Y280" s="173"/>
      <c r="Z280" s="173"/>
    </row>
    <row r="281">
      <c r="A281" s="173"/>
      <c r="B281" s="173"/>
      <c r="C281" s="173"/>
      <c r="D281" s="173"/>
      <c r="E281" s="173"/>
      <c r="F281" s="173"/>
      <c r="G281" s="173"/>
      <c r="H281" s="173"/>
      <c r="I281" s="173"/>
      <c r="J281" s="173"/>
      <c r="K281" s="173"/>
      <c r="L281" s="173"/>
      <c r="M281" s="173"/>
      <c r="N281" s="173"/>
      <c r="O281" s="173"/>
      <c r="P281" s="173"/>
      <c r="Q281" s="173"/>
      <c r="R281" s="173"/>
      <c r="S281" s="173"/>
      <c r="T281" s="173"/>
      <c r="U281" s="173"/>
      <c r="V281" s="173"/>
      <c r="W281" s="173"/>
      <c r="X281" s="173"/>
      <c r="Y281" s="173"/>
      <c r="Z281" s="173"/>
    </row>
    <row r="282">
      <c r="A282" s="173"/>
      <c r="B282" s="173"/>
      <c r="C282" s="173"/>
      <c r="D282" s="173"/>
      <c r="E282" s="173"/>
      <c r="F282" s="173"/>
      <c r="G282" s="173"/>
      <c r="H282" s="173"/>
      <c r="I282" s="173"/>
      <c r="J282" s="173"/>
      <c r="K282" s="173"/>
      <c r="L282" s="173"/>
      <c r="M282" s="173"/>
      <c r="N282" s="173"/>
      <c r="O282" s="173"/>
      <c r="P282" s="173"/>
      <c r="Q282" s="173"/>
      <c r="R282" s="173"/>
      <c r="S282" s="173"/>
      <c r="T282" s="173"/>
      <c r="U282" s="173"/>
      <c r="V282" s="173"/>
      <c r="W282" s="173"/>
      <c r="X282" s="173"/>
      <c r="Y282" s="173"/>
      <c r="Z282" s="173"/>
    </row>
    <row r="283">
      <c r="A283" s="173"/>
      <c r="B283" s="173"/>
      <c r="C283" s="173"/>
      <c r="D283" s="173"/>
      <c r="E283" s="173"/>
      <c r="F283" s="173"/>
      <c r="G283" s="173"/>
      <c r="H283" s="173"/>
      <c r="I283" s="173"/>
      <c r="J283" s="173"/>
      <c r="K283" s="173"/>
      <c r="L283" s="173"/>
      <c r="M283" s="173"/>
      <c r="N283" s="173"/>
      <c r="O283" s="173"/>
      <c r="P283" s="173"/>
      <c r="Q283" s="173"/>
      <c r="R283" s="173"/>
      <c r="S283" s="173"/>
      <c r="T283" s="173"/>
      <c r="U283" s="173"/>
      <c r="V283" s="173"/>
      <c r="W283" s="173"/>
      <c r="X283" s="173"/>
      <c r="Y283" s="173"/>
      <c r="Z283" s="173"/>
    </row>
    <row r="284">
      <c r="A284" s="173"/>
      <c r="B284" s="173"/>
      <c r="C284" s="173"/>
      <c r="D284" s="173"/>
      <c r="E284" s="173"/>
      <c r="F284" s="173"/>
      <c r="G284" s="173"/>
      <c r="H284" s="173"/>
      <c r="I284" s="173"/>
      <c r="J284" s="173"/>
      <c r="K284" s="173"/>
      <c r="L284" s="173"/>
      <c r="M284" s="173"/>
      <c r="N284" s="173"/>
      <c r="O284" s="173"/>
      <c r="P284" s="173"/>
      <c r="Q284" s="173"/>
      <c r="R284" s="173"/>
      <c r="S284" s="173"/>
      <c r="T284" s="173"/>
      <c r="U284" s="173"/>
      <c r="V284" s="173"/>
      <c r="W284" s="173"/>
      <c r="X284" s="173"/>
      <c r="Y284" s="173"/>
      <c r="Z284" s="173"/>
    </row>
    <row r="285">
      <c r="A285" s="173"/>
      <c r="B285" s="173"/>
      <c r="C285" s="173"/>
      <c r="D285" s="173"/>
      <c r="E285" s="173"/>
      <c r="F285" s="173"/>
      <c r="G285" s="173"/>
      <c r="H285" s="173"/>
      <c r="I285" s="173"/>
      <c r="J285" s="173"/>
      <c r="K285" s="173"/>
      <c r="L285" s="173"/>
      <c r="M285" s="173"/>
      <c r="N285" s="173"/>
      <c r="O285" s="173"/>
      <c r="P285" s="173"/>
      <c r="Q285" s="173"/>
      <c r="R285" s="173"/>
      <c r="S285" s="173"/>
      <c r="T285" s="173"/>
      <c r="U285" s="173"/>
      <c r="V285" s="173"/>
      <c r="W285" s="173"/>
      <c r="X285" s="173"/>
      <c r="Y285" s="173"/>
      <c r="Z285" s="173"/>
    </row>
    <row r="286">
      <c r="A286" s="173"/>
      <c r="B286" s="173"/>
      <c r="C286" s="173"/>
      <c r="D286" s="173"/>
      <c r="E286" s="173"/>
      <c r="F286" s="173"/>
      <c r="G286" s="173"/>
      <c r="H286" s="173"/>
      <c r="I286" s="173"/>
      <c r="J286" s="173"/>
      <c r="K286" s="173"/>
      <c r="L286" s="173"/>
      <c r="M286" s="173"/>
      <c r="N286" s="173"/>
      <c r="O286" s="173"/>
      <c r="P286" s="173"/>
      <c r="Q286" s="173"/>
      <c r="R286" s="173"/>
      <c r="S286" s="173"/>
      <c r="T286" s="173"/>
      <c r="U286" s="173"/>
      <c r="V286" s="173"/>
      <c r="W286" s="173"/>
      <c r="X286" s="173"/>
      <c r="Y286" s="173"/>
      <c r="Z286" s="173"/>
    </row>
    <row r="287">
      <c r="A287" s="173"/>
      <c r="B287" s="173"/>
      <c r="C287" s="173"/>
      <c r="D287" s="173"/>
      <c r="E287" s="173"/>
      <c r="F287" s="173"/>
      <c r="G287" s="173"/>
      <c r="H287" s="173"/>
      <c r="I287" s="173"/>
      <c r="J287" s="173"/>
      <c r="K287" s="173"/>
      <c r="L287" s="173"/>
      <c r="M287" s="173"/>
      <c r="N287" s="173"/>
      <c r="O287" s="173"/>
      <c r="P287" s="173"/>
      <c r="Q287" s="173"/>
      <c r="R287" s="173"/>
      <c r="S287" s="173"/>
      <c r="T287" s="173"/>
      <c r="U287" s="173"/>
      <c r="V287" s="173"/>
      <c r="W287" s="173"/>
      <c r="X287" s="173"/>
      <c r="Y287" s="173"/>
      <c r="Z287" s="173"/>
    </row>
    <row r="288">
      <c r="A288" s="173"/>
      <c r="B288" s="173"/>
      <c r="C288" s="173"/>
      <c r="D288" s="173"/>
      <c r="E288" s="173"/>
      <c r="F288" s="173"/>
      <c r="G288" s="173"/>
      <c r="H288" s="173"/>
      <c r="I288" s="173"/>
      <c r="J288" s="173"/>
      <c r="K288" s="173"/>
      <c r="L288" s="173"/>
      <c r="M288" s="173"/>
      <c r="N288" s="173"/>
      <c r="O288" s="173"/>
      <c r="P288" s="173"/>
      <c r="Q288" s="173"/>
      <c r="R288" s="173"/>
      <c r="S288" s="173"/>
      <c r="T288" s="173"/>
      <c r="U288" s="173"/>
      <c r="V288" s="173"/>
      <c r="W288" s="173"/>
      <c r="X288" s="173"/>
      <c r="Y288" s="173"/>
      <c r="Z288" s="173"/>
    </row>
    <row r="289">
      <c r="A289" s="173"/>
      <c r="B289" s="173"/>
      <c r="C289" s="173"/>
      <c r="D289" s="173"/>
      <c r="E289" s="173"/>
      <c r="F289" s="173"/>
      <c r="G289" s="173"/>
      <c r="H289" s="173"/>
      <c r="I289" s="173"/>
      <c r="J289" s="173"/>
      <c r="K289" s="173"/>
      <c r="L289" s="173"/>
      <c r="M289" s="173"/>
      <c r="N289" s="173"/>
      <c r="O289" s="173"/>
      <c r="P289" s="173"/>
      <c r="Q289" s="173"/>
      <c r="R289" s="173"/>
      <c r="S289" s="173"/>
      <c r="T289" s="173"/>
      <c r="U289" s="173"/>
      <c r="V289" s="173"/>
      <c r="W289" s="173"/>
      <c r="X289" s="173"/>
      <c r="Y289" s="173"/>
      <c r="Z289" s="173"/>
    </row>
    <row r="290">
      <c r="A290" s="173"/>
      <c r="B290" s="173"/>
      <c r="C290" s="173"/>
      <c r="D290" s="173"/>
      <c r="E290" s="173"/>
      <c r="F290" s="173"/>
      <c r="G290" s="173"/>
      <c r="H290" s="173"/>
      <c r="I290" s="173"/>
      <c r="J290" s="173"/>
      <c r="K290" s="173"/>
      <c r="L290" s="173"/>
      <c r="M290" s="173"/>
      <c r="N290" s="173"/>
      <c r="O290" s="173"/>
      <c r="P290" s="173"/>
      <c r="Q290" s="173"/>
      <c r="R290" s="173"/>
      <c r="S290" s="173"/>
      <c r="T290" s="173"/>
      <c r="U290" s="173"/>
      <c r="V290" s="173"/>
      <c r="W290" s="173"/>
      <c r="X290" s="173"/>
      <c r="Y290" s="173"/>
      <c r="Z290" s="173"/>
    </row>
    <row r="291">
      <c r="A291" s="173"/>
      <c r="B291" s="173"/>
      <c r="C291" s="173"/>
      <c r="D291" s="173"/>
      <c r="E291" s="173"/>
      <c r="F291" s="173"/>
      <c r="G291" s="173"/>
      <c r="H291" s="173"/>
      <c r="I291" s="173"/>
      <c r="J291" s="173"/>
      <c r="K291" s="173"/>
      <c r="L291" s="173"/>
      <c r="M291" s="173"/>
      <c r="N291" s="173"/>
      <c r="O291" s="173"/>
      <c r="P291" s="173"/>
      <c r="Q291" s="173"/>
      <c r="R291" s="173"/>
      <c r="S291" s="173"/>
      <c r="T291" s="173"/>
      <c r="U291" s="173"/>
      <c r="V291" s="173"/>
      <c r="W291" s="173"/>
      <c r="X291" s="173"/>
      <c r="Y291" s="173"/>
      <c r="Z291" s="173"/>
    </row>
    <row r="292">
      <c r="A292" s="173"/>
      <c r="B292" s="173"/>
      <c r="C292" s="173"/>
      <c r="D292" s="173"/>
      <c r="E292" s="173"/>
      <c r="F292" s="173"/>
      <c r="G292" s="173"/>
      <c r="H292" s="173"/>
      <c r="I292" s="173"/>
      <c r="J292" s="173"/>
      <c r="K292" s="173"/>
      <c r="L292" s="173"/>
      <c r="M292" s="173"/>
      <c r="N292" s="173"/>
      <c r="O292" s="173"/>
      <c r="P292" s="173"/>
      <c r="Q292" s="173"/>
      <c r="R292" s="173"/>
      <c r="S292" s="173"/>
      <c r="T292" s="173"/>
      <c r="U292" s="173"/>
      <c r="V292" s="173"/>
      <c r="W292" s="173"/>
      <c r="X292" s="173"/>
      <c r="Y292" s="173"/>
      <c r="Z292" s="173"/>
    </row>
    <row r="293">
      <c r="A293" s="173"/>
      <c r="B293" s="173"/>
      <c r="C293" s="173"/>
      <c r="D293" s="173"/>
      <c r="E293" s="173"/>
      <c r="F293" s="173"/>
      <c r="G293" s="173"/>
      <c r="H293" s="173"/>
      <c r="I293" s="173"/>
      <c r="J293" s="173"/>
      <c r="K293" s="173"/>
      <c r="L293" s="173"/>
      <c r="M293" s="173"/>
      <c r="N293" s="173"/>
      <c r="O293" s="173"/>
      <c r="P293" s="173"/>
      <c r="Q293" s="173"/>
      <c r="R293" s="173"/>
      <c r="S293" s="173"/>
      <c r="T293" s="173"/>
      <c r="U293" s="173"/>
      <c r="V293" s="173"/>
      <c r="W293" s="173"/>
      <c r="X293" s="173"/>
      <c r="Y293" s="173"/>
      <c r="Z293" s="173"/>
    </row>
    <row r="294">
      <c r="A294" s="173"/>
      <c r="B294" s="173"/>
      <c r="C294" s="173"/>
      <c r="D294" s="173"/>
      <c r="E294" s="173"/>
      <c r="F294" s="173"/>
      <c r="G294" s="173"/>
      <c r="H294" s="173"/>
      <c r="I294" s="173"/>
      <c r="J294" s="173"/>
      <c r="K294" s="173"/>
      <c r="L294" s="173"/>
      <c r="M294" s="173"/>
      <c r="N294" s="173"/>
      <c r="O294" s="173"/>
      <c r="P294" s="173"/>
      <c r="Q294" s="173"/>
      <c r="R294" s="173"/>
      <c r="S294" s="173"/>
      <c r="T294" s="173"/>
      <c r="U294" s="173"/>
      <c r="V294" s="173"/>
      <c r="W294" s="173"/>
      <c r="X294" s="173"/>
      <c r="Y294" s="173"/>
      <c r="Z294" s="173"/>
    </row>
    <row r="295">
      <c r="A295" s="173"/>
      <c r="B295" s="173"/>
      <c r="C295" s="173"/>
      <c r="D295" s="173"/>
      <c r="E295" s="173"/>
      <c r="F295" s="173"/>
      <c r="G295" s="173"/>
      <c r="H295" s="173"/>
      <c r="I295" s="173"/>
      <c r="J295" s="173"/>
      <c r="K295" s="173"/>
      <c r="L295" s="173"/>
      <c r="M295" s="173"/>
      <c r="N295" s="173"/>
      <c r="O295" s="173"/>
      <c r="P295" s="173"/>
      <c r="Q295" s="173"/>
      <c r="R295" s="173"/>
      <c r="S295" s="173"/>
      <c r="T295" s="173"/>
      <c r="U295" s="173"/>
      <c r="V295" s="173"/>
      <c r="W295" s="173"/>
      <c r="X295" s="173"/>
      <c r="Y295" s="173"/>
      <c r="Z295" s="173"/>
    </row>
    <row r="296">
      <c r="A296" s="173"/>
      <c r="B296" s="173"/>
      <c r="C296" s="173"/>
      <c r="D296" s="173"/>
      <c r="E296" s="173"/>
      <c r="F296" s="173"/>
      <c r="G296" s="173"/>
      <c r="H296" s="173"/>
      <c r="I296" s="173"/>
      <c r="J296" s="173"/>
      <c r="K296" s="173"/>
      <c r="L296" s="173"/>
      <c r="M296" s="173"/>
      <c r="N296" s="173"/>
      <c r="O296" s="173"/>
      <c r="P296" s="173"/>
      <c r="Q296" s="173"/>
      <c r="R296" s="173"/>
      <c r="S296" s="173"/>
      <c r="T296" s="173"/>
      <c r="U296" s="173"/>
      <c r="V296" s="173"/>
      <c r="W296" s="173"/>
      <c r="X296" s="173"/>
      <c r="Y296" s="173"/>
      <c r="Z296" s="173"/>
    </row>
    <row r="297">
      <c r="A297" s="173"/>
      <c r="B297" s="173"/>
      <c r="C297" s="173"/>
      <c r="D297" s="173"/>
      <c r="E297" s="173"/>
      <c r="F297" s="173"/>
      <c r="G297" s="173"/>
      <c r="H297" s="173"/>
      <c r="I297" s="173"/>
      <c r="J297" s="173"/>
      <c r="K297" s="173"/>
      <c r="L297" s="173"/>
      <c r="M297" s="173"/>
      <c r="N297" s="173"/>
      <c r="O297" s="173"/>
      <c r="P297" s="173"/>
      <c r="Q297" s="173"/>
      <c r="R297" s="173"/>
      <c r="S297" s="173"/>
      <c r="T297" s="173"/>
      <c r="U297" s="173"/>
      <c r="V297" s="173"/>
      <c r="W297" s="173"/>
      <c r="X297" s="173"/>
      <c r="Y297" s="173"/>
      <c r="Z297" s="173"/>
    </row>
    <row r="298">
      <c r="A298" s="173"/>
      <c r="B298" s="173"/>
      <c r="C298" s="173"/>
      <c r="D298" s="173"/>
      <c r="E298" s="173"/>
      <c r="F298" s="173"/>
      <c r="G298" s="173"/>
      <c r="H298" s="173"/>
      <c r="I298" s="173"/>
      <c r="J298" s="173"/>
      <c r="K298" s="173"/>
      <c r="L298" s="173"/>
      <c r="M298" s="173"/>
      <c r="N298" s="173"/>
      <c r="O298" s="173"/>
      <c r="P298" s="173"/>
      <c r="Q298" s="173"/>
      <c r="R298" s="173"/>
      <c r="S298" s="173"/>
      <c r="T298" s="173"/>
      <c r="U298" s="173"/>
      <c r="V298" s="173"/>
      <c r="W298" s="173"/>
      <c r="X298" s="173"/>
      <c r="Y298" s="173"/>
      <c r="Z298" s="173"/>
    </row>
    <row r="299">
      <c r="A299" s="173"/>
      <c r="B299" s="173"/>
      <c r="C299" s="173"/>
      <c r="D299" s="173"/>
      <c r="E299" s="173"/>
      <c r="F299" s="173"/>
      <c r="G299" s="173"/>
      <c r="H299" s="173"/>
      <c r="I299" s="173"/>
      <c r="J299" s="173"/>
      <c r="K299" s="173"/>
      <c r="L299" s="173"/>
      <c r="M299" s="173"/>
      <c r="N299" s="173"/>
      <c r="O299" s="173"/>
      <c r="P299" s="173"/>
      <c r="Q299" s="173"/>
      <c r="R299" s="173"/>
      <c r="S299" s="173"/>
      <c r="T299" s="173"/>
      <c r="U299" s="173"/>
      <c r="V299" s="173"/>
      <c r="W299" s="173"/>
      <c r="X299" s="173"/>
      <c r="Y299" s="173"/>
      <c r="Z299" s="173"/>
    </row>
    <row r="300">
      <c r="A300" s="173"/>
      <c r="B300" s="173"/>
      <c r="C300" s="173"/>
      <c r="D300" s="173"/>
      <c r="E300" s="173"/>
      <c r="F300" s="173"/>
      <c r="G300" s="173"/>
      <c r="H300" s="173"/>
      <c r="I300" s="173"/>
      <c r="J300" s="173"/>
      <c r="K300" s="173"/>
      <c r="L300" s="173"/>
      <c r="M300" s="173"/>
      <c r="N300" s="173"/>
      <c r="O300" s="173"/>
      <c r="P300" s="173"/>
      <c r="Q300" s="173"/>
      <c r="R300" s="173"/>
      <c r="S300" s="173"/>
      <c r="T300" s="173"/>
      <c r="U300" s="173"/>
      <c r="V300" s="173"/>
      <c r="W300" s="173"/>
      <c r="X300" s="173"/>
      <c r="Y300" s="173"/>
      <c r="Z300" s="173"/>
    </row>
    <row r="301">
      <c r="A301" s="173"/>
      <c r="B301" s="173"/>
      <c r="C301" s="173"/>
      <c r="D301" s="173"/>
      <c r="E301" s="173"/>
      <c r="F301" s="173"/>
      <c r="G301" s="173"/>
      <c r="H301" s="173"/>
      <c r="I301" s="173"/>
      <c r="J301" s="173"/>
      <c r="K301" s="173"/>
      <c r="L301" s="173"/>
      <c r="M301" s="173"/>
      <c r="N301" s="173"/>
      <c r="O301" s="173"/>
      <c r="P301" s="173"/>
      <c r="Q301" s="173"/>
      <c r="R301" s="173"/>
      <c r="S301" s="173"/>
      <c r="T301" s="173"/>
      <c r="U301" s="173"/>
      <c r="V301" s="173"/>
      <c r="W301" s="173"/>
      <c r="X301" s="173"/>
      <c r="Y301" s="173"/>
      <c r="Z301" s="173"/>
    </row>
    <row r="302">
      <c r="A302" s="173"/>
      <c r="B302" s="173"/>
      <c r="C302" s="173"/>
      <c r="D302" s="173"/>
      <c r="E302" s="173"/>
      <c r="F302" s="173"/>
      <c r="G302" s="173"/>
      <c r="H302" s="173"/>
      <c r="I302" s="173"/>
      <c r="J302" s="173"/>
      <c r="K302" s="173"/>
      <c r="L302" s="173"/>
      <c r="M302" s="173"/>
      <c r="N302" s="173"/>
      <c r="O302" s="173"/>
      <c r="P302" s="173"/>
      <c r="Q302" s="173"/>
      <c r="R302" s="173"/>
      <c r="S302" s="173"/>
      <c r="T302" s="173"/>
      <c r="U302" s="173"/>
      <c r="V302" s="173"/>
      <c r="W302" s="173"/>
      <c r="X302" s="173"/>
      <c r="Y302" s="173"/>
      <c r="Z302" s="173"/>
    </row>
    <row r="303">
      <c r="A303" s="173"/>
      <c r="B303" s="173"/>
      <c r="C303" s="173"/>
      <c r="D303" s="173"/>
      <c r="E303" s="173"/>
      <c r="F303" s="173"/>
      <c r="G303" s="173"/>
      <c r="H303" s="173"/>
      <c r="I303" s="173"/>
      <c r="J303" s="173"/>
      <c r="K303" s="173"/>
      <c r="L303" s="173"/>
      <c r="M303" s="173"/>
      <c r="N303" s="173"/>
      <c r="O303" s="173"/>
      <c r="P303" s="173"/>
      <c r="Q303" s="173"/>
      <c r="R303" s="173"/>
      <c r="S303" s="173"/>
      <c r="T303" s="173"/>
      <c r="U303" s="173"/>
      <c r="V303" s="173"/>
      <c r="W303" s="173"/>
      <c r="X303" s="173"/>
      <c r="Y303" s="173"/>
      <c r="Z303" s="173"/>
    </row>
    <row r="304">
      <c r="A304" s="173"/>
      <c r="B304" s="173"/>
      <c r="C304" s="173"/>
      <c r="D304" s="173"/>
      <c r="E304" s="173"/>
      <c r="F304" s="173"/>
      <c r="G304" s="173"/>
      <c r="H304" s="173"/>
      <c r="I304" s="173"/>
      <c r="J304" s="173"/>
      <c r="K304" s="173"/>
      <c r="L304" s="173"/>
      <c r="M304" s="173"/>
      <c r="N304" s="173"/>
      <c r="O304" s="173"/>
      <c r="P304" s="173"/>
      <c r="Q304" s="173"/>
      <c r="R304" s="173"/>
      <c r="S304" s="173"/>
      <c r="T304" s="173"/>
      <c r="U304" s="173"/>
      <c r="V304" s="173"/>
      <c r="W304" s="173"/>
      <c r="X304" s="173"/>
      <c r="Y304" s="173"/>
      <c r="Z304" s="173"/>
    </row>
    <row r="305">
      <c r="A305" s="173"/>
      <c r="B305" s="173"/>
      <c r="C305" s="173"/>
      <c r="D305" s="173"/>
      <c r="E305" s="173"/>
      <c r="F305" s="173"/>
      <c r="G305" s="173"/>
      <c r="H305" s="173"/>
      <c r="I305" s="173"/>
      <c r="J305" s="173"/>
      <c r="K305" s="173"/>
      <c r="L305" s="173"/>
      <c r="M305" s="173"/>
      <c r="N305" s="173"/>
      <c r="O305" s="173"/>
      <c r="P305" s="173"/>
      <c r="Q305" s="173"/>
      <c r="R305" s="173"/>
      <c r="S305" s="173"/>
      <c r="T305" s="173"/>
      <c r="U305" s="173"/>
      <c r="V305" s="173"/>
      <c r="W305" s="173"/>
      <c r="X305" s="173"/>
      <c r="Y305" s="173"/>
      <c r="Z305" s="173"/>
    </row>
    <row r="306">
      <c r="A306" s="173"/>
      <c r="B306" s="173"/>
      <c r="C306" s="173"/>
      <c r="D306" s="173"/>
      <c r="E306" s="173"/>
      <c r="F306" s="173"/>
      <c r="G306" s="173"/>
      <c r="H306" s="173"/>
      <c r="I306" s="173"/>
      <c r="J306" s="173"/>
      <c r="K306" s="173"/>
      <c r="L306" s="173"/>
      <c r="M306" s="173"/>
      <c r="N306" s="173"/>
      <c r="O306" s="173"/>
      <c r="P306" s="173"/>
      <c r="Q306" s="173"/>
      <c r="R306" s="173"/>
      <c r="S306" s="173"/>
      <c r="T306" s="173"/>
      <c r="U306" s="173"/>
      <c r="V306" s="173"/>
      <c r="W306" s="173"/>
      <c r="X306" s="173"/>
      <c r="Y306" s="173"/>
      <c r="Z306" s="173"/>
    </row>
    <row r="307">
      <c r="A307" s="173"/>
      <c r="B307" s="173"/>
      <c r="C307" s="173"/>
      <c r="D307" s="173"/>
      <c r="E307" s="173"/>
      <c r="F307" s="173"/>
      <c r="G307" s="173"/>
      <c r="H307" s="173"/>
      <c r="I307" s="173"/>
      <c r="J307" s="173"/>
      <c r="K307" s="173"/>
      <c r="L307" s="173"/>
      <c r="M307" s="173"/>
      <c r="N307" s="173"/>
      <c r="O307" s="173"/>
      <c r="P307" s="173"/>
      <c r="Q307" s="173"/>
      <c r="R307" s="173"/>
      <c r="S307" s="173"/>
      <c r="T307" s="173"/>
      <c r="U307" s="173"/>
      <c r="V307" s="173"/>
      <c r="W307" s="173"/>
      <c r="X307" s="173"/>
      <c r="Y307" s="173"/>
      <c r="Z307" s="173"/>
    </row>
    <row r="308">
      <c r="A308" s="173"/>
      <c r="B308" s="173"/>
      <c r="C308" s="173"/>
      <c r="D308" s="173"/>
      <c r="E308" s="173"/>
      <c r="F308" s="173"/>
      <c r="G308" s="173"/>
      <c r="H308" s="173"/>
      <c r="I308" s="173"/>
      <c r="J308" s="173"/>
      <c r="K308" s="173"/>
      <c r="L308" s="173"/>
      <c r="M308" s="173"/>
      <c r="N308" s="173"/>
      <c r="O308" s="173"/>
      <c r="P308" s="173"/>
      <c r="Q308" s="173"/>
      <c r="R308" s="173"/>
      <c r="S308" s="173"/>
      <c r="T308" s="173"/>
      <c r="U308" s="173"/>
      <c r="V308" s="173"/>
      <c r="W308" s="173"/>
      <c r="X308" s="173"/>
      <c r="Y308" s="173"/>
      <c r="Z308" s="173"/>
    </row>
    <row r="309">
      <c r="A309" s="173"/>
      <c r="B309" s="173"/>
      <c r="C309" s="173"/>
      <c r="D309" s="173"/>
      <c r="E309" s="173"/>
      <c r="F309" s="173"/>
      <c r="G309" s="173"/>
      <c r="H309" s="173"/>
      <c r="I309" s="173"/>
      <c r="J309" s="173"/>
      <c r="K309" s="173"/>
      <c r="L309" s="173"/>
      <c r="M309" s="173"/>
      <c r="N309" s="173"/>
      <c r="O309" s="173"/>
      <c r="P309" s="173"/>
      <c r="Q309" s="173"/>
      <c r="R309" s="173"/>
      <c r="S309" s="173"/>
      <c r="T309" s="173"/>
      <c r="U309" s="173"/>
      <c r="V309" s="173"/>
      <c r="W309" s="173"/>
      <c r="X309" s="173"/>
      <c r="Y309" s="173"/>
      <c r="Z309" s="173"/>
    </row>
    <row r="310">
      <c r="A310" s="173"/>
      <c r="B310" s="173"/>
      <c r="C310" s="173"/>
      <c r="D310" s="173"/>
      <c r="E310" s="173"/>
      <c r="F310" s="173"/>
      <c r="G310" s="173"/>
      <c r="H310" s="173"/>
      <c r="I310" s="173"/>
      <c r="J310" s="173"/>
      <c r="K310" s="173"/>
      <c r="L310" s="173"/>
      <c r="M310" s="173"/>
      <c r="N310" s="173"/>
      <c r="O310" s="173"/>
      <c r="P310" s="173"/>
      <c r="Q310" s="173"/>
      <c r="R310" s="173"/>
      <c r="S310" s="173"/>
      <c r="T310" s="173"/>
      <c r="U310" s="173"/>
      <c r="V310" s="173"/>
      <c r="W310" s="173"/>
      <c r="X310" s="173"/>
      <c r="Y310" s="173"/>
      <c r="Z310" s="173"/>
    </row>
    <row r="311">
      <c r="A311" s="173"/>
      <c r="B311" s="173"/>
      <c r="C311" s="173"/>
      <c r="D311" s="173"/>
      <c r="E311" s="173"/>
      <c r="F311" s="173"/>
      <c r="G311" s="173"/>
      <c r="H311" s="173"/>
      <c r="I311" s="173"/>
      <c r="J311" s="173"/>
      <c r="K311" s="173"/>
      <c r="L311" s="173"/>
      <c r="M311" s="173"/>
      <c r="N311" s="173"/>
      <c r="O311" s="173"/>
      <c r="P311" s="173"/>
      <c r="Q311" s="173"/>
      <c r="R311" s="173"/>
      <c r="S311" s="173"/>
      <c r="T311" s="173"/>
      <c r="U311" s="173"/>
      <c r="V311" s="173"/>
      <c r="W311" s="173"/>
      <c r="X311" s="173"/>
      <c r="Y311" s="173"/>
      <c r="Z311" s="173"/>
    </row>
    <row r="312">
      <c r="A312" s="173"/>
      <c r="B312" s="173"/>
      <c r="C312" s="173"/>
      <c r="D312" s="173"/>
      <c r="E312" s="173"/>
      <c r="F312" s="173"/>
      <c r="G312" s="173"/>
      <c r="H312" s="173"/>
      <c r="I312" s="173"/>
      <c r="J312" s="173"/>
      <c r="K312" s="173"/>
      <c r="L312" s="173"/>
      <c r="M312" s="173"/>
      <c r="N312" s="173"/>
      <c r="O312" s="173"/>
      <c r="P312" s="173"/>
      <c r="Q312" s="173"/>
      <c r="R312" s="173"/>
      <c r="S312" s="173"/>
      <c r="T312" s="173"/>
      <c r="U312" s="173"/>
      <c r="V312" s="173"/>
      <c r="W312" s="173"/>
      <c r="X312" s="173"/>
      <c r="Y312" s="173"/>
      <c r="Z312" s="173"/>
    </row>
    <row r="313">
      <c r="A313" s="173"/>
      <c r="B313" s="173"/>
      <c r="C313" s="173"/>
      <c r="D313" s="173"/>
      <c r="E313" s="173"/>
      <c r="F313" s="173"/>
      <c r="G313" s="173"/>
      <c r="H313" s="173"/>
      <c r="I313" s="173"/>
      <c r="J313" s="173"/>
      <c r="K313" s="173"/>
      <c r="L313" s="173"/>
      <c r="M313" s="173"/>
      <c r="N313" s="173"/>
      <c r="O313" s="173"/>
      <c r="P313" s="173"/>
      <c r="Q313" s="173"/>
      <c r="R313" s="173"/>
      <c r="S313" s="173"/>
      <c r="T313" s="173"/>
      <c r="U313" s="173"/>
      <c r="V313" s="173"/>
      <c r="W313" s="173"/>
      <c r="X313" s="173"/>
      <c r="Y313" s="173"/>
      <c r="Z313" s="173"/>
    </row>
    <row r="314">
      <c r="A314" s="173"/>
      <c r="B314" s="173"/>
      <c r="C314" s="173"/>
      <c r="D314" s="173"/>
      <c r="E314" s="173"/>
      <c r="F314" s="173"/>
      <c r="G314" s="173"/>
      <c r="H314" s="173"/>
      <c r="I314" s="173"/>
      <c r="J314" s="173"/>
      <c r="K314" s="173"/>
      <c r="L314" s="173"/>
      <c r="M314" s="173"/>
      <c r="N314" s="173"/>
      <c r="O314" s="173"/>
      <c r="P314" s="173"/>
      <c r="Q314" s="173"/>
      <c r="R314" s="173"/>
      <c r="S314" s="173"/>
      <c r="T314" s="173"/>
      <c r="U314" s="173"/>
      <c r="V314" s="173"/>
      <c r="W314" s="173"/>
      <c r="X314" s="173"/>
      <c r="Y314" s="173"/>
      <c r="Z314" s="173"/>
    </row>
    <row r="315">
      <c r="A315" s="173"/>
      <c r="B315" s="173"/>
      <c r="C315" s="173"/>
      <c r="D315" s="173"/>
      <c r="E315" s="173"/>
      <c r="F315" s="173"/>
      <c r="G315" s="173"/>
      <c r="H315" s="173"/>
      <c r="I315" s="173"/>
      <c r="J315" s="173"/>
      <c r="K315" s="173"/>
      <c r="L315" s="173"/>
      <c r="M315" s="173"/>
      <c r="N315" s="173"/>
      <c r="O315" s="173"/>
      <c r="P315" s="173"/>
      <c r="Q315" s="173"/>
      <c r="R315" s="173"/>
      <c r="S315" s="173"/>
      <c r="T315" s="173"/>
      <c r="U315" s="173"/>
      <c r="V315" s="173"/>
      <c r="W315" s="173"/>
      <c r="X315" s="173"/>
      <c r="Y315" s="173"/>
      <c r="Z315" s="173"/>
    </row>
    <row r="316">
      <c r="A316" s="173"/>
      <c r="B316" s="173"/>
      <c r="C316" s="173"/>
      <c r="D316" s="173"/>
      <c r="E316" s="173"/>
      <c r="F316" s="173"/>
      <c r="G316" s="173"/>
      <c r="H316" s="173"/>
      <c r="I316" s="173"/>
      <c r="J316" s="173"/>
      <c r="K316" s="173"/>
      <c r="L316" s="173"/>
      <c r="M316" s="173"/>
      <c r="N316" s="173"/>
      <c r="O316" s="173"/>
      <c r="P316" s="173"/>
      <c r="Q316" s="173"/>
      <c r="R316" s="173"/>
      <c r="S316" s="173"/>
      <c r="T316" s="173"/>
      <c r="U316" s="173"/>
      <c r="V316" s="173"/>
      <c r="W316" s="173"/>
      <c r="X316" s="173"/>
      <c r="Y316" s="173"/>
      <c r="Z316" s="173"/>
    </row>
    <row r="317">
      <c r="A317" s="173"/>
      <c r="B317" s="173"/>
      <c r="C317" s="173"/>
      <c r="D317" s="173"/>
      <c r="E317" s="173"/>
      <c r="F317" s="173"/>
      <c r="G317" s="173"/>
      <c r="H317" s="173"/>
      <c r="I317" s="173"/>
      <c r="J317" s="173"/>
      <c r="K317" s="173"/>
      <c r="L317" s="173"/>
      <c r="M317" s="173"/>
      <c r="N317" s="173"/>
      <c r="O317" s="173"/>
      <c r="P317" s="173"/>
      <c r="Q317" s="173"/>
      <c r="R317" s="173"/>
      <c r="S317" s="173"/>
      <c r="T317" s="173"/>
      <c r="U317" s="173"/>
      <c r="V317" s="173"/>
      <c r="W317" s="173"/>
      <c r="X317" s="173"/>
      <c r="Y317" s="173"/>
      <c r="Z317" s="173"/>
    </row>
    <row r="318">
      <c r="A318" s="173"/>
      <c r="B318" s="173"/>
      <c r="C318" s="173"/>
      <c r="D318" s="173"/>
      <c r="E318" s="173"/>
      <c r="F318" s="173"/>
      <c r="G318" s="173"/>
      <c r="H318" s="173"/>
      <c r="I318" s="173"/>
      <c r="J318" s="173"/>
      <c r="K318" s="173"/>
      <c r="L318" s="173"/>
      <c r="M318" s="173"/>
      <c r="N318" s="173"/>
      <c r="O318" s="173"/>
      <c r="P318" s="173"/>
      <c r="Q318" s="173"/>
      <c r="R318" s="173"/>
      <c r="S318" s="173"/>
      <c r="T318" s="173"/>
      <c r="U318" s="173"/>
      <c r="V318" s="173"/>
      <c r="W318" s="173"/>
      <c r="X318" s="173"/>
      <c r="Y318" s="173"/>
      <c r="Z318" s="173"/>
    </row>
    <row r="319">
      <c r="A319" s="173"/>
      <c r="B319" s="173"/>
      <c r="C319" s="173"/>
      <c r="D319" s="173"/>
      <c r="E319" s="173"/>
      <c r="F319" s="173"/>
      <c r="G319" s="173"/>
      <c r="H319" s="173"/>
      <c r="I319" s="173"/>
      <c r="J319" s="173"/>
      <c r="K319" s="173"/>
      <c r="L319" s="173"/>
      <c r="M319" s="173"/>
      <c r="N319" s="173"/>
      <c r="O319" s="173"/>
      <c r="P319" s="173"/>
      <c r="Q319" s="173"/>
      <c r="R319" s="173"/>
      <c r="S319" s="173"/>
      <c r="T319" s="173"/>
      <c r="U319" s="173"/>
      <c r="V319" s="173"/>
      <c r="W319" s="173"/>
      <c r="X319" s="173"/>
      <c r="Y319" s="173"/>
      <c r="Z319" s="173"/>
    </row>
    <row r="320">
      <c r="A320" s="173"/>
      <c r="B320" s="173"/>
      <c r="C320" s="173"/>
      <c r="D320" s="173"/>
      <c r="E320" s="173"/>
      <c r="F320" s="173"/>
      <c r="G320" s="173"/>
      <c r="H320" s="173"/>
      <c r="I320" s="173"/>
      <c r="J320" s="173"/>
      <c r="K320" s="173"/>
      <c r="L320" s="173"/>
      <c r="M320" s="173"/>
      <c r="N320" s="173"/>
      <c r="O320" s="173"/>
      <c r="P320" s="173"/>
      <c r="Q320" s="173"/>
      <c r="R320" s="173"/>
      <c r="S320" s="173"/>
      <c r="T320" s="173"/>
      <c r="U320" s="173"/>
      <c r="V320" s="173"/>
      <c r="W320" s="173"/>
      <c r="X320" s="173"/>
      <c r="Y320" s="173"/>
      <c r="Z320" s="173"/>
    </row>
    <row r="321">
      <c r="A321" s="173"/>
      <c r="B321" s="173"/>
      <c r="C321" s="173"/>
      <c r="D321" s="173"/>
      <c r="E321" s="173"/>
      <c r="F321" s="173"/>
      <c r="G321" s="173"/>
      <c r="H321" s="173"/>
      <c r="I321" s="173"/>
      <c r="J321" s="173"/>
      <c r="K321" s="173"/>
      <c r="L321" s="173"/>
      <c r="M321" s="173"/>
      <c r="N321" s="173"/>
      <c r="O321" s="173"/>
      <c r="P321" s="173"/>
      <c r="Q321" s="173"/>
      <c r="R321" s="173"/>
      <c r="S321" s="173"/>
      <c r="T321" s="173"/>
      <c r="U321" s="173"/>
      <c r="V321" s="173"/>
      <c r="W321" s="173"/>
      <c r="X321" s="173"/>
      <c r="Y321" s="173"/>
      <c r="Z321" s="173"/>
    </row>
    <row r="322">
      <c r="A322" s="173"/>
      <c r="B322" s="173"/>
      <c r="C322" s="173"/>
      <c r="D322" s="173"/>
      <c r="E322" s="173"/>
      <c r="F322" s="173"/>
      <c r="G322" s="173"/>
      <c r="H322" s="173"/>
      <c r="I322" s="173"/>
      <c r="J322" s="173"/>
      <c r="K322" s="173"/>
      <c r="L322" s="173"/>
      <c r="M322" s="173"/>
      <c r="N322" s="173"/>
      <c r="O322" s="173"/>
      <c r="P322" s="173"/>
      <c r="Q322" s="173"/>
      <c r="R322" s="173"/>
      <c r="S322" s="173"/>
      <c r="T322" s="173"/>
      <c r="U322" s="173"/>
      <c r="V322" s="173"/>
      <c r="W322" s="173"/>
      <c r="X322" s="173"/>
      <c r="Y322" s="173"/>
      <c r="Z322" s="173"/>
    </row>
    <row r="323">
      <c r="A323" s="173"/>
      <c r="B323" s="173"/>
      <c r="C323" s="173"/>
      <c r="D323" s="173"/>
      <c r="E323" s="173"/>
      <c r="F323" s="173"/>
      <c r="G323" s="173"/>
      <c r="H323" s="173"/>
      <c r="I323" s="173"/>
      <c r="J323" s="173"/>
      <c r="K323" s="173"/>
      <c r="L323" s="173"/>
      <c r="M323" s="173"/>
      <c r="N323" s="173"/>
      <c r="O323" s="173"/>
      <c r="P323" s="173"/>
      <c r="Q323" s="173"/>
      <c r="R323" s="173"/>
      <c r="S323" s="173"/>
      <c r="T323" s="173"/>
      <c r="U323" s="173"/>
      <c r="V323" s="173"/>
      <c r="W323" s="173"/>
      <c r="X323" s="173"/>
      <c r="Y323" s="173"/>
      <c r="Z323" s="173"/>
    </row>
    <row r="324">
      <c r="A324" s="173"/>
      <c r="B324" s="173"/>
      <c r="C324" s="173"/>
      <c r="D324" s="173"/>
      <c r="E324" s="173"/>
      <c r="F324" s="173"/>
      <c r="G324" s="173"/>
      <c r="H324" s="173"/>
      <c r="I324" s="173"/>
      <c r="J324" s="173"/>
      <c r="K324" s="173"/>
      <c r="L324" s="173"/>
      <c r="M324" s="173"/>
      <c r="N324" s="173"/>
      <c r="O324" s="173"/>
      <c r="P324" s="173"/>
      <c r="Q324" s="173"/>
      <c r="R324" s="173"/>
      <c r="S324" s="173"/>
      <c r="T324" s="173"/>
      <c r="U324" s="173"/>
      <c r="V324" s="173"/>
      <c r="W324" s="173"/>
      <c r="X324" s="173"/>
      <c r="Y324" s="173"/>
      <c r="Z324" s="173"/>
    </row>
    <row r="325">
      <c r="A325" s="173"/>
      <c r="B325" s="173"/>
      <c r="C325" s="173"/>
      <c r="D325" s="173"/>
      <c r="E325" s="173"/>
      <c r="F325" s="173"/>
      <c r="G325" s="173"/>
      <c r="H325" s="173"/>
      <c r="I325" s="173"/>
      <c r="J325" s="173"/>
      <c r="K325" s="173"/>
      <c r="L325" s="173"/>
      <c r="M325" s="173"/>
      <c r="N325" s="173"/>
      <c r="O325" s="173"/>
      <c r="P325" s="173"/>
      <c r="Q325" s="173"/>
      <c r="R325" s="173"/>
      <c r="S325" s="173"/>
      <c r="T325" s="173"/>
      <c r="U325" s="173"/>
      <c r="V325" s="173"/>
      <c r="W325" s="173"/>
      <c r="X325" s="173"/>
      <c r="Y325" s="173"/>
      <c r="Z325" s="173"/>
    </row>
    <row r="326">
      <c r="A326" s="173"/>
      <c r="B326" s="173"/>
      <c r="C326" s="173"/>
      <c r="D326" s="173"/>
      <c r="E326" s="173"/>
      <c r="F326" s="173"/>
      <c r="G326" s="173"/>
      <c r="H326" s="173"/>
      <c r="I326" s="173"/>
      <c r="J326" s="173"/>
      <c r="K326" s="173"/>
      <c r="L326" s="173"/>
      <c r="M326" s="173"/>
      <c r="N326" s="173"/>
      <c r="O326" s="173"/>
      <c r="P326" s="173"/>
      <c r="Q326" s="173"/>
      <c r="R326" s="173"/>
      <c r="S326" s="173"/>
      <c r="T326" s="173"/>
      <c r="U326" s="173"/>
      <c r="V326" s="173"/>
      <c r="W326" s="173"/>
      <c r="X326" s="173"/>
      <c r="Y326" s="173"/>
      <c r="Z326" s="173"/>
    </row>
    <row r="327">
      <c r="A327" s="173"/>
      <c r="B327" s="173"/>
      <c r="C327" s="173"/>
      <c r="D327" s="173"/>
      <c r="E327" s="173"/>
      <c r="F327" s="173"/>
      <c r="G327" s="173"/>
      <c r="H327" s="173"/>
      <c r="I327" s="173"/>
      <c r="J327" s="173"/>
      <c r="K327" s="173"/>
      <c r="L327" s="173"/>
      <c r="M327" s="173"/>
      <c r="N327" s="173"/>
      <c r="O327" s="173"/>
      <c r="P327" s="173"/>
      <c r="Q327" s="173"/>
      <c r="R327" s="173"/>
      <c r="S327" s="173"/>
      <c r="T327" s="173"/>
      <c r="U327" s="173"/>
      <c r="V327" s="173"/>
      <c r="W327" s="173"/>
      <c r="X327" s="173"/>
      <c r="Y327" s="173"/>
      <c r="Z327" s="173"/>
    </row>
    <row r="328">
      <c r="A328" s="173"/>
      <c r="B328" s="173"/>
      <c r="C328" s="173"/>
      <c r="D328" s="173"/>
      <c r="E328" s="173"/>
      <c r="F328" s="173"/>
      <c r="G328" s="173"/>
      <c r="H328" s="173"/>
      <c r="I328" s="173"/>
      <c r="J328" s="173"/>
      <c r="K328" s="173"/>
      <c r="L328" s="173"/>
      <c r="M328" s="173"/>
      <c r="N328" s="173"/>
      <c r="O328" s="173"/>
      <c r="P328" s="173"/>
      <c r="Q328" s="173"/>
      <c r="R328" s="173"/>
      <c r="S328" s="173"/>
      <c r="T328" s="173"/>
      <c r="U328" s="173"/>
      <c r="V328" s="173"/>
      <c r="W328" s="173"/>
      <c r="X328" s="173"/>
      <c r="Y328" s="173"/>
      <c r="Z328" s="173"/>
    </row>
    <row r="329">
      <c r="A329" s="173"/>
      <c r="B329" s="173"/>
      <c r="C329" s="173"/>
      <c r="D329" s="173"/>
      <c r="E329" s="173"/>
      <c r="F329" s="173"/>
      <c r="G329" s="173"/>
      <c r="H329" s="173"/>
      <c r="I329" s="173"/>
      <c r="J329" s="173"/>
      <c r="K329" s="173"/>
      <c r="L329" s="173"/>
      <c r="M329" s="173"/>
      <c r="N329" s="173"/>
      <c r="O329" s="173"/>
      <c r="P329" s="173"/>
      <c r="Q329" s="173"/>
      <c r="R329" s="173"/>
      <c r="S329" s="173"/>
      <c r="T329" s="173"/>
      <c r="U329" s="173"/>
      <c r="V329" s="173"/>
      <c r="W329" s="173"/>
      <c r="X329" s="173"/>
      <c r="Y329" s="173"/>
      <c r="Z329" s="173"/>
    </row>
    <row r="330">
      <c r="A330" s="173"/>
      <c r="B330" s="173"/>
      <c r="C330" s="173"/>
      <c r="D330" s="173"/>
      <c r="E330" s="173"/>
      <c r="F330" s="173"/>
      <c r="G330" s="173"/>
      <c r="H330" s="173"/>
      <c r="I330" s="173"/>
      <c r="J330" s="173"/>
      <c r="K330" s="173"/>
      <c r="L330" s="173"/>
      <c r="M330" s="173"/>
      <c r="N330" s="173"/>
      <c r="O330" s="173"/>
      <c r="P330" s="173"/>
      <c r="Q330" s="173"/>
      <c r="R330" s="173"/>
      <c r="S330" s="173"/>
      <c r="T330" s="173"/>
      <c r="U330" s="173"/>
      <c r="V330" s="173"/>
      <c r="W330" s="173"/>
      <c r="X330" s="173"/>
      <c r="Y330" s="173"/>
      <c r="Z330" s="173"/>
    </row>
    <row r="331">
      <c r="A331" s="173"/>
      <c r="B331" s="173"/>
      <c r="C331" s="173"/>
      <c r="D331" s="173"/>
      <c r="E331" s="173"/>
      <c r="F331" s="173"/>
      <c r="G331" s="173"/>
      <c r="H331" s="173"/>
      <c r="I331" s="173"/>
      <c r="J331" s="173"/>
      <c r="K331" s="173"/>
      <c r="L331" s="173"/>
      <c r="M331" s="173"/>
      <c r="N331" s="173"/>
      <c r="O331" s="173"/>
      <c r="P331" s="173"/>
      <c r="Q331" s="173"/>
      <c r="R331" s="173"/>
      <c r="S331" s="173"/>
      <c r="T331" s="173"/>
      <c r="U331" s="173"/>
      <c r="V331" s="173"/>
      <c r="W331" s="173"/>
      <c r="X331" s="173"/>
      <c r="Y331" s="173"/>
      <c r="Z331" s="173"/>
    </row>
    <row r="332">
      <c r="A332" s="173"/>
      <c r="B332" s="173"/>
      <c r="C332" s="173"/>
      <c r="D332" s="173"/>
      <c r="E332" s="173"/>
      <c r="F332" s="173"/>
      <c r="G332" s="173"/>
      <c r="H332" s="173"/>
      <c r="I332" s="173"/>
      <c r="J332" s="173"/>
      <c r="K332" s="173"/>
      <c r="L332" s="173"/>
      <c r="M332" s="173"/>
      <c r="N332" s="173"/>
      <c r="O332" s="173"/>
      <c r="P332" s="173"/>
      <c r="Q332" s="173"/>
      <c r="R332" s="173"/>
      <c r="S332" s="173"/>
      <c r="T332" s="173"/>
      <c r="U332" s="173"/>
      <c r="V332" s="173"/>
      <c r="W332" s="173"/>
      <c r="X332" s="173"/>
      <c r="Y332" s="173"/>
      <c r="Z332" s="173"/>
    </row>
    <row r="333">
      <c r="A333" s="173"/>
      <c r="B333" s="173"/>
      <c r="C333" s="173"/>
      <c r="D333" s="173"/>
      <c r="E333" s="173"/>
      <c r="F333" s="173"/>
      <c r="G333" s="173"/>
      <c r="H333" s="173"/>
      <c r="I333" s="173"/>
      <c r="J333" s="173"/>
      <c r="K333" s="173"/>
      <c r="L333" s="173"/>
      <c r="M333" s="173"/>
      <c r="N333" s="173"/>
      <c r="O333" s="173"/>
      <c r="P333" s="173"/>
      <c r="Q333" s="173"/>
      <c r="R333" s="173"/>
      <c r="S333" s="173"/>
      <c r="T333" s="173"/>
      <c r="U333" s="173"/>
      <c r="V333" s="173"/>
      <c r="W333" s="173"/>
      <c r="X333" s="173"/>
      <c r="Y333" s="173"/>
      <c r="Z333" s="173"/>
    </row>
    <row r="334">
      <c r="A334" s="173"/>
      <c r="B334" s="173"/>
      <c r="C334" s="173"/>
      <c r="D334" s="173"/>
      <c r="E334" s="173"/>
      <c r="F334" s="173"/>
      <c r="G334" s="173"/>
      <c r="H334" s="173"/>
      <c r="I334" s="173"/>
      <c r="J334" s="173"/>
      <c r="K334" s="173"/>
      <c r="L334" s="173"/>
      <c r="M334" s="173"/>
      <c r="N334" s="173"/>
      <c r="O334" s="173"/>
      <c r="P334" s="173"/>
      <c r="Q334" s="173"/>
      <c r="R334" s="173"/>
      <c r="S334" s="173"/>
      <c r="T334" s="173"/>
      <c r="U334" s="173"/>
      <c r="V334" s="173"/>
      <c r="W334" s="173"/>
      <c r="X334" s="173"/>
      <c r="Y334" s="173"/>
      <c r="Z334" s="173"/>
    </row>
    <row r="335">
      <c r="A335" s="173"/>
      <c r="B335" s="173"/>
      <c r="C335" s="173"/>
      <c r="D335" s="173"/>
      <c r="E335" s="173"/>
      <c r="F335" s="173"/>
      <c r="G335" s="173"/>
      <c r="H335" s="173"/>
      <c r="I335" s="173"/>
      <c r="J335" s="173"/>
      <c r="K335" s="173"/>
      <c r="L335" s="173"/>
      <c r="M335" s="173"/>
      <c r="N335" s="173"/>
      <c r="O335" s="173"/>
      <c r="P335" s="173"/>
      <c r="Q335" s="173"/>
      <c r="R335" s="173"/>
      <c r="S335" s="173"/>
      <c r="T335" s="173"/>
      <c r="U335" s="173"/>
      <c r="V335" s="173"/>
      <c r="W335" s="173"/>
      <c r="X335" s="173"/>
      <c r="Y335" s="173"/>
      <c r="Z335" s="173"/>
    </row>
    <row r="336">
      <c r="A336" s="173"/>
      <c r="B336" s="173"/>
      <c r="C336" s="173"/>
      <c r="D336" s="173"/>
      <c r="E336" s="173"/>
      <c r="F336" s="173"/>
      <c r="G336" s="173"/>
      <c r="H336" s="173"/>
      <c r="I336" s="173"/>
      <c r="J336" s="173"/>
      <c r="K336" s="173"/>
      <c r="L336" s="173"/>
      <c r="M336" s="173"/>
      <c r="N336" s="173"/>
      <c r="O336" s="173"/>
      <c r="P336" s="173"/>
      <c r="Q336" s="173"/>
      <c r="R336" s="173"/>
      <c r="S336" s="173"/>
      <c r="T336" s="173"/>
      <c r="U336" s="173"/>
      <c r="V336" s="173"/>
      <c r="W336" s="173"/>
      <c r="X336" s="173"/>
      <c r="Y336" s="173"/>
      <c r="Z336" s="173"/>
    </row>
    <row r="337">
      <c r="A337" s="173"/>
      <c r="B337" s="173"/>
      <c r="C337" s="173"/>
      <c r="D337" s="173"/>
      <c r="E337" s="173"/>
      <c r="F337" s="173"/>
      <c r="G337" s="173"/>
      <c r="H337" s="173"/>
      <c r="I337" s="173"/>
      <c r="J337" s="173"/>
      <c r="K337" s="173"/>
      <c r="L337" s="173"/>
      <c r="M337" s="173"/>
      <c r="N337" s="173"/>
      <c r="O337" s="173"/>
      <c r="P337" s="173"/>
      <c r="Q337" s="173"/>
      <c r="R337" s="173"/>
      <c r="S337" s="173"/>
      <c r="T337" s="173"/>
      <c r="U337" s="173"/>
      <c r="V337" s="173"/>
      <c r="W337" s="173"/>
      <c r="X337" s="173"/>
      <c r="Y337" s="173"/>
      <c r="Z337" s="173"/>
    </row>
    <row r="338">
      <c r="A338" s="173"/>
      <c r="B338" s="173"/>
      <c r="C338" s="173"/>
      <c r="D338" s="173"/>
      <c r="E338" s="173"/>
      <c r="F338" s="173"/>
      <c r="G338" s="173"/>
      <c r="H338" s="173"/>
      <c r="I338" s="173"/>
      <c r="J338" s="173"/>
      <c r="K338" s="173"/>
      <c r="L338" s="173"/>
      <c r="M338" s="173"/>
      <c r="N338" s="173"/>
      <c r="O338" s="173"/>
      <c r="P338" s="173"/>
      <c r="Q338" s="173"/>
      <c r="R338" s="173"/>
      <c r="S338" s="173"/>
      <c r="T338" s="173"/>
      <c r="U338" s="173"/>
      <c r="V338" s="173"/>
      <c r="W338" s="173"/>
      <c r="X338" s="173"/>
      <c r="Y338" s="173"/>
      <c r="Z338" s="173"/>
    </row>
    <row r="339">
      <c r="A339" s="173"/>
      <c r="B339" s="173"/>
      <c r="C339" s="173"/>
      <c r="D339" s="173"/>
      <c r="E339" s="173"/>
      <c r="F339" s="173"/>
      <c r="G339" s="173"/>
      <c r="H339" s="173"/>
      <c r="I339" s="173"/>
      <c r="J339" s="173"/>
      <c r="K339" s="173"/>
      <c r="L339" s="173"/>
      <c r="M339" s="173"/>
      <c r="N339" s="173"/>
      <c r="O339" s="173"/>
      <c r="P339" s="173"/>
      <c r="Q339" s="173"/>
      <c r="R339" s="173"/>
      <c r="S339" s="173"/>
      <c r="T339" s="173"/>
      <c r="U339" s="173"/>
      <c r="V339" s="173"/>
      <c r="W339" s="173"/>
      <c r="X339" s="173"/>
      <c r="Y339" s="173"/>
      <c r="Z339" s="173"/>
    </row>
    <row r="340">
      <c r="A340" s="173"/>
      <c r="B340" s="173"/>
      <c r="C340" s="173"/>
      <c r="D340" s="173"/>
      <c r="E340" s="173"/>
      <c r="F340" s="173"/>
      <c r="G340" s="173"/>
      <c r="H340" s="173"/>
      <c r="I340" s="173"/>
      <c r="J340" s="173"/>
      <c r="K340" s="173"/>
      <c r="L340" s="173"/>
      <c r="M340" s="173"/>
      <c r="N340" s="173"/>
      <c r="O340" s="173"/>
      <c r="P340" s="173"/>
      <c r="Q340" s="173"/>
      <c r="R340" s="173"/>
      <c r="S340" s="173"/>
      <c r="T340" s="173"/>
      <c r="U340" s="173"/>
      <c r="V340" s="173"/>
      <c r="W340" s="173"/>
      <c r="X340" s="173"/>
      <c r="Y340" s="173"/>
      <c r="Z340" s="173"/>
    </row>
    <row r="341">
      <c r="A341" s="173"/>
      <c r="B341" s="173"/>
      <c r="C341" s="173"/>
      <c r="D341" s="173"/>
      <c r="E341" s="173"/>
      <c r="F341" s="173"/>
      <c r="G341" s="173"/>
      <c r="H341" s="173"/>
      <c r="I341" s="173"/>
      <c r="J341" s="173"/>
      <c r="K341" s="173"/>
      <c r="L341" s="173"/>
      <c r="M341" s="173"/>
      <c r="N341" s="173"/>
      <c r="O341" s="173"/>
      <c r="P341" s="173"/>
      <c r="Q341" s="173"/>
      <c r="R341" s="173"/>
      <c r="S341" s="173"/>
      <c r="T341" s="173"/>
      <c r="U341" s="173"/>
      <c r="V341" s="173"/>
      <c r="W341" s="173"/>
      <c r="X341" s="173"/>
      <c r="Y341" s="173"/>
      <c r="Z341" s="173"/>
    </row>
    <row r="342">
      <c r="A342" s="173"/>
      <c r="B342" s="173"/>
      <c r="C342" s="173"/>
      <c r="D342" s="173"/>
      <c r="E342" s="173"/>
      <c r="F342" s="173"/>
      <c r="G342" s="173"/>
      <c r="H342" s="173"/>
      <c r="I342" s="173"/>
      <c r="J342" s="173"/>
      <c r="K342" s="173"/>
      <c r="L342" s="173"/>
      <c r="M342" s="173"/>
      <c r="N342" s="173"/>
      <c r="O342" s="173"/>
      <c r="P342" s="173"/>
      <c r="Q342" s="173"/>
      <c r="R342" s="173"/>
      <c r="S342" s="173"/>
      <c r="T342" s="173"/>
      <c r="U342" s="173"/>
      <c r="V342" s="173"/>
      <c r="W342" s="173"/>
      <c r="X342" s="173"/>
      <c r="Y342" s="173"/>
      <c r="Z342" s="173"/>
    </row>
    <row r="343">
      <c r="A343" s="173"/>
      <c r="B343" s="173"/>
      <c r="C343" s="173"/>
      <c r="D343" s="173"/>
      <c r="E343" s="173"/>
      <c r="F343" s="173"/>
      <c r="G343" s="173"/>
      <c r="H343" s="173"/>
      <c r="I343" s="173"/>
      <c r="J343" s="173"/>
      <c r="K343" s="173"/>
      <c r="L343" s="173"/>
      <c r="M343" s="173"/>
      <c r="N343" s="173"/>
      <c r="O343" s="173"/>
      <c r="P343" s="173"/>
      <c r="Q343" s="173"/>
      <c r="R343" s="173"/>
      <c r="S343" s="173"/>
      <c r="T343" s="173"/>
      <c r="U343" s="173"/>
      <c r="V343" s="173"/>
      <c r="W343" s="173"/>
      <c r="X343" s="173"/>
      <c r="Y343" s="173"/>
      <c r="Z343" s="173"/>
    </row>
    <row r="344">
      <c r="A344" s="173"/>
      <c r="B344" s="173"/>
      <c r="C344" s="173"/>
      <c r="D344" s="173"/>
      <c r="E344" s="173"/>
      <c r="F344" s="173"/>
      <c r="G344" s="173"/>
      <c r="H344" s="173"/>
      <c r="I344" s="173"/>
      <c r="J344" s="173"/>
      <c r="K344" s="173"/>
      <c r="L344" s="173"/>
      <c r="M344" s="173"/>
      <c r="N344" s="173"/>
      <c r="O344" s="173"/>
      <c r="P344" s="173"/>
      <c r="Q344" s="173"/>
      <c r="R344" s="173"/>
      <c r="S344" s="173"/>
      <c r="T344" s="173"/>
      <c r="U344" s="173"/>
      <c r="V344" s="173"/>
      <c r="W344" s="173"/>
      <c r="X344" s="173"/>
      <c r="Y344" s="173"/>
      <c r="Z344" s="173"/>
    </row>
    <row r="345">
      <c r="A345" s="173"/>
      <c r="B345" s="173"/>
      <c r="C345" s="173"/>
      <c r="D345" s="173"/>
      <c r="E345" s="173"/>
      <c r="F345" s="173"/>
      <c r="G345" s="173"/>
      <c r="H345" s="173"/>
      <c r="I345" s="173"/>
      <c r="J345" s="173"/>
      <c r="K345" s="173"/>
      <c r="L345" s="173"/>
      <c r="M345" s="173"/>
      <c r="N345" s="173"/>
      <c r="O345" s="173"/>
      <c r="P345" s="173"/>
      <c r="Q345" s="173"/>
      <c r="R345" s="173"/>
      <c r="S345" s="173"/>
      <c r="T345" s="173"/>
      <c r="U345" s="173"/>
      <c r="V345" s="173"/>
      <c r="W345" s="173"/>
      <c r="X345" s="173"/>
      <c r="Y345" s="173"/>
      <c r="Z345" s="173"/>
    </row>
    <row r="346">
      <c r="A346" s="173"/>
      <c r="B346" s="173"/>
      <c r="C346" s="173"/>
      <c r="D346" s="173"/>
      <c r="E346" s="173"/>
      <c r="F346" s="173"/>
      <c r="G346" s="173"/>
      <c r="H346" s="173"/>
      <c r="I346" s="173"/>
      <c r="J346" s="173"/>
      <c r="K346" s="173"/>
      <c r="L346" s="173"/>
      <c r="M346" s="173"/>
      <c r="N346" s="173"/>
      <c r="O346" s="173"/>
      <c r="P346" s="173"/>
      <c r="Q346" s="173"/>
      <c r="R346" s="173"/>
      <c r="S346" s="173"/>
      <c r="T346" s="173"/>
      <c r="U346" s="173"/>
      <c r="V346" s="173"/>
      <c r="W346" s="173"/>
      <c r="X346" s="173"/>
      <c r="Y346" s="173"/>
      <c r="Z346" s="173"/>
    </row>
    <row r="347">
      <c r="A347" s="173"/>
      <c r="B347" s="173"/>
      <c r="C347" s="173"/>
      <c r="D347" s="173"/>
      <c r="E347" s="173"/>
      <c r="F347" s="173"/>
      <c r="G347" s="173"/>
      <c r="H347" s="173"/>
      <c r="I347" s="173"/>
      <c r="J347" s="173"/>
      <c r="K347" s="173"/>
      <c r="L347" s="173"/>
      <c r="M347" s="173"/>
      <c r="N347" s="173"/>
      <c r="O347" s="173"/>
      <c r="P347" s="173"/>
      <c r="Q347" s="173"/>
      <c r="R347" s="173"/>
      <c r="S347" s="173"/>
      <c r="T347" s="173"/>
      <c r="U347" s="173"/>
      <c r="V347" s="173"/>
      <c r="W347" s="173"/>
      <c r="X347" s="173"/>
      <c r="Y347" s="173"/>
      <c r="Z347" s="173"/>
    </row>
    <row r="348">
      <c r="A348" s="173"/>
      <c r="B348" s="173"/>
      <c r="C348" s="173"/>
      <c r="D348" s="173"/>
      <c r="E348" s="173"/>
      <c r="F348" s="173"/>
      <c r="G348" s="173"/>
      <c r="H348" s="173"/>
      <c r="I348" s="173"/>
      <c r="J348" s="173"/>
      <c r="K348" s="173"/>
      <c r="L348" s="173"/>
      <c r="M348" s="173"/>
      <c r="N348" s="173"/>
      <c r="O348" s="173"/>
      <c r="P348" s="173"/>
      <c r="Q348" s="173"/>
      <c r="R348" s="173"/>
      <c r="S348" s="173"/>
      <c r="T348" s="173"/>
      <c r="U348" s="173"/>
      <c r="V348" s="173"/>
      <c r="W348" s="173"/>
      <c r="X348" s="173"/>
      <c r="Y348" s="173"/>
      <c r="Z348" s="173"/>
    </row>
    <row r="349">
      <c r="A349" s="173"/>
      <c r="B349" s="173"/>
      <c r="C349" s="173"/>
      <c r="D349" s="173"/>
      <c r="E349" s="173"/>
      <c r="F349" s="173"/>
      <c r="G349" s="173"/>
      <c r="H349" s="173"/>
      <c r="I349" s="173"/>
      <c r="J349" s="173"/>
      <c r="K349" s="173"/>
      <c r="L349" s="173"/>
      <c r="M349" s="173"/>
      <c r="N349" s="173"/>
      <c r="O349" s="173"/>
      <c r="P349" s="173"/>
      <c r="Q349" s="173"/>
      <c r="R349" s="173"/>
      <c r="S349" s="173"/>
      <c r="T349" s="173"/>
      <c r="U349" s="173"/>
      <c r="V349" s="173"/>
      <c r="W349" s="173"/>
      <c r="X349" s="173"/>
      <c r="Y349" s="173"/>
      <c r="Z349" s="173"/>
    </row>
    <row r="350">
      <c r="A350" s="173"/>
      <c r="B350" s="173"/>
      <c r="C350" s="173"/>
      <c r="D350" s="173"/>
      <c r="E350" s="173"/>
      <c r="F350" s="173"/>
      <c r="G350" s="173"/>
      <c r="H350" s="173"/>
      <c r="I350" s="173"/>
      <c r="J350" s="173"/>
      <c r="K350" s="173"/>
      <c r="L350" s="173"/>
      <c r="M350" s="173"/>
      <c r="N350" s="173"/>
      <c r="O350" s="173"/>
      <c r="P350" s="173"/>
      <c r="Q350" s="173"/>
      <c r="R350" s="173"/>
      <c r="S350" s="173"/>
      <c r="T350" s="173"/>
      <c r="U350" s="173"/>
      <c r="V350" s="173"/>
      <c r="W350" s="173"/>
      <c r="X350" s="173"/>
      <c r="Y350" s="173"/>
      <c r="Z350" s="173"/>
    </row>
    <row r="351">
      <c r="A351" s="173"/>
      <c r="B351" s="173"/>
      <c r="C351" s="173"/>
      <c r="D351" s="173"/>
      <c r="E351" s="173"/>
      <c r="F351" s="173"/>
      <c r="G351" s="173"/>
      <c r="H351" s="173"/>
      <c r="I351" s="173"/>
      <c r="J351" s="173"/>
      <c r="K351" s="173"/>
      <c r="L351" s="173"/>
      <c r="M351" s="173"/>
      <c r="N351" s="173"/>
      <c r="O351" s="173"/>
      <c r="P351" s="173"/>
      <c r="Q351" s="173"/>
      <c r="R351" s="173"/>
      <c r="S351" s="173"/>
      <c r="T351" s="173"/>
      <c r="U351" s="173"/>
      <c r="V351" s="173"/>
      <c r="W351" s="173"/>
      <c r="X351" s="173"/>
      <c r="Y351" s="173"/>
      <c r="Z351" s="173"/>
    </row>
    <row r="352">
      <c r="A352" s="173"/>
      <c r="B352" s="173"/>
      <c r="C352" s="173"/>
      <c r="D352" s="173"/>
      <c r="E352" s="173"/>
      <c r="F352" s="173"/>
      <c r="G352" s="173"/>
      <c r="H352" s="173"/>
      <c r="I352" s="173"/>
      <c r="J352" s="173"/>
      <c r="K352" s="173"/>
      <c r="L352" s="173"/>
      <c r="M352" s="173"/>
      <c r="N352" s="173"/>
      <c r="O352" s="173"/>
      <c r="P352" s="173"/>
      <c r="Q352" s="173"/>
      <c r="R352" s="173"/>
      <c r="S352" s="173"/>
      <c r="T352" s="173"/>
      <c r="U352" s="173"/>
      <c r="V352" s="173"/>
      <c r="W352" s="173"/>
      <c r="X352" s="173"/>
      <c r="Y352" s="173"/>
      <c r="Z352" s="173"/>
    </row>
    <row r="353">
      <c r="A353" s="173"/>
      <c r="B353" s="173"/>
      <c r="C353" s="173"/>
      <c r="D353" s="173"/>
      <c r="E353" s="173"/>
      <c r="F353" s="173"/>
      <c r="G353" s="173"/>
      <c r="H353" s="173"/>
      <c r="I353" s="173"/>
      <c r="J353" s="173"/>
      <c r="K353" s="173"/>
      <c r="L353" s="173"/>
      <c r="M353" s="173"/>
      <c r="N353" s="173"/>
      <c r="O353" s="173"/>
      <c r="P353" s="173"/>
      <c r="Q353" s="173"/>
      <c r="R353" s="173"/>
      <c r="S353" s="173"/>
      <c r="T353" s="173"/>
      <c r="U353" s="173"/>
      <c r="V353" s="173"/>
      <c r="W353" s="173"/>
      <c r="X353" s="173"/>
      <c r="Y353" s="173"/>
      <c r="Z353" s="173"/>
    </row>
    <row r="354">
      <c r="A354" s="173"/>
      <c r="B354" s="173"/>
      <c r="C354" s="173"/>
      <c r="D354" s="173"/>
      <c r="E354" s="173"/>
      <c r="F354" s="173"/>
      <c r="G354" s="173"/>
      <c r="H354" s="173"/>
      <c r="I354" s="173"/>
      <c r="J354" s="173"/>
      <c r="K354" s="173"/>
      <c r="L354" s="173"/>
      <c r="M354" s="173"/>
      <c r="N354" s="173"/>
      <c r="O354" s="173"/>
      <c r="P354" s="173"/>
      <c r="Q354" s="173"/>
      <c r="R354" s="173"/>
      <c r="S354" s="173"/>
      <c r="T354" s="173"/>
      <c r="U354" s="173"/>
      <c r="V354" s="173"/>
      <c r="W354" s="173"/>
      <c r="X354" s="173"/>
      <c r="Y354" s="173"/>
      <c r="Z354" s="173"/>
    </row>
    <row r="355">
      <c r="A355" s="173"/>
      <c r="B355" s="173"/>
      <c r="C355" s="173"/>
      <c r="D355" s="173"/>
      <c r="E355" s="173"/>
      <c r="F355" s="173"/>
      <c r="G355" s="173"/>
      <c r="H355" s="173"/>
      <c r="I355" s="173"/>
      <c r="J355" s="173"/>
      <c r="K355" s="173"/>
      <c r="L355" s="173"/>
      <c r="M355" s="173"/>
      <c r="N355" s="173"/>
      <c r="O355" s="173"/>
      <c r="P355" s="173"/>
      <c r="Q355" s="173"/>
      <c r="R355" s="173"/>
      <c r="S355" s="173"/>
      <c r="T355" s="173"/>
      <c r="U355" s="173"/>
      <c r="V355" s="173"/>
      <c r="W355" s="173"/>
      <c r="X355" s="173"/>
      <c r="Y355" s="173"/>
      <c r="Z355" s="173"/>
    </row>
    <row r="356">
      <c r="A356" s="173"/>
      <c r="B356" s="173"/>
      <c r="C356" s="173"/>
      <c r="D356" s="173"/>
      <c r="E356" s="173"/>
      <c r="F356" s="173"/>
      <c r="G356" s="173"/>
      <c r="H356" s="173"/>
      <c r="I356" s="173"/>
      <c r="J356" s="173"/>
      <c r="K356" s="173"/>
      <c r="L356" s="173"/>
      <c r="M356" s="173"/>
      <c r="N356" s="173"/>
      <c r="O356" s="173"/>
      <c r="P356" s="173"/>
      <c r="Q356" s="173"/>
      <c r="R356" s="173"/>
      <c r="S356" s="173"/>
      <c r="T356" s="173"/>
      <c r="U356" s="173"/>
      <c r="V356" s="173"/>
      <c r="W356" s="173"/>
      <c r="X356" s="173"/>
      <c r="Y356" s="173"/>
      <c r="Z356" s="173"/>
    </row>
    <row r="357">
      <c r="A357" s="173"/>
      <c r="B357" s="173"/>
      <c r="C357" s="173"/>
      <c r="D357" s="173"/>
      <c r="E357" s="173"/>
      <c r="F357" s="173"/>
      <c r="G357" s="173"/>
      <c r="H357" s="173"/>
      <c r="I357" s="173"/>
      <c r="J357" s="173"/>
      <c r="K357" s="173"/>
      <c r="L357" s="173"/>
      <c r="M357" s="173"/>
      <c r="N357" s="173"/>
      <c r="O357" s="173"/>
      <c r="P357" s="173"/>
      <c r="Q357" s="173"/>
      <c r="R357" s="173"/>
      <c r="S357" s="173"/>
      <c r="T357" s="173"/>
      <c r="U357" s="173"/>
      <c r="V357" s="173"/>
      <c r="W357" s="173"/>
      <c r="X357" s="173"/>
      <c r="Y357" s="173"/>
      <c r="Z357" s="173"/>
    </row>
    <row r="358">
      <c r="A358" s="173"/>
      <c r="B358" s="173"/>
      <c r="C358" s="173"/>
      <c r="D358" s="173"/>
      <c r="E358" s="173"/>
      <c r="F358" s="173"/>
      <c r="G358" s="173"/>
      <c r="H358" s="173"/>
      <c r="I358" s="173"/>
      <c r="J358" s="173"/>
      <c r="K358" s="173"/>
      <c r="L358" s="173"/>
      <c r="M358" s="173"/>
      <c r="N358" s="173"/>
      <c r="O358" s="173"/>
      <c r="P358" s="173"/>
      <c r="Q358" s="173"/>
      <c r="R358" s="173"/>
      <c r="S358" s="173"/>
      <c r="T358" s="173"/>
      <c r="U358" s="173"/>
      <c r="V358" s="173"/>
      <c r="W358" s="173"/>
      <c r="X358" s="173"/>
      <c r="Y358" s="173"/>
      <c r="Z358" s="173"/>
    </row>
    <row r="359">
      <c r="A359" s="173"/>
      <c r="B359" s="173"/>
      <c r="C359" s="173"/>
      <c r="D359" s="173"/>
      <c r="E359" s="173"/>
      <c r="F359" s="173"/>
      <c r="G359" s="173"/>
      <c r="H359" s="173"/>
      <c r="I359" s="173"/>
      <c r="J359" s="173"/>
      <c r="K359" s="173"/>
      <c r="L359" s="173"/>
      <c r="M359" s="173"/>
      <c r="N359" s="173"/>
      <c r="O359" s="173"/>
      <c r="P359" s="173"/>
      <c r="Q359" s="173"/>
      <c r="R359" s="173"/>
      <c r="S359" s="173"/>
      <c r="T359" s="173"/>
      <c r="U359" s="173"/>
      <c r="V359" s="173"/>
      <c r="W359" s="173"/>
      <c r="X359" s="173"/>
      <c r="Y359" s="173"/>
      <c r="Z359" s="173"/>
    </row>
    <row r="360">
      <c r="A360" s="173"/>
      <c r="B360" s="173"/>
      <c r="C360" s="173"/>
      <c r="D360" s="173"/>
      <c r="E360" s="173"/>
      <c r="F360" s="173"/>
      <c r="G360" s="173"/>
      <c r="H360" s="173"/>
      <c r="I360" s="173"/>
      <c r="J360" s="173"/>
      <c r="K360" s="173"/>
      <c r="L360" s="173"/>
      <c r="M360" s="173"/>
      <c r="N360" s="173"/>
      <c r="O360" s="173"/>
      <c r="P360" s="173"/>
      <c r="Q360" s="173"/>
      <c r="R360" s="173"/>
      <c r="S360" s="173"/>
      <c r="T360" s="173"/>
      <c r="U360" s="173"/>
      <c r="V360" s="173"/>
      <c r="W360" s="173"/>
      <c r="X360" s="173"/>
      <c r="Y360" s="173"/>
      <c r="Z360" s="173"/>
    </row>
    <row r="361">
      <c r="A361" s="173"/>
      <c r="B361" s="173"/>
      <c r="C361" s="173"/>
      <c r="D361" s="173"/>
      <c r="E361" s="173"/>
      <c r="F361" s="173"/>
      <c r="G361" s="173"/>
      <c r="H361" s="173"/>
      <c r="I361" s="173"/>
      <c r="J361" s="173"/>
      <c r="K361" s="173"/>
      <c r="L361" s="173"/>
      <c r="M361" s="173"/>
      <c r="N361" s="173"/>
      <c r="O361" s="173"/>
      <c r="P361" s="173"/>
      <c r="Q361" s="173"/>
      <c r="R361" s="173"/>
      <c r="S361" s="173"/>
      <c r="T361" s="173"/>
      <c r="U361" s="173"/>
      <c r="V361" s="173"/>
      <c r="W361" s="173"/>
      <c r="X361" s="173"/>
      <c r="Y361" s="173"/>
      <c r="Z361" s="173"/>
    </row>
    <row r="362">
      <c r="A362" s="173"/>
      <c r="B362" s="173"/>
      <c r="C362" s="173"/>
      <c r="D362" s="173"/>
      <c r="E362" s="173"/>
      <c r="F362" s="173"/>
      <c r="G362" s="173"/>
      <c r="H362" s="173"/>
      <c r="I362" s="173"/>
      <c r="J362" s="173"/>
      <c r="K362" s="173"/>
      <c r="L362" s="173"/>
      <c r="M362" s="173"/>
      <c r="N362" s="173"/>
      <c r="O362" s="173"/>
      <c r="P362" s="173"/>
      <c r="Q362" s="173"/>
      <c r="R362" s="173"/>
      <c r="S362" s="173"/>
      <c r="T362" s="173"/>
      <c r="U362" s="173"/>
      <c r="V362" s="173"/>
      <c r="W362" s="173"/>
      <c r="X362" s="173"/>
      <c r="Y362" s="173"/>
      <c r="Z362" s="173"/>
    </row>
    <row r="363">
      <c r="A363" s="173"/>
      <c r="B363" s="173"/>
      <c r="C363" s="173"/>
      <c r="D363" s="173"/>
      <c r="E363" s="173"/>
      <c r="F363" s="173"/>
      <c r="G363" s="173"/>
      <c r="H363" s="173"/>
      <c r="I363" s="173"/>
      <c r="J363" s="173"/>
      <c r="K363" s="173"/>
      <c r="L363" s="173"/>
      <c r="M363" s="173"/>
      <c r="N363" s="173"/>
      <c r="O363" s="173"/>
      <c r="P363" s="173"/>
      <c r="Q363" s="173"/>
      <c r="R363" s="173"/>
      <c r="S363" s="173"/>
      <c r="T363" s="173"/>
      <c r="U363" s="173"/>
      <c r="V363" s="173"/>
      <c r="W363" s="173"/>
      <c r="X363" s="173"/>
      <c r="Y363" s="173"/>
      <c r="Z363" s="173"/>
    </row>
    <row r="364">
      <c r="A364" s="173"/>
      <c r="B364" s="173"/>
      <c r="C364" s="173"/>
      <c r="D364" s="173"/>
      <c r="E364" s="173"/>
      <c r="F364" s="173"/>
      <c r="G364" s="173"/>
      <c r="H364" s="173"/>
      <c r="I364" s="173"/>
      <c r="J364" s="173"/>
      <c r="K364" s="173"/>
      <c r="L364" s="173"/>
      <c r="M364" s="173"/>
      <c r="N364" s="173"/>
      <c r="O364" s="173"/>
      <c r="P364" s="173"/>
      <c r="Q364" s="173"/>
      <c r="R364" s="173"/>
      <c r="S364" s="173"/>
      <c r="T364" s="173"/>
      <c r="U364" s="173"/>
      <c r="V364" s="173"/>
      <c r="W364" s="173"/>
      <c r="X364" s="173"/>
      <c r="Y364" s="173"/>
      <c r="Z364" s="173"/>
    </row>
    <row r="365">
      <c r="A365" s="173"/>
      <c r="B365" s="173"/>
      <c r="C365" s="173"/>
      <c r="D365" s="173"/>
      <c r="E365" s="173"/>
      <c r="F365" s="173"/>
      <c r="G365" s="173"/>
      <c r="H365" s="173"/>
      <c r="I365" s="173"/>
      <c r="J365" s="173"/>
      <c r="K365" s="173"/>
      <c r="L365" s="173"/>
      <c r="M365" s="173"/>
      <c r="N365" s="173"/>
      <c r="O365" s="173"/>
      <c r="P365" s="173"/>
      <c r="Q365" s="173"/>
      <c r="R365" s="173"/>
      <c r="S365" s="173"/>
      <c r="T365" s="173"/>
      <c r="U365" s="173"/>
      <c r="V365" s="173"/>
      <c r="W365" s="173"/>
      <c r="X365" s="173"/>
      <c r="Y365" s="173"/>
      <c r="Z365" s="173"/>
    </row>
    <row r="366">
      <c r="A366" s="173"/>
      <c r="B366" s="173"/>
      <c r="C366" s="173"/>
      <c r="D366" s="173"/>
      <c r="E366" s="173"/>
      <c r="F366" s="173"/>
      <c r="G366" s="173"/>
      <c r="H366" s="173"/>
      <c r="I366" s="173"/>
      <c r="J366" s="173"/>
      <c r="K366" s="173"/>
      <c r="L366" s="173"/>
      <c r="M366" s="173"/>
      <c r="N366" s="173"/>
      <c r="O366" s="173"/>
      <c r="P366" s="173"/>
      <c r="Q366" s="173"/>
      <c r="R366" s="173"/>
      <c r="S366" s="173"/>
      <c r="T366" s="173"/>
      <c r="U366" s="173"/>
      <c r="V366" s="173"/>
      <c r="W366" s="173"/>
      <c r="X366" s="173"/>
      <c r="Y366" s="173"/>
      <c r="Z366" s="173"/>
    </row>
    <row r="367">
      <c r="A367" s="173"/>
      <c r="B367" s="173"/>
      <c r="C367" s="173"/>
      <c r="D367" s="173"/>
      <c r="E367" s="173"/>
      <c r="F367" s="173"/>
      <c r="G367" s="173"/>
      <c r="H367" s="173"/>
      <c r="I367" s="173"/>
      <c r="J367" s="173"/>
      <c r="K367" s="173"/>
      <c r="L367" s="173"/>
      <c r="M367" s="173"/>
      <c r="N367" s="173"/>
      <c r="O367" s="173"/>
      <c r="P367" s="173"/>
      <c r="Q367" s="173"/>
      <c r="R367" s="173"/>
      <c r="S367" s="173"/>
      <c r="T367" s="173"/>
      <c r="U367" s="173"/>
      <c r="V367" s="173"/>
      <c r="W367" s="173"/>
      <c r="X367" s="173"/>
      <c r="Y367" s="173"/>
      <c r="Z367" s="173"/>
    </row>
    <row r="368">
      <c r="A368" s="173"/>
      <c r="B368" s="173"/>
      <c r="C368" s="173"/>
      <c r="D368" s="173"/>
      <c r="E368" s="173"/>
      <c r="F368" s="173"/>
      <c r="G368" s="173"/>
      <c r="H368" s="173"/>
      <c r="I368" s="173"/>
      <c r="J368" s="173"/>
      <c r="K368" s="173"/>
      <c r="L368" s="173"/>
      <c r="M368" s="173"/>
      <c r="N368" s="173"/>
      <c r="O368" s="173"/>
      <c r="P368" s="173"/>
      <c r="Q368" s="173"/>
      <c r="R368" s="173"/>
      <c r="S368" s="173"/>
      <c r="T368" s="173"/>
      <c r="U368" s="173"/>
      <c r="V368" s="173"/>
      <c r="W368" s="173"/>
      <c r="X368" s="173"/>
      <c r="Y368" s="173"/>
      <c r="Z368" s="173"/>
    </row>
    <row r="369">
      <c r="A369" s="173"/>
      <c r="B369" s="173"/>
      <c r="C369" s="173"/>
      <c r="D369" s="173"/>
      <c r="E369" s="173"/>
      <c r="F369" s="173"/>
      <c r="G369" s="173"/>
      <c r="H369" s="173"/>
      <c r="I369" s="173"/>
      <c r="J369" s="173"/>
      <c r="K369" s="173"/>
      <c r="L369" s="173"/>
      <c r="M369" s="173"/>
      <c r="N369" s="173"/>
      <c r="O369" s="173"/>
      <c r="P369" s="173"/>
      <c r="Q369" s="173"/>
      <c r="R369" s="173"/>
      <c r="S369" s="173"/>
      <c r="T369" s="173"/>
      <c r="U369" s="173"/>
      <c r="V369" s="173"/>
      <c r="W369" s="173"/>
      <c r="X369" s="173"/>
      <c r="Y369" s="173"/>
      <c r="Z369" s="173"/>
    </row>
    <row r="370">
      <c r="A370" s="173"/>
      <c r="B370" s="173"/>
      <c r="C370" s="173"/>
      <c r="D370" s="173"/>
      <c r="E370" s="173"/>
      <c r="F370" s="173"/>
      <c r="G370" s="173"/>
      <c r="H370" s="173"/>
      <c r="I370" s="173"/>
      <c r="J370" s="173"/>
      <c r="K370" s="173"/>
      <c r="L370" s="173"/>
      <c r="M370" s="173"/>
      <c r="N370" s="173"/>
      <c r="O370" s="173"/>
      <c r="P370" s="173"/>
      <c r="Q370" s="173"/>
      <c r="R370" s="173"/>
      <c r="S370" s="173"/>
      <c r="T370" s="173"/>
      <c r="U370" s="173"/>
      <c r="V370" s="173"/>
      <c r="W370" s="173"/>
      <c r="X370" s="173"/>
      <c r="Y370" s="173"/>
      <c r="Z370" s="173"/>
    </row>
    <row r="371">
      <c r="A371" s="173"/>
      <c r="B371" s="173"/>
      <c r="C371" s="173"/>
      <c r="D371" s="173"/>
      <c r="E371" s="173"/>
      <c r="F371" s="173"/>
      <c r="G371" s="173"/>
      <c r="H371" s="173"/>
      <c r="I371" s="173"/>
      <c r="J371" s="173"/>
      <c r="K371" s="173"/>
      <c r="L371" s="173"/>
      <c r="M371" s="173"/>
      <c r="N371" s="173"/>
      <c r="O371" s="173"/>
      <c r="P371" s="173"/>
      <c r="Q371" s="173"/>
      <c r="R371" s="173"/>
      <c r="S371" s="173"/>
      <c r="T371" s="173"/>
      <c r="U371" s="173"/>
      <c r="V371" s="173"/>
      <c r="W371" s="173"/>
      <c r="X371" s="173"/>
      <c r="Y371" s="173"/>
      <c r="Z371" s="173"/>
    </row>
    <row r="372">
      <c r="A372" s="173"/>
      <c r="B372" s="173"/>
      <c r="C372" s="173"/>
      <c r="D372" s="173"/>
      <c r="E372" s="173"/>
      <c r="F372" s="173"/>
      <c r="G372" s="173"/>
      <c r="H372" s="173"/>
      <c r="I372" s="173"/>
      <c r="J372" s="173"/>
      <c r="K372" s="173"/>
      <c r="L372" s="173"/>
      <c r="M372" s="173"/>
      <c r="N372" s="173"/>
      <c r="O372" s="173"/>
      <c r="P372" s="173"/>
      <c r="Q372" s="173"/>
      <c r="R372" s="173"/>
      <c r="S372" s="173"/>
      <c r="T372" s="173"/>
      <c r="U372" s="173"/>
      <c r="V372" s="173"/>
      <c r="W372" s="173"/>
      <c r="X372" s="173"/>
      <c r="Y372" s="173"/>
      <c r="Z372" s="173"/>
    </row>
    <row r="373">
      <c r="A373" s="173"/>
      <c r="B373" s="173"/>
      <c r="C373" s="173"/>
      <c r="D373" s="173"/>
      <c r="E373" s="173"/>
      <c r="F373" s="173"/>
      <c r="G373" s="173"/>
      <c r="H373" s="173"/>
      <c r="I373" s="173"/>
      <c r="J373" s="173"/>
      <c r="K373" s="173"/>
      <c r="L373" s="173"/>
      <c r="M373" s="173"/>
      <c r="N373" s="173"/>
      <c r="O373" s="173"/>
      <c r="P373" s="173"/>
      <c r="Q373" s="173"/>
      <c r="R373" s="173"/>
      <c r="S373" s="173"/>
      <c r="T373" s="173"/>
      <c r="U373" s="173"/>
      <c r="V373" s="173"/>
      <c r="W373" s="173"/>
      <c r="X373" s="173"/>
      <c r="Y373" s="173"/>
      <c r="Z373" s="173"/>
    </row>
    <row r="374">
      <c r="A374" s="173"/>
      <c r="B374" s="173"/>
      <c r="C374" s="173"/>
      <c r="D374" s="173"/>
      <c r="E374" s="173"/>
      <c r="F374" s="173"/>
      <c r="G374" s="173"/>
      <c r="H374" s="173"/>
      <c r="I374" s="173"/>
      <c r="J374" s="173"/>
      <c r="K374" s="173"/>
      <c r="L374" s="173"/>
      <c r="M374" s="173"/>
      <c r="N374" s="173"/>
      <c r="O374" s="173"/>
      <c r="P374" s="173"/>
      <c r="Q374" s="173"/>
      <c r="R374" s="173"/>
      <c r="S374" s="173"/>
      <c r="T374" s="173"/>
      <c r="U374" s="173"/>
      <c r="V374" s="173"/>
      <c r="W374" s="173"/>
      <c r="X374" s="173"/>
      <c r="Y374" s="173"/>
      <c r="Z374" s="173"/>
    </row>
    <row r="375">
      <c r="A375" s="173"/>
      <c r="B375" s="173"/>
      <c r="C375" s="173"/>
      <c r="D375" s="173"/>
      <c r="E375" s="173"/>
      <c r="F375" s="173"/>
      <c r="G375" s="173"/>
      <c r="H375" s="173"/>
      <c r="I375" s="173"/>
      <c r="J375" s="173"/>
      <c r="K375" s="173"/>
      <c r="L375" s="173"/>
      <c r="M375" s="173"/>
      <c r="N375" s="173"/>
      <c r="O375" s="173"/>
      <c r="P375" s="173"/>
      <c r="Q375" s="173"/>
      <c r="R375" s="173"/>
      <c r="S375" s="173"/>
      <c r="T375" s="173"/>
      <c r="U375" s="173"/>
      <c r="V375" s="173"/>
      <c r="W375" s="173"/>
      <c r="X375" s="173"/>
      <c r="Y375" s="173"/>
      <c r="Z375" s="173"/>
    </row>
    <row r="376">
      <c r="A376" s="173"/>
      <c r="B376" s="173"/>
      <c r="C376" s="173"/>
      <c r="D376" s="173"/>
      <c r="E376" s="173"/>
      <c r="F376" s="173"/>
      <c r="G376" s="173"/>
      <c r="H376" s="173"/>
      <c r="I376" s="173"/>
      <c r="J376" s="173"/>
      <c r="K376" s="173"/>
      <c r="L376" s="173"/>
      <c r="M376" s="173"/>
      <c r="N376" s="173"/>
      <c r="O376" s="173"/>
      <c r="P376" s="173"/>
      <c r="Q376" s="173"/>
      <c r="R376" s="173"/>
      <c r="S376" s="173"/>
      <c r="T376" s="173"/>
      <c r="U376" s="173"/>
      <c r="V376" s="173"/>
      <c r="W376" s="173"/>
      <c r="X376" s="173"/>
      <c r="Y376" s="173"/>
      <c r="Z376" s="173"/>
    </row>
    <row r="377">
      <c r="A377" s="173"/>
      <c r="B377" s="173"/>
      <c r="C377" s="173"/>
      <c r="D377" s="173"/>
      <c r="E377" s="173"/>
      <c r="F377" s="173"/>
      <c r="G377" s="173"/>
      <c r="H377" s="173"/>
      <c r="I377" s="173"/>
      <c r="J377" s="173"/>
      <c r="K377" s="173"/>
      <c r="L377" s="173"/>
      <c r="M377" s="173"/>
      <c r="N377" s="173"/>
      <c r="O377" s="173"/>
      <c r="P377" s="173"/>
      <c r="Q377" s="173"/>
      <c r="R377" s="173"/>
      <c r="S377" s="173"/>
      <c r="T377" s="173"/>
      <c r="U377" s="173"/>
      <c r="V377" s="173"/>
      <c r="W377" s="173"/>
      <c r="X377" s="173"/>
      <c r="Y377" s="173"/>
      <c r="Z377" s="173"/>
    </row>
    <row r="378">
      <c r="A378" s="173"/>
      <c r="B378" s="173"/>
      <c r="C378" s="173"/>
      <c r="D378" s="173"/>
      <c r="E378" s="173"/>
      <c r="F378" s="173"/>
      <c r="G378" s="173"/>
      <c r="H378" s="173"/>
      <c r="I378" s="173"/>
      <c r="J378" s="173"/>
      <c r="K378" s="173"/>
      <c r="L378" s="173"/>
      <c r="M378" s="173"/>
      <c r="N378" s="173"/>
      <c r="O378" s="173"/>
      <c r="P378" s="173"/>
      <c r="Q378" s="173"/>
      <c r="R378" s="173"/>
      <c r="S378" s="173"/>
      <c r="T378" s="173"/>
      <c r="U378" s="173"/>
      <c r="V378" s="173"/>
      <c r="W378" s="173"/>
      <c r="X378" s="173"/>
      <c r="Y378" s="173"/>
      <c r="Z378" s="173"/>
    </row>
    <row r="379">
      <c r="A379" s="173"/>
      <c r="B379" s="173"/>
      <c r="C379" s="173"/>
      <c r="D379" s="173"/>
      <c r="E379" s="173"/>
      <c r="F379" s="173"/>
      <c r="G379" s="173"/>
      <c r="H379" s="173"/>
      <c r="I379" s="173"/>
      <c r="J379" s="173"/>
      <c r="K379" s="173"/>
      <c r="L379" s="173"/>
      <c r="M379" s="173"/>
      <c r="N379" s="173"/>
      <c r="O379" s="173"/>
      <c r="P379" s="173"/>
      <c r="Q379" s="173"/>
      <c r="R379" s="173"/>
      <c r="S379" s="173"/>
      <c r="T379" s="173"/>
      <c r="U379" s="173"/>
      <c r="V379" s="173"/>
      <c r="W379" s="173"/>
      <c r="X379" s="173"/>
      <c r="Y379" s="173"/>
      <c r="Z379" s="173"/>
    </row>
    <row r="380">
      <c r="A380" s="173"/>
      <c r="B380" s="173"/>
      <c r="C380" s="173"/>
      <c r="D380" s="173"/>
      <c r="E380" s="173"/>
      <c r="F380" s="173"/>
      <c r="G380" s="173"/>
      <c r="H380" s="173"/>
      <c r="I380" s="173"/>
      <c r="J380" s="173"/>
      <c r="K380" s="173"/>
      <c r="L380" s="173"/>
      <c r="M380" s="173"/>
      <c r="N380" s="173"/>
      <c r="O380" s="173"/>
      <c r="P380" s="173"/>
      <c r="Q380" s="173"/>
      <c r="R380" s="173"/>
      <c r="S380" s="173"/>
      <c r="T380" s="173"/>
      <c r="U380" s="173"/>
      <c r="V380" s="173"/>
      <c r="W380" s="173"/>
      <c r="X380" s="173"/>
      <c r="Y380" s="173"/>
      <c r="Z380" s="173"/>
    </row>
    <row r="381">
      <c r="A381" s="173"/>
      <c r="B381" s="173"/>
      <c r="C381" s="173"/>
      <c r="D381" s="173"/>
      <c r="E381" s="173"/>
      <c r="F381" s="173"/>
      <c r="G381" s="173"/>
      <c r="H381" s="173"/>
      <c r="I381" s="173"/>
      <c r="J381" s="173"/>
      <c r="K381" s="173"/>
      <c r="L381" s="173"/>
      <c r="M381" s="173"/>
      <c r="N381" s="173"/>
      <c r="O381" s="173"/>
      <c r="P381" s="173"/>
      <c r="Q381" s="173"/>
      <c r="R381" s="173"/>
      <c r="S381" s="173"/>
      <c r="T381" s="173"/>
      <c r="U381" s="173"/>
      <c r="V381" s="173"/>
      <c r="W381" s="173"/>
      <c r="X381" s="173"/>
      <c r="Y381" s="173"/>
      <c r="Z381" s="173"/>
    </row>
    <row r="382">
      <c r="A382" s="173"/>
      <c r="B382" s="173"/>
      <c r="C382" s="173"/>
      <c r="D382" s="173"/>
      <c r="E382" s="173"/>
      <c r="F382" s="173"/>
      <c r="G382" s="173"/>
      <c r="H382" s="173"/>
      <c r="I382" s="173"/>
      <c r="J382" s="173"/>
      <c r="K382" s="173"/>
      <c r="L382" s="173"/>
      <c r="M382" s="173"/>
      <c r="N382" s="173"/>
      <c r="O382" s="173"/>
      <c r="P382" s="173"/>
      <c r="Q382" s="173"/>
      <c r="R382" s="173"/>
      <c r="S382" s="173"/>
      <c r="T382" s="173"/>
      <c r="U382" s="173"/>
      <c r="V382" s="173"/>
      <c r="W382" s="173"/>
      <c r="X382" s="173"/>
      <c r="Y382" s="173"/>
      <c r="Z382" s="173"/>
    </row>
    <row r="383">
      <c r="A383" s="173"/>
      <c r="B383" s="173"/>
      <c r="C383" s="173"/>
      <c r="D383" s="173"/>
      <c r="E383" s="173"/>
      <c r="F383" s="173"/>
      <c r="G383" s="173"/>
      <c r="H383" s="173"/>
      <c r="I383" s="173"/>
      <c r="J383" s="173"/>
      <c r="K383" s="173"/>
      <c r="L383" s="173"/>
      <c r="M383" s="173"/>
      <c r="N383" s="173"/>
      <c r="O383" s="173"/>
      <c r="P383" s="173"/>
      <c r="Q383" s="173"/>
      <c r="R383" s="173"/>
      <c r="S383" s="173"/>
      <c r="T383" s="173"/>
      <c r="U383" s="173"/>
      <c r="V383" s="173"/>
      <c r="W383" s="173"/>
      <c r="X383" s="173"/>
      <c r="Y383" s="173"/>
      <c r="Z383" s="173"/>
    </row>
    <row r="384">
      <c r="A384" s="173"/>
      <c r="B384" s="173"/>
      <c r="C384" s="173"/>
      <c r="D384" s="173"/>
      <c r="E384" s="173"/>
      <c r="F384" s="173"/>
      <c r="G384" s="173"/>
      <c r="H384" s="173"/>
      <c r="I384" s="173"/>
      <c r="J384" s="173"/>
      <c r="K384" s="173"/>
      <c r="L384" s="173"/>
      <c r="M384" s="173"/>
      <c r="N384" s="173"/>
      <c r="O384" s="173"/>
      <c r="P384" s="173"/>
      <c r="Q384" s="173"/>
      <c r="R384" s="173"/>
      <c r="S384" s="173"/>
      <c r="T384" s="173"/>
      <c r="U384" s="173"/>
      <c r="V384" s="173"/>
      <c r="W384" s="173"/>
      <c r="X384" s="173"/>
      <c r="Y384" s="173"/>
      <c r="Z384" s="173"/>
    </row>
    <row r="385">
      <c r="A385" s="173"/>
      <c r="B385" s="173"/>
      <c r="C385" s="173"/>
      <c r="D385" s="173"/>
      <c r="E385" s="173"/>
      <c r="F385" s="173"/>
      <c r="G385" s="173"/>
      <c r="H385" s="173"/>
      <c r="I385" s="173"/>
      <c r="J385" s="173"/>
      <c r="K385" s="173"/>
      <c r="L385" s="173"/>
      <c r="M385" s="173"/>
      <c r="N385" s="173"/>
      <c r="O385" s="173"/>
      <c r="P385" s="173"/>
      <c r="Q385" s="173"/>
      <c r="R385" s="173"/>
      <c r="S385" s="173"/>
      <c r="T385" s="173"/>
      <c r="U385" s="173"/>
      <c r="V385" s="173"/>
      <c r="W385" s="173"/>
      <c r="X385" s="173"/>
      <c r="Y385" s="173"/>
      <c r="Z385" s="173"/>
    </row>
    <row r="386">
      <c r="A386" s="173"/>
      <c r="B386" s="173"/>
      <c r="C386" s="173"/>
      <c r="D386" s="173"/>
      <c r="E386" s="173"/>
      <c r="F386" s="173"/>
      <c r="G386" s="173"/>
      <c r="H386" s="173"/>
      <c r="I386" s="173"/>
      <c r="J386" s="173"/>
      <c r="K386" s="173"/>
      <c r="L386" s="173"/>
      <c r="M386" s="173"/>
      <c r="N386" s="173"/>
      <c r="O386" s="173"/>
      <c r="P386" s="173"/>
      <c r="Q386" s="173"/>
      <c r="R386" s="173"/>
      <c r="S386" s="173"/>
      <c r="T386" s="173"/>
      <c r="U386" s="173"/>
      <c r="V386" s="173"/>
      <c r="W386" s="173"/>
      <c r="X386" s="173"/>
      <c r="Y386" s="173"/>
      <c r="Z386" s="173"/>
    </row>
    <row r="387">
      <c r="A387" s="173"/>
      <c r="B387" s="173"/>
      <c r="C387" s="173"/>
      <c r="D387" s="173"/>
      <c r="E387" s="173"/>
      <c r="F387" s="173"/>
      <c r="G387" s="173"/>
      <c r="H387" s="173"/>
      <c r="I387" s="173"/>
      <c r="J387" s="173"/>
      <c r="K387" s="173"/>
      <c r="L387" s="173"/>
      <c r="M387" s="173"/>
      <c r="N387" s="173"/>
      <c r="O387" s="173"/>
      <c r="P387" s="173"/>
      <c r="Q387" s="173"/>
      <c r="R387" s="173"/>
      <c r="S387" s="173"/>
      <c r="T387" s="173"/>
      <c r="U387" s="173"/>
      <c r="V387" s="173"/>
      <c r="W387" s="173"/>
      <c r="X387" s="173"/>
      <c r="Y387" s="173"/>
      <c r="Z387" s="173"/>
    </row>
    <row r="388">
      <c r="A388" s="173"/>
      <c r="B388" s="173"/>
      <c r="C388" s="173"/>
      <c r="D388" s="173"/>
      <c r="E388" s="173"/>
      <c r="F388" s="173"/>
      <c r="G388" s="173"/>
      <c r="H388" s="173"/>
      <c r="I388" s="173"/>
      <c r="J388" s="173"/>
      <c r="K388" s="173"/>
      <c r="L388" s="173"/>
      <c r="M388" s="173"/>
      <c r="N388" s="173"/>
      <c r="O388" s="173"/>
      <c r="P388" s="173"/>
      <c r="Q388" s="173"/>
      <c r="R388" s="173"/>
      <c r="S388" s="173"/>
      <c r="T388" s="173"/>
      <c r="U388" s="173"/>
      <c r="V388" s="173"/>
      <c r="W388" s="173"/>
      <c r="X388" s="173"/>
      <c r="Y388" s="173"/>
      <c r="Z388" s="173"/>
    </row>
    <row r="389">
      <c r="A389" s="173"/>
      <c r="B389" s="173"/>
      <c r="C389" s="173"/>
      <c r="D389" s="173"/>
      <c r="E389" s="173"/>
      <c r="F389" s="173"/>
      <c r="G389" s="173"/>
      <c r="H389" s="173"/>
      <c r="I389" s="173"/>
      <c r="J389" s="173"/>
      <c r="K389" s="173"/>
      <c r="L389" s="173"/>
      <c r="M389" s="173"/>
      <c r="N389" s="173"/>
      <c r="O389" s="173"/>
      <c r="P389" s="173"/>
      <c r="Q389" s="173"/>
      <c r="R389" s="173"/>
      <c r="S389" s="173"/>
      <c r="T389" s="173"/>
      <c r="U389" s="173"/>
      <c r="V389" s="173"/>
      <c r="W389" s="173"/>
      <c r="X389" s="173"/>
      <c r="Y389" s="173"/>
      <c r="Z389" s="173"/>
    </row>
    <row r="390">
      <c r="A390" s="173"/>
      <c r="B390" s="173"/>
      <c r="C390" s="173"/>
      <c r="D390" s="173"/>
      <c r="E390" s="173"/>
      <c r="F390" s="173"/>
      <c r="G390" s="173"/>
      <c r="H390" s="173"/>
      <c r="I390" s="173"/>
      <c r="J390" s="173"/>
      <c r="K390" s="173"/>
      <c r="L390" s="173"/>
      <c r="M390" s="173"/>
      <c r="N390" s="173"/>
      <c r="O390" s="173"/>
      <c r="P390" s="173"/>
      <c r="Q390" s="173"/>
      <c r="R390" s="173"/>
      <c r="S390" s="173"/>
      <c r="T390" s="173"/>
      <c r="U390" s="173"/>
      <c r="V390" s="173"/>
      <c r="W390" s="173"/>
      <c r="X390" s="173"/>
      <c r="Y390" s="173"/>
      <c r="Z390" s="173"/>
    </row>
    <row r="391">
      <c r="A391" s="173"/>
      <c r="B391" s="173"/>
      <c r="C391" s="173"/>
      <c r="D391" s="173"/>
      <c r="E391" s="173"/>
      <c r="F391" s="173"/>
      <c r="G391" s="173"/>
      <c r="H391" s="173"/>
      <c r="I391" s="173"/>
      <c r="J391" s="173"/>
      <c r="K391" s="173"/>
      <c r="L391" s="173"/>
      <c r="M391" s="173"/>
      <c r="N391" s="173"/>
      <c r="O391" s="173"/>
      <c r="P391" s="173"/>
      <c r="Q391" s="173"/>
      <c r="R391" s="173"/>
      <c r="S391" s="173"/>
      <c r="T391" s="173"/>
      <c r="U391" s="173"/>
      <c r="V391" s="173"/>
      <c r="W391" s="173"/>
      <c r="X391" s="173"/>
      <c r="Y391" s="173"/>
      <c r="Z391" s="173"/>
    </row>
    <row r="392">
      <c r="A392" s="173"/>
      <c r="B392" s="173"/>
      <c r="C392" s="173"/>
      <c r="D392" s="173"/>
      <c r="E392" s="173"/>
      <c r="F392" s="173"/>
      <c r="G392" s="173"/>
      <c r="H392" s="173"/>
      <c r="I392" s="173"/>
      <c r="J392" s="173"/>
      <c r="K392" s="173"/>
      <c r="L392" s="173"/>
      <c r="M392" s="173"/>
      <c r="N392" s="173"/>
      <c r="O392" s="173"/>
      <c r="P392" s="173"/>
      <c r="Q392" s="173"/>
      <c r="R392" s="173"/>
      <c r="S392" s="173"/>
      <c r="T392" s="173"/>
      <c r="U392" s="173"/>
      <c r="V392" s="173"/>
      <c r="W392" s="173"/>
      <c r="X392" s="173"/>
      <c r="Y392" s="173"/>
      <c r="Z392" s="173"/>
    </row>
    <row r="393">
      <c r="A393" s="173"/>
      <c r="B393" s="173"/>
      <c r="C393" s="173"/>
      <c r="D393" s="173"/>
      <c r="E393" s="173"/>
      <c r="F393" s="173"/>
      <c r="G393" s="173"/>
      <c r="H393" s="173"/>
      <c r="I393" s="173"/>
      <c r="J393" s="173"/>
      <c r="K393" s="173"/>
      <c r="L393" s="173"/>
      <c r="M393" s="173"/>
      <c r="N393" s="173"/>
      <c r="O393" s="173"/>
      <c r="P393" s="173"/>
      <c r="Q393" s="173"/>
      <c r="R393" s="173"/>
      <c r="S393" s="173"/>
      <c r="T393" s="173"/>
      <c r="U393" s="173"/>
      <c r="V393" s="173"/>
      <c r="W393" s="173"/>
      <c r="X393" s="173"/>
      <c r="Y393" s="173"/>
      <c r="Z393" s="173"/>
    </row>
    <row r="394">
      <c r="A394" s="173"/>
      <c r="B394" s="173"/>
      <c r="C394" s="173"/>
      <c r="D394" s="173"/>
      <c r="E394" s="173"/>
      <c r="F394" s="173"/>
      <c r="G394" s="173"/>
      <c r="H394" s="173"/>
      <c r="I394" s="173"/>
      <c r="J394" s="173"/>
      <c r="K394" s="173"/>
      <c r="L394" s="173"/>
      <c r="M394" s="173"/>
      <c r="N394" s="173"/>
      <c r="O394" s="173"/>
      <c r="P394" s="173"/>
      <c r="Q394" s="173"/>
      <c r="R394" s="173"/>
      <c r="S394" s="173"/>
      <c r="T394" s="173"/>
      <c r="U394" s="173"/>
      <c r="V394" s="173"/>
      <c r="W394" s="173"/>
      <c r="X394" s="173"/>
      <c r="Y394" s="173"/>
      <c r="Z394" s="173"/>
    </row>
    <row r="395">
      <c r="A395" s="173"/>
      <c r="B395" s="173"/>
      <c r="C395" s="173"/>
      <c r="D395" s="173"/>
      <c r="E395" s="173"/>
      <c r="F395" s="173"/>
      <c r="G395" s="173"/>
      <c r="H395" s="173"/>
      <c r="I395" s="173"/>
      <c r="J395" s="173"/>
      <c r="K395" s="173"/>
      <c r="L395" s="173"/>
      <c r="M395" s="173"/>
      <c r="N395" s="173"/>
      <c r="O395" s="173"/>
      <c r="P395" s="173"/>
      <c r="Q395" s="173"/>
      <c r="R395" s="173"/>
      <c r="S395" s="173"/>
      <c r="T395" s="173"/>
      <c r="U395" s="173"/>
      <c r="V395" s="173"/>
      <c r="W395" s="173"/>
      <c r="X395" s="173"/>
      <c r="Y395" s="173"/>
      <c r="Z395" s="173"/>
    </row>
    <row r="396">
      <c r="A396" s="173"/>
      <c r="B396" s="173"/>
      <c r="C396" s="173"/>
      <c r="D396" s="173"/>
      <c r="E396" s="173"/>
      <c r="F396" s="173"/>
      <c r="G396" s="173"/>
      <c r="H396" s="173"/>
      <c r="I396" s="173"/>
      <c r="J396" s="173"/>
      <c r="K396" s="173"/>
      <c r="L396" s="173"/>
      <c r="M396" s="173"/>
      <c r="N396" s="173"/>
      <c r="O396" s="173"/>
      <c r="P396" s="173"/>
      <c r="Q396" s="173"/>
      <c r="R396" s="173"/>
      <c r="S396" s="173"/>
      <c r="T396" s="173"/>
      <c r="U396" s="173"/>
      <c r="V396" s="173"/>
      <c r="W396" s="173"/>
      <c r="X396" s="173"/>
      <c r="Y396" s="173"/>
      <c r="Z396" s="173"/>
    </row>
    <row r="397">
      <c r="A397" s="173"/>
      <c r="B397" s="173"/>
      <c r="C397" s="173"/>
      <c r="D397" s="173"/>
      <c r="E397" s="173"/>
      <c r="F397" s="173"/>
      <c r="G397" s="173"/>
      <c r="H397" s="173"/>
      <c r="I397" s="173"/>
      <c r="J397" s="173"/>
      <c r="K397" s="173"/>
      <c r="L397" s="173"/>
      <c r="M397" s="173"/>
      <c r="N397" s="173"/>
      <c r="O397" s="173"/>
      <c r="P397" s="173"/>
      <c r="Q397" s="173"/>
      <c r="R397" s="173"/>
      <c r="S397" s="173"/>
      <c r="T397" s="173"/>
      <c r="U397" s="173"/>
      <c r="V397" s="173"/>
      <c r="W397" s="173"/>
      <c r="X397" s="173"/>
      <c r="Y397" s="173"/>
      <c r="Z397" s="173"/>
    </row>
    <row r="398">
      <c r="A398" s="173"/>
      <c r="B398" s="173"/>
      <c r="C398" s="173"/>
      <c r="D398" s="173"/>
      <c r="E398" s="173"/>
      <c r="F398" s="173"/>
      <c r="G398" s="173"/>
      <c r="H398" s="173"/>
      <c r="I398" s="173"/>
      <c r="J398" s="173"/>
      <c r="K398" s="173"/>
      <c r="L398" s="173"/>
      <c r="M398" s="173"/>
      <c r="N398" s="173"/>
      <c r="O398" s="173"/>
      <c r="P398" s="173"/>
      <c r="Q398" s="173"/>
      <c r="R398" s="173"/>
      <c r="S398" s="173"/>
      <c r="T398" s="173"/>
      <c r="U398" s="173"/>
      <c r="V398" s="173"/>
      <c r="W398" s="173"/>
      <c r="X398" s="173"/>
      <c r="Y398" s="173"/>
      <c r="Z398" s="173"/>
    </row>
    <row r="399">
      <c r="A399" s="173"/>
      <c r="B399" s="173"/>
      <c r="C399" s="173"/>
      <c r="D399" s="173"/>
      <c r="E399" s="173"/>
      <c r="F399" s="173"/>
      <c r="G399" s="173"/>
      <c r="H399" s="173"/>
      <c r="I399" s="173"/>
      <c r="J399" s="173"/>
      <c r="K399" s="173"/>
      <c r="L399" s="173"/>
      <c r="M399" s="173"/>
      <c r="N399" s="173"/>
      <c r="O399" s="173"/>
      <c r="P399" s="173"/>
      <c r="Q399" s="173"/>
      <c r="R399" s="173"/>
      <c r="S399" s="173"/>
      <c r="T399" s="173"/>
      <c r="U399" s="173"/>
      <c r="V399" s="173"/>
      <c r="W399" s="173"/>
      <c r="X399" s="173"/>
      <c r="Y399" s="173"/>
      <c r="Z399" s="173"/>
    </row>
    <row r="400">
      <c r="A400" s="173"/>
      <c r="B400" s="173"/>
      <c r="C400" s="173"/>
      <c r="D400" s="173"/>
      <c r="E400" s="173"/>
      <c r="F400" s="173"/>
      <c r="G400" s="173"/>
      <c r="H400" s="173"/>
      <c r="I400" s="173"/>
      <c r="J400" s="173"/>
      <c r="K400" s="173"/>
      <c r="L400" s="173"/>
      <c r="M400" s="173"/>
      <c r="N400" s="173"/>
      <c r="O400" s="173"/>
      <c r="P400" s="173"/>
      <c r="Q400" s="173"/>
      <c r="R400" s="173"/>
      <c r="S400" s="173"/>
      <c r="T400" s="173"/>
      <c r="U400" s="173"/>
      <c r="V400" s="173"/>
      <c r="W400" s="173"/>
      <c r="X400" s="173"/>
      <c r="Y400" s="173"/>
      <c r="Z400" s="173"/>
    </row>
    <row r="401">
      <c r="A401" s="173"/>
      <c r="B401" s="173"/>
      <c r="C401" s="173"/>
      <c r="D401" s="173"/>
      <c r="E401" s="173"/>
      <c r="F401" s="173"/>
      <c r="G401" s="173"/>
      <c r="H401" s="173"/>
      <c r="I401" s="173"/>
      <c r="J401" s="173"/>
      <c r="K401" s="173"/>
      <c r="L401" s="173"/>
      <c r="M401" s="173"/>
      <c r="N401" s="173"/>
      <c r="O401" s="173"/>
      <c r="P401" s="173"/>
      <c r="Q401" s="173"/>
      <c r="R401" s="173"/>
      <c r="S401" s="173"/>
      <c r="T401" s="173"/>
      <c r="U401" s="173"/>
      <c r="V401" s="173"/>
      <c r="W401" s="173"/>
      <c r="X401" s="173"/>
      <c r="Y401" s="173"/>
      <c r="Z401" s="173"/>
    </row>
    <row r="402">
      <c r="A402" s="173"/>
      <c r="B402" s="173"/>
      <c r="C402" s="173"/>
      <c r="D402" s="173"/>
      <c r="E402" s="173"/>
      <c r="F402" s="173"/>
      <c r="G402" s="173"/>
      <c r="H402" s="173"/>
      <c r="I402" s="173"/>
      <c r="J402" s="173"/>
      <c r="K402" s="173"/>
      <c r="L402" s="173"/>
      <c r="M402" s="173"/>
      <c r="N402" s="173"/>
      <c r="O402" s="173"/>
      <c r="P402" s="173"/>
      <c r="Q402" s="173"/>
      <c r="R402" s="173"/>
      <c r="S402" s="173"/>
      <c r="T402" s="173"/>
      <c r="U402" s="173"/>
      <c r="V402" s="173"/>
      <c r="W402" s="173"/>
      <c r="X402" s="173"/>
      <c r="Y402" s="173"/>
      <c r="Z402" s="173"/>
    </row>
    <row r="403">
      <c r="A403" s="173"/>
      <c r="B403" s="173"/>
      <c r="C403" s="173"/>
      <c r="D403" s="173"/>
      <c r="E403" s="173"/>
      <c r="F403" s="173"/>
      <c r="G403" s="173"/>
      <c r="H403" s="173"/>
      <c r="I403" s="173"/>
      <c r="J403" s="173"/>
      <c r="K403" s="173"/>
      <c r="L403" s="173"/>
      <c r="M403" s="173"/>
      <c r="N403" s="173"/>
      <c r="O403" s="173"/>
      <c r="P403" s="173"/>
      <c r="Q403" s="173"/>
      <c r="R403" s="173"/>
      <c r="S403" s="173"/>
      <c r="T403" s="173"/>
      <c r="U403" s="173"/>
      <c r="V403" s="173"/>
      <c r="W403" s="173"/>
      <c r="X403" s="173"/>
      <c r="Y403" s="173"/>
      <c r="Z403" s="173"/>
    </row>
    <row r="404">
      <c r="A404" s="173"/>
      <c r="B404" s="173"/>
      <c r="C404" s="173"/>
      <c r="D404" s="173"/>
      <c r="E404" s="173"/>
      <c r="F404" s="173"/>
      <c r="G404" s="173"/>
      <c r="H404" s="173"/>
      <c r="I404" s="173"/>
      <c r="J404" s="173"/>
      <c r="K404" s="173"/>
      <c r="L404" s="173"/>
      <c r="M404" s="173"/>
      <c r="N404" s="173"/>
      <c r="O404" s="173"/>
      <c r="P404" s="173"/>
      <c r="Q404" s="173"/>
      <c r="R404" s="173"/>
      <c r="S404" s="173"/>
      <c r="T404" s="173"/>
      <c r="U404" s="173"/>
      <c r="V404" s="173"/>
      <c r="W404" s="173"/>
      <c r="X404" s="173"/>
      <c r="Y404" s="173"/>
      <c r="Z404" s="173"/>
    </row>
    <row r="405">
      <c r="A405" s="173"/>
      <c r="B405" s="173"/>
      <c r="C405" s="173"/>
      <c r="D405" s="173"/>
      <c r="E405" s="173"/>
      <c r="F405" s="173"/>
      <c r="G405" s="173"/>
      <c r="H405" s="173"/>
      <c r="I405" s="173"/>
      <c r="J405" s="173"/>
      <c r="K405" s="173"/>
      <c r="L405" s="173"/>
      <c r="M405" s="173"/>
      <c r="N405" s="173"/>
      <c r="O405" s="173"/>
      <c r="P405" s="173"/>
      <c r="Q405" s="173"/>
      <c r="R405" s="173"/>
      <c r="S405" s="173"/>
      <c r="T405" s="173"/>
      <c r="U405" s="173"/>
      <c r="V405" s="173"/>
      <c r="W405" s="173"/>
      <c r="X405" s="173"/>
      <c r="Y405" s="173"/>
      <c r="Z405" s="173"/>
    </row>
    <row r="406">
      <c r="A406" s="173"/>
      <c r="B406" s="173"/>
      <c r="C406" s="173"/>
      <c r="D406" s="173"/>
      <c r="E406" s="173"/>
      <c r="F406" s="173"/>
      <c r="G406" s="173"/>
      <c r="H406" s="173"/>
      <c r="I406" s="173"/>
      <c r="J406" s="173"/>
      <c r="K406" s="173"/>
      <c r="L406" s="173"/>
      <c r="M406" s="173"/>
      <c r="N406" s="173"/>
      <c r="O406" s="173"/>
      <c r="P406" s="173"/>
      <c r="Q406" s="173"/>
      <c r="R406" s="173"/>
      <c r="S406" s="173"/>
      <c r="T406" s="173"/>
      <c r="U406" s="173"/>
      <c r="V406" s="173"/>
      <c r="W406" s="173"/>
      <c r="X406" s="173"/>
      <c r="Y406" s="173"/>
      <c r="Z406" s="173"/>
    </row>
    <row r="407">
      <c r="A407" s="173"/>
      <c r="B407" s="173"/>
      <c r="C407" s="173"/>
      <c r="D407" s="173"/>
      <c r="E407" s="173"/>
      <c r="F407" s="173"/>
      <c r="G407" s="173"/>
      <c r="H407" s="173"/>
      <c r="I407" s="173"/>
      <c r="J407" s="173"/>
      <c r="K407" s="173"/>
      <c r="L407" s="173"/>
      <c r="M407" s="173"/>
      <c r="N407" s="173"/>
      <c r="O407" s="173"/>
      <c r="P407" s="173"/>
      <c r="Q407" s="173"/>
      <c r="R407" s="173"/>
      <c r="S407" s="173"/>
      <c r="T407" s="173"/>
      <c r="U407" s="173"/>
      <c r="V407" s="173"/>
      <c r="W407" s="173"/>
      <c r="X407" s="173"/>
      <c r="Y407" s="173"/>
      <c r="Z407" s="173"/>
    </row>
    <row r="408">
      <c r="A408" s="173"/>
      <c r="B408" s="173"/>
      <c r="C408" s="173"/>
      <c r="D408" s="173"/>
      <c r="E408" s="173"/>
      <c r="F408" s="173"/>
      <c r="G408" s="173"/>
      <c r="H408" s="173"/>
      <c r="I408" s="173"/>
      <c r="J408" s="173"/>
      <c r="K408" s="173"/>
      <c r="L408" s="173"/>
      <c r="M408" s="173"/>
      <c r="N408" s="173"/>
      <c r="O408" s="173"/>
      <c r="P408" s="173"/>
      <c r="Q408" s="173"/>
      <c r="R408" s="173"/>
      <c r="S408" s="173"/>
      <c r="T408" s="173"/>
      <c r="U408" s="173"/>
      <c r="V408" s="173"/>
      <c r="W408" s="173"/>
      <c r="X408" s="173"/>
      <c r="Y408" s="173"/>
      <c r="Z408" s="173"/>
    </row>
    <row r="409">
      <c r="A409" s="173"/>
      <c r="B409" s="173"/>
      <c r="C409" s="173"/>
      <c r="D409" s="173"/>
      <c r="E409" s="173"/>
      <c r="F409" s="173"/>
      <c r="G409" s="173"/>
      <c r="H409" s="173"/>
      <c r="I409" s="173"/>
      <c r="J409" s="173"/>
      <c r="K409" s="173"/>
      <c r="L409" s="173"/>
      <c r="M409" s="173"/>
      <c r="N409" s="173"/>
      <c r="O409" s="173"/>
      <c r="P409" s="173"/>
      <c r="Q409" s="173"/>
      <c r="R409" s="173"/>
      <c r="S409" s="173"/>
      <c r="T409" s="173"/>
      <c r="U409" s="173"/>
      <c r="V409" s="173"/>
      <c r="W409" s="173"/>
      <c r="X409" s="173"/>
      <c r="Y409" s="173"/>
      <c r="Z409" s="173"/>
    </row>
    <row r="410">
      <c r="A410" s="173"/>
      <c r="B410" s="173"/>
      <c r="C410" s="173"/>
      <c r="D410" s="173"/>
      <c r="E410" s="173"/>
      <c r="F410" s="173"/>
      <c r="G410" s="173"/>
      <c r="H410" s="173"/>
      <c r="I410" s="173"/>
      <c r="J410" s="173"/>
      <c r="K410" s="173"/>
      <c r="L410" s="173"/>
      <c r="M410" s="173"/>
      <c r="N410" s="173"/>
      <c r="O410" s="173"/>
      <c r="P410" s="173"/>
      <c r="Q410" s="173"/>
      <c r="R410" s="173"/>
      <c r="S410" s="173"/>
      <c r="T410" s="173"/>
      <c r="U410" s="173"/>
      <c r="V410" s="173"/>
      <c r="W410" s="173"/>
      <c r="X410" s="173"/>
      <c r="Y410" s="173"/>
      <c r="Z410" s="173"/>
    </row>
    <row r="411">
      <c r="A411" s="173"/>
      <c r="B411" s="173"/>
      <c r="C411" s="173"/>
      <c r="D411" s="173"/>
      <c r="E411" s="173"/>
      <c r="F411" s="173"/>
      <c r="G411" s="173"/>
      <c r="H411" s="173"/>
      <c r="I411" s="173"/>
      <c r="J411" s="173"/>
      <c r="K411" s="173"/>
      <c r="L411" s="173"/>
      <c r="M411" s="173"/>
      <c r="N411" s="173"/>
      <c r="O411" s="173"/>
      <c r="P411" s="173"/>
      <c r="Q411" s="173"/>
      <c r="R411" s="173"/>
      <c r="S411" s="173"/>
      <c r="T411" s="173"/>
      <c r="U411" s="173"/>
      <c r="V411" s="173"/>
      <c r="W411" s="173"/>
      <c r="X411" s="173"/>
      <c r="Y411" s="173"/>
      <c r="Z411" s="173"/>
    </row>
    <row r="412">
      <c r="A412" s="173"/>
      <c r="B412" s="173"/>
      <c r="C412" s="173"/>
      <c r="D412" s="173"/>
      <c r="E412" s="173"/>
      <c r="F412" s="173"/>
      <c r="G412" s="173"/>
      <c r="H412" s="173"/>
      <c r="I412" s="173"/>
      <c r="J412" s="173"/>
      <c r="K412" s="173"/>
      <c r="L412" s="173"/>
      <c r="M412" s="173"/>
      <c r="N412" s="173"/>
      <c r="O412" s="173"/>
      <c r="P412" s="173"/>
      <c r="Q412" s="173"/>
      <c r="R412" s="173"/>
      <c r="S412" s="173"/>
      <c r="T412" s="173"/>
      <c r="U412" s="173"/>
      <c r="V412" s="173"/>
      <c r="W412" s="173"/>
      <c r="X412" s="173"/>
      <c r="Y412" s="173"/>
      <c r="Z412" s="173"/>
    </row>
    <row r="413">
      <c r="A413" s="173"/>
      <c r="B413" s="173"/>
      <c r="C413" s="173"/>
      <c r="D413" s="173"/>
      <c r="E413" s="173"/>
      <c r="F413" s="173"/>
      <c r="G413" s="173"/>
      <c r="H413" s="173"/>
      <c r="I413" s="173"/>
      <c r="J413" s="173"/>
      <c r="K413" s="173"/>
      <c r="L413" s="173"/>
      <c r="M413" s="173"/>
      <c r="N413" s="173"/>
      <c r="O413" s="173"/>
      <c r="P413" s="173"/>
      <c r="Q413" s="173"/>
      <c r="R413" s="173"/>
      <c r="S413" s="173"/>
      <c r="T413" s="173"/>
      <c r="U413" s="173"/>
      <c r="V413" s="173"/>
      <c r="W413" s="173"/>
      <c r="X413" s="173"/>
      <c r="Y413" s="173"/>
      <c r="Z413" s="173"/>
    </row>
    <row r="414">
      <c r="A414" s="173"/>
      <c r="B414" s="173"/>
      <c r="C414" s="173"/>
      <c r="D414" s="173"/>
      <c r="E414" s="173"/>
      <c r="F414" s="173"/>
      <c r="G414" s="173"/>
      <c r="H414" s="173"/>
      <c r="I414" s="173"/>
      <c r="J414" s="173"/>
      <c r="K414" s="173"/>
      <c r="L414" s="173"/>
      <c r="M414" s="173"/>
      <c r="N414" s="173"/>
      <c r="O414" s="173"/>
      <c r="P414" s="173"/>
      <c r="Q414" s="173"/>
      <c r="R414" s="173"/>
      <c r="S414" s="173"/>
      <c r="T414" s="173"/>
      <c r="U414" s="173"/>
      <c r="V414" s="173"/>
      <c r="W414" s="173"/>
      <c r="X414" s="173"/>
      <c r="Y414" s="173"/>
      <c r="Z414" s="173"/>
    </row>
    <row r="415">
      <c r="A415" s="173"/>
      <c r="B415" s="173"/>
      <c r="C415" s="173"/>
      <c r="D415" s="173"/>
      <c r="E415" s="173"/>
      <c r="F415" s="173"/>
      <c r="G415" s="173"/>
      <c r="H415" s="173"/>
      <c r="I415" s="173"/>
      <c r="J415" s="173"/>
      <c r="K415" s="173"/>
      <c r="L415" s="173"/>
      <c r="M415" s="173"/>
      <c r="N415" s="173"/>
      <c r="O415" s="173"/>
      <c r="P415" s="173"/>
      <c r="Q415" s="173"/>
      <c r="R415" s="173"/>
      <c r="S415" s="173"/>
      <c r="T415" s="173"/>
      <c r="U415" s="173"/>
      <c r="V415" s="173"/>
      <c r="W415" s="173"/>
      <c r="X415" s="173"/>
      <c r="Y415" s="173"/>
      <c r="Z415" s="173"/>
    </row>
    <row r="416">
      <c r="A416" s="173"/>
      <c r="B416" s="173"/>
      <c r="C416" s="173"/>
      <c r="D416" s="173"/>
      <c r="E416" s="173"/>
      <c r="F416" s="173"/>
      <c r="G416" s="173"/>
      <c r="H416" s="173"/>
      <c r="I416" s="173"/>
      <c r="J416" s="173"/>
      <c r="K416" s="173"/>
      <c r="L416" s="173"/>
      <c r="M416" s="173"/>
      <c r="N416" s="173"/>
      <c r="O416" s="173"/>
      <c r="P416" s="173"/>
      <c r="Q416" s="173"/>
      <c r="R416" s="173"/>
      <c r="S416" s="173"/>
      <c r="T416" s="173"/>
      <c r="U416" s="173"/>
      <c r="V416" s="173"/>
      <c r="W416" s="173"/>
      <c r="X416" s="173"/>
      <c r="Y416" s="173"/>
      <c r="Z416" s="173"/>
    </row>
    <row r="417">
      <c r="A417" s="173"/>
      <c r="B417" s="173"/>
      <c r="C417" s="173"/>
      <c r="D417" s="173"/>
      <c r="E417" s="173"/>
      <c r="F417" s="173"/>
      <c r="G417" s="173"/>
      <c r="H417" s="173"/>
      <c r="I417" s="173"/>
      <c r="J417" s="173"/>
      <c r="K417" s="173"/>
      <c r="L417" s="173"/>
      <c r="M417" s="173"/>
      <c r="N417" s="173"/>
      <c r="O417" s="173"/>
      <c r="P417" s="173"/>
      <c r="Q417" s="173"/>
      <c r="R417" s="173"/>
      <c r="S417" s="173"/>
      <c r="T417" s="173"/>
      <c r="U417" s="173"/>
      <c r="V417" s="173"/>
      <c r="W417" s="173"/>
      <c r="X417" s="173"/>
      <c r="Y417" s="173"/>
      <c r="Z417" s="173"/>
    </row>
    <row r="418">
      <c r="A418" s="173"/>
      <c r="B418" s="173"/>
      <c r="C418" s="173"/>
      <c r="D418" s="173"/>
      <c r="E418" s="173"/>
      <c r="F418" s="173"/>
      <c r="G418" s="173"/>
      <c r="H418" s="173"/>
      <c r="I418" s="173"/>
      <c r="J418" s="173"/>
      <c r="K418" s="173"/>
      <c r="L418" s="173"/>
      <c r="M418" s="173"/>
      <c r="N418" s="173"/>
      <c r="O418" s="173"/>
      <c r="P418" s="173"/>
      <c r="Q418" s="173"/>
      <c r="R418" s="173"/>
      <c r="S418" s="173"/>
      <c r="T418" s="173"/>
      <c r="U418" s="173"/>
      <c r="V418" s="173"/>
      <c r="W418" s="173"/>
      <c r="X418" s="173"/>
      <c r="Y418" s="173"/>
      <c r="Z418" s="173"/>
    </row>
    <row r="419">
      <c r="A419" s="173"/>
      <c r="B419" s="173"/>
      <c r="C419" s="173"/>
      <c r="D419" s="173"/>
      <c r="E419" s="173"/>
      <c r="F419" s="173"/>
      <c r="G419" s="173"/>
      <c r="H419" s="173"/>
      <c r="I419" s="173"/>
      <c r="J419" s="173"/>
      <c r="K419" s="173"/>
      <c r="L419" s="173"/>
      <c r="M419" s="173"/>
      <c r="N419" s="173"/>
      <c r="O419" s="173"/>
      <c r="P419" s="173"/>
      <c r="Q419" s="173"/>
      <c r="R419" s="173"/>
      <c r="S419" s="173"/>
      <c r="T419" s="173"/>
      <c r="U419" s="173"/>
      <c r="V419" s="173"/>
      <c r="W419" s="173"/>
      <c r="X419" s="173"/>
      <c r="Y419" s="173"/>
      <c r="Z419" s="173"/>
    </row>
    <row r="420">
      <c r="A420" s="173"/>
      <c r="B420" s="173"/>
      <c r="C420" s="173"/>
      <c r="D420" s="173"/>
      <c r="E420" s="173"/>
      <c r="F420" s="173"/>
      <c r="G420" s="173"/>
      <c r="H420" s="173"/>
      <c r="I420" s="173"/>
      <c r="J420" s="173"/>
      <c r="K420" s="173"/>
      <c r="L420" s="173"/>
      <c r="M420" s="173"/>
      <c r="N420" s="173"/>
      <c r="O420" s="173"/>
      <c r="P420" s="173"/>
      <c r="Q420" s="173"/>
      <c r="R420" s="173"/>
      <c r="S420" s="173"/>
      <c r="T420" s="173"/>
      <c r="U420" s="173"/>
      <c r="V420" s="173"/>
      <c r="W420" s="173"/>
      <c r="X420" s="173"/>
      <c r="Y420" s="173"/>
      <c r="Z420" s="173"/>
    </row>
    <row r="421">
      <c r="A421" s="173"/>
      <c r="B421" s="173"/>
      <c r="C421" s="173"/>
      <c r="D421" s="173"/>
      <c r="E421" s="173"/>
      <c r="F421" s="173"/>
      <c r="G421" s="173"/>
      <c r="H421" s="173"/>
      <c r="I421" s="173"/>
      <c r="J421" s="173"/>
      <c r="K421" s="173"/>
      <c r="L421" s="173"/>
      <c r="M421" s="173"/>
      <c r="N421" s="173"/>
      <c r="O421" s="173"/>
      <c r="P421" s="173"/>
      <c r="Q421" s="173"/>
      <c r="R421" s="173"/>
      <c r="S421" s="173"/>
      <c r="T421" s="173"/>
      <c r="U421" s="173"/>
      <c r="V421" s="173"/>
      <c r="W421" s="173"/>
      <c r="X421" s="173"/>
      <c r="Y421" s="173"/>
      <c r="Z421" s="173"/>
    </row>
    <row r="422">
      <c r="A422" s="173"/>
      <c r="B422" s="173"/>
      <c r="C422" s="173"/>
      <c r="D422" s="173"/>
      <c r="E422" s="173"/>
      <c r="F422" s="173"/>
      <c r="G422" s="173"/>
      <c r="H422" s="173"/>
      <c r="I422" s="173"/>
      <c r="J422" s="173"/>
      <c r="K422" s="173"/>
      <c r="L422" s="173"/>
      <c r="M422" s="173"/>
      <c r="N422" s="173"/>
      <c r="O422" s="173"/>
      <c r="P422" s="173"/>
      <c r="Q422" s="173"/>
      <c r="R422" s="173"/>
      <c r="S422" s="173"/>
      <c r="T422" s="173"/>
      <c r="U422" s="173"/>
      <c r="V422" s="173"/>
      <c r="W422" s="173"/>
      <c r="X422" s="173"/>
      <c r="Y422" s="173"/>
      <c r="Z422" s="173"/>
    </row>
    <row r="423">
      <c r="A423" s="173"/>
      <c r="B423" s="173"/>
      <c r="C423" s="173"/>
      <c r="D423" s="173"/>
      <c r="E423" s="173"/>
      <c r="F423" s="173"/>
      <c r="G423" s="173"/>
      <c r="H423" s="173"/>
      <c r="I423" s="173"/>
      <c r="J423" s="173"/>
      <c r="K423" s="173"/>
      <c r="L423" s="173"/>
      <c r="M423" s="173"/>
      <c r="N423" s="173"/>
      <c r="O423" s="173"/>
      <c r="P423" s="173"/>
      <c r="Q423" s="173"/>
      <c r="R423" s="173"/>
      <c r="S423" s="173"/>
      <c r="T423" s="173"/>
      <c r="U423" s="173"/>
      <c r="V423" s="173"/>
      <c r="W423" s="173"/>
      <c r="X423" s="173"/>
      <c r="Y423" s="173"/>
      <c r="Z423" s="173"/>
    </row>
    <row r="424">
      <c r="A424" s="173"/>
      <c r="B424" s="173"/>
      <c r="C424" s="173"/>
      <c r="D424" s="173"/>
      <c r="E424" s="173"/>
      <c r="F424" s="173"/>
      <c r="G424" s="173"/>
      <c r="H424" s="173"/>
      <c r="I424" s="173"/>
      <c r="J424" s="173"/>
      <c r="K424" s="173"/>
      <c r="L424" s="173"/>
      <c r="M424" s="173"/>
      <c r="N424" s="173"/>
      <c r="O424" s="173"/>
      <c r="P424" s="173"/>
      <c r="Q424" s="173"/>
      <c r="R424" s="173"/>
      <c r="S424" s="173"/>
      <c r="T424" s="173"/>
      <c r="U424" s="173"/>
      <c r="V424" s="173"/>
      <c r="W424" s="173"/>
      <c r="X424" s="173"/>
      <c r="Y424" s="173"/>
      <c r="Z424" s="173"/>
    </row>
    <row r="425">
      <c r="A425" s="173"/>
      <c r="B425" s="173"/>
      <c r="C425" s="173"/>
      <c r="D425" s="173"/>
      <c r="E425" s="173"/>
      <c r="F425" s="173"/>
      <c r="G425" s="173"/>
      <c r="H425" s="173"/>
      <c r="I425" s="173"/>
      <c r="J425" s="173"/>
      <c r="K425" s="173"/>
      <c r="L425" s="173"/>
      <c r="M425" s="173"/>
      <c r="N425" s="173"/>
      <c r="O425" s="173"/>
      <c r="P425" s="173"/>
      <c r="Q425" s="173"/>
      <c r="R425" s="173"/>
      <c r="S425" s="173"/>
      <c r="T425" s="173"/>
      <c r="U425" s="173"/>
      <c r="V425" s="173"/>
      <c r="W425" s="173"/>
      <c r="X425" s="173"/>
      <c r="Y425" s="173"/>
      <c r="Z425" s="173"/>
    </row>
    <row r="426">
      <c r="A426" s="173"/>
      <c r="B426" s="173"/>
      <c r="C426" s="173"/>
      <c r="D426" s="173"/>
      <c r="E426" s="173"/>
      <c r="F426" s="173"/>
      <c r="G426" s="173"/>
      <c r="H426" s="173"/>
      <c r="I426" s="173"/>
      <c r="J426" s="173"/>
      <c r="K426" s="173"/>
      <c r="L426" s="173"/>
      <c r="M426" s="173"/>
      <c r="N426" s="173"/>
      <c r="O426" s="173"/>
      <c r="P426" s="173"/>
      <c r="Q426" s="173"/>
      <c r="R426" s="173"/>
      <c r="S426" s="173"/>
      <c r="T426" s="173"/>
      <c r="U426" s="173"/>
      <c r="V426" s="173"/>
      <c r="W426" s="173"/>
      <c r="X426" s="173"/>
      <c r="Y426" s="173"/>
      <c r="Z426" s="173"/>
    </row>
    <row r="427">
      <c r="A427" s="173"/>
      <c r="B427" s="173"/>
      <c r="C427" s="173"/>
      <c r="D427" s="173"/>
      <c r="E427" s="173"/>
      <c r="F427" s="173"/>
      <c r="G427" s="173"/>
      <c r="H427" s="173"/>
      <c r="I427" s="173"/>
      <c r="J427" s="173"/>
      <c r="K427" s="173"/>
      <c r="L427" s="173"/>
      <c r="M427" s="173"/>
      <c r="N427" s="173"/>
      <c r="O427" s="173"/>
      <c r="P427" s="173"/>
      <c r="Q427" s="173"/>
      <c r="R427" s="173"/>
      <c r="S427" s="173"/>
      <c r="T427" s="173"/>
      <c r="U427" s="173"/>
      <c r="V427" s="173"/>
      <c r="W427" s="173"/>
      <c r="X427" s="173"/>
      <c r="Y427" s="173"/>
      <c r="Z427" s="173"/>
    </row>
    <row r="428">
      <c r="A428" s="173"/>
      <c r="B428" s="173"/>
      <c r="C428" s="173"/>
      <c r="D428" s="173"/>
      <c r="E428" s="173"/>
      <c r="F428" s="173"/>
      <c r="G428" s="173"/>
      <c r="H428" s="173"/>
      <c r="I428" s="173"/>
      <c r="J428" s="173"/>
      <c r="K428" s="173"/>
      <c r="L428" s="173"/>
      <c r="M428" s="173"/>
      <c r="N428" s="173"/>
      <c r="O428" s="173"/>
      <c r="P428" s="173"/>
      <c r="Q428" s="173"/>
      <c r="R428" s="173"/>
      <c r="S428" s="173"/>
      <c r="T428" s="173"/>
      <c r="U428" s="173"/>
      <c r="V428" s="173"/>
      <c r="W428" s="173"/>
      <c r="X428" s="173"/>
      <c r="Y428" s="173"/>
      <c r="Z428" s="173"/>
    </row>
    <row r="429">
      <c r="A429" s="173"/>
      <c r="B429" s="173"/>
      <c r="C429" s="173"/>
      <c r="D429" s="173"/>
      <c r="E429" s="173"/>
      <c r="F429" s="173"/>
      <c r="G429" s="173"/>
      <c r="H429" s="173"/>
      <c r="I429" s="173"/>
      <c r="J429" s="173"/>
      <c r="K429" s="173"/>
      <c r="L429" s="173"/>
      <c r="M429" s="173"/>
      <c r="N429" s="173"/>
      <c r="O429" s="173"/>
      <c r="P429" s="173"/>
      <c r="Q429" s="173"/>
      <c r="R429" s="173"/>
      <c r="S429" s="173"/>
      <c r="T429" s="173"/>
      <c r="U429" s="173"/>
      <c r="V429" s="173"/>
      <c r="W429" s="173"/>
      <c r="X429" s="173"/>
      <c r="Y429" s="173"/>
      <c r="Z429" s="173"/>
    </row>
    <row r="430">
      <c r="A430" s="173"/>
      <c r="B430" s="173"/>
      <c r="C430" s="173"/>
      <c r="D430" s="173"/>
      <c r="E430" s="173"/>
      <c r="F430" s="173"/>
      <c r="G430" s="173"/>
      <c r="H430" s="173"/>
      <c r="I430" s="173"/>
      <c r="J430" s="173"/>
      <c r="K430" s="173"/>
      <c r="L430" s="173"/>
      <c r="M430" s="173"/>
      <c r="N430" s="173"/>
      <c r="O430" s="173"/>
      <c r="P430" s="173"/>
      <c r="Q430" s="173"/>
      <c r="R430" s="173"/>
      <c r="S430" s="173"/>
      <c r="T430" s="173"/>
      <c r="U430" s="173"/>
      <c r="V430" s="173"/>
      <c r="W430" s="173"/>
      <c r="X430" s="173"/>
      <c r="Y430" s="173"/>
      <c r="Z430" s="173"/>
    </row>
    <row r="431">
      <c r="A431" s="173"/>
      <c r="B431" s="173"/>
      <c r="C431" s="173"/>
      <c r="D431" s="173"/>
      <c r="E431" s="173"/>
      <c r="F431" s="173"/>
      <c r="G431" s="173"/>
      <c r="H431" s="173"/>
      <c r="I431" s="173"/>
      <c r="J431" s="173"/>
      <c r="K431" s="173"/>
      <c r="L431" s="173"/>
      <c r="M431" s="173"/>
      <c r="N431" s="173"/>
      <c r="O431" s="173"/>
      <c r="P431" s="173"/>
      <c r="Q431" s="173"/>
      <c r="R431" s="173"/>
      <c r="S431" s="173"/>
      <c r="T431" s="173"/>
      <c r="U431" s="173"/>
      <c r="V431" s="173"/>
      <c r="W431" s="173"/>
      <c r="X431" s="173"/>
      <c r="Y431" s="173"/>
      <c r="Z431" s="173"/>
    </row>
    <row r="432">
      <c r="A432" s="173"/>
      <c r="B432" s="173"/>
      <c r="C432" s="173"/>
      <c r="D432" s="173"/>
      <c r="E432" s="173"/>
      <c r="F432" s="173"/>
      <c r="G432" s="173"/>
      <c r="H432" s="173"/>
      <c r="I432" s="173"/>
      <c r="J432" s="173"/>
      <c r="K432" s="173"/>
      <c r="L432" s="173"/>
      <c r="M432" s="173"/>
      <c r="N432" s="173"/>
      <c r="O432" s="173"/>
      <c r="P432" s="173"/>
      <c r="Q432" s="173"/>
      <c r="R432" s="173"/>
      <c r="S432" s="173"/>
      <c r="T432" s="173"/>
      <c r="U432" s="173"/>
      <c r="V432" s="173"/>
      <c r="W432" s="173"/>
      <c r="X432" s="173"/>
      <c r="Y432" s="173"/>
      <c r="Z432" s="173"/>
    </row>
    <row r="433">
      <c r="A433" s="173"/>
      <c r="B433" s="173"/>
      <c r="C433" s="173"/>
      <c r="D433" s="173"/>
      <c r="E433" s="173"/>
      <c r="F433" s="173"/>
      <c r="G433" s="173"/>
      <c r="H433" s="173"/>
      <c r="I433" s="173"/>
      <c r="J433" s="173"/>
      <c r="K433" s="173"/>
      <c r="L433" s="173"/>
      <c r="M433" s="173"/>
      <c r="N433" s="173"/>
      <c r="O433" s="173"/>
      <c r="P433" s="173"/>
      <c r="Q433" s="173"/>
      <c r="R433" s="173"/>
      <c r="S433" s="173"/>
      <c r="T433" s="173"/>
      <c r="U433" s="173"/>
      <c r="V433" s="173"/>
      <c r="W433" s="173"/>
      <c r="X433" s="173"/>
      <c r="Y433" s="173"/>
      <c r="Z433" s="173"/>
    </row>
    <row r="434">
      <c r="A434" s="173"/>
      <c r="B434" s="173"/>
      <c r="C434" s="173"/>
      <c r="D434" s="173"/>
      <c r="E434" s="173"/>
      <c r="F434" s="173"/>
      <c r="G434" s="173"/>
      <c r="H434" s="173"/>
      <c r="I434" s="173"/>
      <c r="J434" s="173"/>
      <c r="K434" s="173"/>
      <c r="L434" s="173"/>
      <c r="M434" s="173"/>
      <c r="N434" s="173"/>
      <c r="O434" s="173"/>
      <c r="P434" s="173"/>
      <c r="Q434" s="173"/>
      <c r="R434" s="173"/>
      <c r="S434" s="173"/>
      <c r="T434" s="173"/>
      <c r="U434" s="173"/>
      <c r="V434" s="173"/>
      <c r="W434" s="173"/>
      <c r="X434" s="173"/>
      <c r="Y434" s="173"/>
      <c r="Z434" s="173"/>
    </row>
    <row r="435">
      <c r="A435" s="173"/>
      <c r="B435" s="173"/>
      <c r="C435" s="173"/>
      <c r="D435" s="173"/>
      <c r="E435" s="173"/>
      <c r="F435" s="173"/>
      <c r="G435" s="173"/>
      <c r="H435" s="173"/>
      <c r="I435" s="173"/>
      <c r="J435" s="173"/>
      <c r="K435" s="173"/>
      <c r="L435" s="173"/>
      <c r="M435" s="173"/>
      <c r="N435" s="173"/>
      <c r="O435" s="173"/>
      <c r="P435" s="173"/>
      <c r="Q435" s="173"/>
      <c r="R435" s="173"/>
      <c r="S435" s="173"/>
      <c r="T435" s="173"/>
      <c r="U435" s="173"/>
      <c r="V435" s="173"/>
      <c r="W435" s="173"/>
      <c r="X435" s="173"/>
      <c r="Y435" s="173"/>
      <c r="Z435" s="173"/>
    </row>
    <row r="436">
      <c r="A436" s="173"/>
      <c r="B436" s="173"/>
      <c r="C436" s="173"/>
      <c r="D436" s="173"/>
      <c r="E436" s="173"/>
      <c r="F436" s="173"/>
      <c r="G436" s="173"/>
      <c r="H436" s="173"/>
      <c r="I436" s="173"/>
      <c r="J436" s="173"/>
      <c r="K436" s="173"/>
      <c r="L436" s="173"/>
      <c r="M436" s="173"/>
      <c r="N436" s="173"/>
      <c r="O436" s="173"/>
      <c r="P436" s="173"/>
      <c r="Q436" s="173"/>
      <c r="R436" s="173"/>
      <c r="S436" s="173"/>
      <c r="T436" s="173"/>
      <c r="U436" s="173"/>
      <c r="V436" s="173"/>
      <c r="W436" s="173"/>
      <c r="X436" s="173"/>
      <c r="Y436" s="173"/>
      <c r="Z436" s="173"/>
    </row>
    <row r="437">
      <c r="A437" s="173"/>
      <c r="B437" s="173"/>
      <c r="C437" s="173"/>
      <c r="D437" s="173"/>
      <c r="E437" s="173"/>
      <c r="F437" s="173"/>
      <c r="G437" s="173"/>
      <c r="H437" s="173"/>
      <c r="I437" s="173"/>
      <c r="J437" s="173"/>
      <c r="K437" s="173"/>
      <c r="L437" s="173"/>
      <c r="M437" s="173"/>
      <c r="N437" s="173"/>
      <c r="O437" s="173"/>
      <c r="P437" s="173"/>
      <c r="Q437" s="173"/>
      <c r="R437" s="173"/>
      <c r="S437" s="173"/>
      <c r="T437" s="173"/>
      <c r="U437" s="173"/>
      <c r="V437" s="173"/>
      <c r="W437" s="173"/>
      <c r="X437" s="173"/>
      <c r="Y437" s="173"/>
      <c r="Z437" s="173"/>
    </row>
    <row r="438">
      <c r="A438" s="173"/>
      <c r="B438" s="173"/>
      <c r="C438" s="173"/>
      <c r="D438" s="173"/>
      <c r="E438" s="173"/>
      <c r="F438" s="173"/>
      <c r="G438" s="173"/>
      <c r="H438" s="173"/>
      <c r="I438" s="173"/>
      <c r="J438" s="173"/>
      <c r="K438" s="173"/>
      <c r="L438" s="173"/>
      <c r="M438" s="173"/>
      <c r="N438" s="173"/>
      <c r="O438" s="173"/>
      <c r="P438" s="173"/>
      <c r="Q438" s="173"/>
      <c r="R438" s="173"/>
      <c r="S438" s="173"/>
      <c r="T438" s="173"/>
      <c r="U438" s="173"/>
      <c r="V438" s="173"/>
      <c r="W438" s="173"/>
      <c r="X438" s="173"/>
      <c r="Y438" s="173"/>
      <c r="Z438" s="173"/>
    </row>
    <row r="439">
      <c r="A439" s="173"/>
      <c r="B439" s="173"/>
      <c r="C439" s="173"/>
      <c r="D439" s="173"/>
      <c r="E439" s="173"/>
      <c r="F439" s="173"/>
      <c r="G439" s="173"/>
      <c r="H439" s="173"/>
      <c r="I439" s="173"/>
      <c r="J439" s="173"/>
      <c r="K439" s="173"/>
      <c r="L439" s="173"/>
      <c r="M439" s="173"/>
      <c r="N439" s="173"/>
      <c r="O439" s="173"/>
      <c r="P439" s="173"/>
      <c r="Q439" s="173"/>
      <c r="R439" s="173"/>
      <c r="S439" s="173"/>
      <c r="T439" s="173"/>
      <c r="U439" s="173"/>
      <c r="V439" s="173"/>
      <c r="W439" s="173"/>
      <c r="X439" s="173"/>
      <c r="Y439" s="173"/>
      <c r="Z439" s="173"/>
    </row>
    <row r="440">
      <c r="A440" s="173"/>
      <c r="B440" s="173"/>
      <c r="C440" s="173"/>
      <c r="D440" s="173"/>
      <c r="E440" s="173"/>
      <c r="F440" s="173"/>
      <c r="G440" s="173"/>
      <c r="H440" s="173"/>
      <c r="I440" s="173"/>
      <c r="J440" s="173"/>
      <c r="K440" s="173"/>
      <c r="L440" s="173"/>
      <c r="M440" s="173"/>
      <c r="N440" s="173"/>
      <c r="O440" s="173"/>
      <c r="P440" s="173"/>
      <c r="Q440" s="173"/>
      <c r="R440" s="173"/>
      <c r="S440" s="173"/>
      <c r="T440" s="173"/>
      <c r="U440" s="173"/>
      <c r="V440" s="173"/>
      <c r="W440" s="173"/>
      <c r="X440" s="173"/>
      <c r="Y440" s="173"/>
      <c r="Z440" s="173"/>
    </row>
    <row r="441">
      <c r="A441" s="173"/>
      <c r="B441" s="173"/>
      <c r="C441" s="173"/>
      <c r="D441" s="173"/>
      <c r="E441" s="173"/>
      <c r="F441" s="173"/>
      <c r="G441" s="173"/>
      <c r="H441" s="173"/>
      <c r="I441" s="173"/>
      <c r="J441" s="173"/>
      <c r="K441" s="173"/>
      <c r="L441" s="173"/>
      <c r="M441" s="173"/>
      <c r="N441" s="173"/>
      <c r="O441" s="173"/>
      <c r="P441" s="173"/>
      <c r="Q441" s="173"/>
      <c r="R441" s="173"/>
      <c r="S441" s="173"/>
      <c r="T441" s="173"/>
      <c r="U441" s="173"/>
      <c r="V441" s="173"/>
      <c r="W441" s="173"/>
      <c r="X441" s="173"/>
      <c r="Y441" s="173"/>
      <c r="Z441" s="173"/>
    </row>
    <row r="442">
      <c r="A442" s="173"/>
      <c r="B442" s="173"/>
      <c r="C442" s="173"/>
      <c r="D442" s="173"/>
      <c r="E442" s="173"/>
      <c r="F442" s="173"/>
      <c r="G442" s="173"/>
      <c r="H442" s="173"/>
      <c r="I442" s="173"/>
      <c r="J442" s="173"/>
      <c r="K442" s="173"/>
      <c r="L442" s="173"/>
      <c r="M442" s="173"/>
      <c r="N442" s="173"/>
      <c r="O442" s="173"/>
      <c r="P442" s="173"/>
      <c r="Q442" s="173"/>
      <c r="R442" s="173"/>
      <c r="S442" s="173"/>
      <c r="T442" s="173"/>
      <c r="U442" s="173"/>
      <c r="V442" s="173"/>
      <c r="W442" s="173"/>
      <c r="X442" s="173"/>
      <c r="Y442" s="173"/>
      <c r="Z442" s="173"/>
    </row>
    <row r="443">
      <c r="A443" s="173"/>
      <c r="B443" s="173"/>
      <c r="C443" s="173"/>
      <c r="D443" s="173"/>
      <c r="E443" s="173"/>
      <c r="F443" s="173"/>
      <c r="G443" s="173"/>
      <c r="H443" s="173"/>
      <c r="I443" s="173"/>
      <c r="J443" s="173"/>
      <c r="K443" s="173"/>
      <c r="L443" s="173"/>
      <c r="M443" s="173"/>
      <c r="N443" s="173"/>
      <c r="O443" s="173"/>
      <c r="P443" s="173"/>
      <c r="Q443" s="173"/>
      <c r="R443" s="173"/>
      <c r="S443" s="173"/>
      <c r="T443" s="173"/>
      <c r="U443" s="173"/>
      <c r="V443" s="173"/>
      <c r="W443" s="173"/>
      <c r="X443" s="173"/>
      <c r="Y443" s="173"/>
      <c r="Z443" s="173"/>
    </row>
    <row r="444">
      <c r="A444" s="173"/>
      <c r="B444" s="173"/>
      <c r="C444" s="173"/>
      <c r="D444" s="173"/>
      <c r="E444" s="173"/>
      <c r="F444" s="173"/>
      <c r="G444" s="173"/>
      <c r="H444" s="173"/>
      <c r="I444" s="173"/>
      <c r="J444" s="173"/>
      <c r="K444" s="173"/>
      <c r="L444" s="173"/>
      <c r="M444" s="173"/>
      <c r="N444" s="173"/>
      <c r="O444" s="173"/>
      <c r="P444" s="173"/>
      <c r="Q444" s="173"/>
      <c r="R444" s="173"/>
      <c r="S444" s="173"/>
      <c r="T444" s="173"/>
      <c r="U444" s="173"/>
      <c r="V444" s="173"/>
      <c r="W444" s="173"/>
      <c r="X444" s="173"/>
      <c r="Y444" s="173"/>
      <c r="Z444" s="173"/>
    </row>
    <row r="445">
      <c r="A445" s="173"/>
      <c r="B445" s="173"/>
      <c r="C445" s="173"/>
      <c r="D445" s="173"/>
      <c r="E445" s="173"/>
      <c r="F445" s="173"/>
      <c r="G445" s="173"/>
      <c r="H445" s="173"/>
      <c r="I445" s="173"/>
      <c r="J445" s="173"/>
      <c r="K445" s="173"/>
      <c r="L445" s="173"/>
      <c r="M445" s="173"/>
      <c r="N445" s="173"/>
      <c r="O445" s="173"/>
      <c r="P445" s="173"/>
      <c r="Q445" s="173"/>
      <c r="R445" s="173"/>
      <c r="S445" s="173"/>
      <c r="T445" s="173"/>
      <c r="U445" s="173"/>
      <c r="V445" s="173"/>
      <c r="W445" s="173"/>
      <c r="X445" s="173"/>
      <c r="Y445" s="173"/>
      <c r="Z445" s="173"/>
    </row>
    <row r="446">
      <c r="A446" s="173"/>
      <c r="B446" s="173"/>
      <c r="C446" s="173"/>
      <c r="D446" s="173"/>
      <c r="E446" s="173"/>
      <c r="F446" s="173"/>
      <c r="G446" s="173"/>
      <c r="H446" s="173"/>
      <c r="I446" s="173"/>
      <c r="J446" s="173"/>
      <c r="K446" s="173"/>
      <c r="L446" s="173"/>
      <c r="M446" s="173"/>
      <c r="N446" s="173"/>
      <c r="O446" s="173"/>
      <c r="P446" s="173"/>
      <c r="Q446" s="173"/>
      <c r="R446" s="173"/>
      <c r="S446" s="173"/>
      <c r="T446" s="173"/>
      <c r="U446" s="173"/>
      <c r="V446" s="173"/>
      <c r="W446" s="173"/>
      <c r="X446" s="173"/>
      <c r="Y446" s="173"/>
      <c r="Z446" s="173"/>
    </row>
    <row r="447">
      <c r="A447" s="173"/>
      <c r="B447" s="173"/>
      <c r="C447" s="173"/>
      <c r="D447" s="173"/>
      <c r="E447" s="173"/>
      <c r="F447" s="173"/>
      <c r="G447" s="173"/>
      <c r="H447" s="173"/>
      <c r="I447" s="173"/>
      <c r="J447" s="173"/>
      <c r="K447" s="173"/>
      <c r="L447" s="173"/>
      <c r="M447" s="173"/>
      <c r="N447" s="173"/>
      <c r="O447" s="173"/>
      <c r="P447" s="173"/>
      <c r="Q447" s="173"/>
      <c r="R447" s="173"/>
      <c r="S447" s="173"/>
      <c r="T447" s="173"/>
      <c r="U447" s="173"/>
      <c r="V447" s="173"/>
      <c r="W447" s="173"/>
      <c r="X447" s="173"/>
      <c r="Y447" s="173"/>
      <c r="Z447" s="173"/>
    </row>
    <row r="448">
      <c r="A448" s="173"/>
      <c r="B448" s="173"/>
      <c r="C448" s="173"/>
      <c r="D448" s="173"/>
      <c r="E448" s="173"/>
      <c r="F448" s="173"/>
      <c r="G448" s="173"/>
      <c r="H448" s="173"/>
      <c r="I448" s="173"/>
      <c r="J448" s="173"/>
      <c r="K448" s="173"/>
      <c r="L448" s="173"/>
      <c r="M448" s="173"/>
      <c r="N448" s="173"/>
      <c r="O448" s="173"/>
      <c r="P448" s="173"/>
      <c r="Q448" s="173"/>
      <c r="R448" s="173"/>
      <c r="S448" s="173"/>
      <c r="T448" s="173"/>
      <c r="U448" s="173"/>
      <c r="V448" s="173"/>
      <c r="W448" s="173"/>
      <c r="X448" s="173"/>
      <c r="Y448" s="173"/>
      <c r="Z448" s="173"/>
    </row>
    <row r="449">
      <c r="A449" s="173"/>
      <c r="B449" s="173"/>
      <c r="C449" s="173"/>
      <c r="D449" s="173"/>
      <c r="E449" s="173"/>
      <c r="F449" s="173"/>
      <c r="G449" s="173"/>
      <c r="H449" s="173"/>
      <c r="I449" s="173"/>
      <c r="J449" s="173"/>
      <c r="K449" s="173"/>
      <c r="L449" s="173"/>
      <c r="M449" s="173"/>
      <c r="N449" s="173"/>
      <c r="O449" s="173"/>
      <c r="P449" s="173"/>
      <c r="Q449" s="173"/>
      <c r="R449" s="173"/>
      <c r="S449" s="173"/>
      <c r="T449" s="173"/>
      <c r="U449" s="173"/>
      <c r="V449" s="173"/>
      <c r="W449" s="173"/>
      <c r="X449" s="173"/>
      <c r="Y449" s="173"/>
      <c r="Z449" s="173"/>
    </row>
    <row r="450">
      <c r="A450" s="173"/>
      <c r="B450" s="173"/>
      <c r="C450" s="173"/>
      <c r="D450" s="173"/>
      <c r="E450" s="173"/>
      <c r="F450" s="173"/>
      <c r="G450" s="173"/>
      <c r="H450" s="173"/>
      <c r="I450" s="173"/>
      <c r="J450" s="173"/>
      <c r="K450" s="173"/>
      <c r="L450" s="173"/>
      <c r="M450" s="173"/>
      <c r="N450" s="173"/>
      <c r="O450" s="173"/>
      <c r="P450" s="173"/>
      <c r="Q450" s="173"/>
      <c r="R450" s="173"/>
      <c r="S450" s="173"/>
      <c r="T450" s="173"/>
      <c r="U450" s="173"/>
      <c r="V450" s="173"/>
      <c r="W450" s="173"/>
      <c r="X450" s="173"/>
      <c r="Y450" s="173"/>
      <c r="Z450" s="173"/>
    </row>
    <row r="451">
      <c r="A451" s="173"/>
      <c r="B451" s="173"/>
      <c r="C451" s="173"/>
      <c r="D451" s="173"/>
      <c r="E451" s="173"/>
      <c r="F451" s="173"/>
      <c r="G451" s="173"/>
      <c r="H451" s="173"/>
      <c r="I451" s="173"/>
      <c r="J451" s="173"/>
      <c r="K451" s="173"/>
      <c r="L451" s="173"/>
      <c r="M451" s="173"/>
      <c r="N451" s="173"/>
      <c r="O451" s="173"/>
      <c r="P451" s="173"/>
      <c r="Q451" s="173"/>
      <c r="R451" s="173"/>
      <c r="S451" s="173"/>
      <c r="T451" s="173"/>
      <c r="U451" s="173"/>
      <c r="V451" s="173"/>
      <c r="W451" s="173"/>
      <c r="X451" s="173"/>
      <c r="Y451" s="173"/>
      <c r="Z451" s="173"/>
    </row>
    <row r="452">
      <c r="A452" s="173"/>
      <c r="B452" s="173"/>
      <c r="C452" s="173"/>
      <c r="D452" s="173"/>
      <c r="E452" s="173"/>
      <c r="F452" s="173"/>
      <c r="G452" s="173"/>
      <c r="H452" s="173"/>
      <c r="I452" s="173"/>
      <c r="J452" s="173"/>
      <c r="K452" s="173"/>
      <c r="L452" s="173"/>
      <c r="M452" s="173"/>
      <c r="N452" s="173"/>
      <c r="O452" s="173"/>
      <c r="P452" s="173"/>
      <c r="Q452" s="173"/>
      <c r="R452" s="173"/>
      <c r="S452" s="173"/>
      <c r="T452" s="173"/>
      <c r="U452" s="173"/>
      <c r="V452" s="173"/>
      <c r="W452" s="173"/>
      <c r="X452" s="173"/>
      <c r="Y452" s="173"/>
      <c r="Z452" s="173"/>
    </row>
    <row r="453">
      <c r="A453" s="173"/>
      <c r="B453" s="173"/>
      <c r="C453" s="173"/>
      <c r="D453" s="173"/>
      <c r="E453" s="173"/>
      <c r="F453" s="173"/>
      <c r="G453" s="173"/>
      <c r="H453" s="173"/>
      <c r="I453" s="173"/>
      <c r="J453" s="173"/>
      <c r="K453" s="173"/>
      <c r="L453" s="173"/>
      <c r="M453" s="173"/>
      <c r="N453" s="173"/>
      <c r="O453" s="173"/>
      <c r="P453" s="173"/>
      <c r="Q453" s="173"/>
      <c r="R453" s="173"/>
      <c r="S453" s="173"/>
      <c r="T453" s="173"/>
      <c r="U453" s="173"/>
      <c r="V453" s="173"/>
      <c r="W453" s="173"/>
      <c r="X453" s="173"/>
      <c r="Y453" s="173"/>
      <c r="Z453" s="173"/>
    </row>
    <row r="454">
      <c r="A454" s="173"/>
      <c r="B454" s="173"/>
      <c r="C454" s="173"/>
      <c r="D454" s="173"/>
      <c r="E454" s="173"/>
      <c r="F454" s="173"/>
      <c r="G454" s="173"/>
      <c r="H454" s="173"/>
      <c r="I454" s="173"/>
      <c r="J454" s="173"/>
      <c r="K454" s="173"/>
      <c r="L454" s="173"/>
      <c r="M454" s="173"/>
      <c r="N454" s="173"/>
      <c r="O454" s="173"/>
      <c r="P454" s="173"/>
      <c r="Q454" s="173"/>
      <c r="R454" s="173"/>
      <c r="S454" s="173"/>
      <c r="T454" s="173"/>
      <c r="U454" s="173"/>
      <c r="V454" s="173"/>
      <c r="W454" s="173"/>
      <c r="X454" s="173"/>
      <c r="Y454" s="173"/>
      <c r="Z454" s="173"/>
    </row>
    <row r="455">
      <c r="A455" s="173"/>
      <c r="B455" s="173"/>
      <c r="C455" s="173"/>
      <c r="D455" s="173"/>
      <c r="E455" s="173"/>
      <c r="F455" s="173"/>
      <c r="G455" s="173"/>
      <c r="H455" s="173"/>
      <c r="I455" s="173"/>
      <c r="J455" s="173"/>
      <c r="K455" s="173"/>
      <c r="L455" s="173"/>
      <c r="M455" s="173"/>
      <c r="N455" s="173"/>
      <c r="O455" s="173"/>
      <c r="P455" s="173"/>
      <c r="Q455" s="173"/>
      <c r="R455" s="173"/>
      <c r="S455" s="173"/>
      <c r="T455" s="173"/>
      <c r="U455" s="173"/>
      <c r="V455" s="173"/>
      <c r="W455" s="173"/>
      <c r="X455" s="173"/>
      <c r="Y455" s="173"/>
      <c r="Z455" s="173"/>
    </row>
    <row r="456">
      <c r="A456" s="173"/>
      <c r="B456" s="173"/>
      <c r="C456" s="173"/>
      <c r="D456" s="173"/>
      <c r="E456" s="173"/>
      <c r="F456" s="173"/>
      <c r="G456" s="173"/>
      <c r="H456" s="173"/>
      <c r="I456" s="173"/>
      <c r="J456" s="173"/>
      <c r="K456" s="173"/>
      <c r="L456" s="173"/>
      <c r="M456" s="173"/>
      <c r="N456" s="173"/>
      <c r="O456" s="173"/>
      <c r="P456" s="173"/>
      <c r="Q456" s="173"/>
      <c r="R456" s="173"/>
      <c r="S456" s="173"/>
      <c r="T456" s="173"/>
      <c r="U456" s="173"/>
      <c r="V456" s="173"/>
      <c r="W456" s="173"/>
      <c r="X456" s="173"/>
      <c r="Y456" s="173"/>
      <c r="Z456" s="173"/>
    </row>
    <row r="457">
      <c r="A457" s="173"/>
      <c r="B457" s="173"/>
      <c r="C457" s="173"/>
      <c r="D457" s="173"/>
      <c r="E457" s="173"/>
      <c r="F457" s="173"/>
      <c r="G457" s="173"/>
      <c r="H457" s="173"/>
      <c r="I457" s="173"/>
      <c r="J457" s="173"/>
      <c r="K457" s="173"/>
      <c r="L457" s="173"/>
      <c r="M457" s="173"/>
      <c r="N457" s="173"/>
      <c r="O457" s="173"/>
      <c r="P457" s="173"/>
      <c r="Q457" s="173"/>
      <c r="R457" s="173"/>
      <c r="S457" s="173"/>
      <c r="T457" s="173"/>
      <c r="U457" s="173"/>
      <c r="V457" s="173"/>
      <c r="W457" s="173"/>
      <c r="X457" s="173"/>
      <c r="Y457" s="173"/>
      <c r="Z457" s="173"/>
    </row>
    <row r="458">
      <c r="A458" s="173"/>
      <c r="B458" s="173"/>
      <c r="C458" s="173"/>
      <c r="D458" s="173"/>
      <c r="E458" s="173"/>
      <c r="F458" s="173"/>
      <c r="G458" s="173"/>
      <c r="H458" s="173"/>
      <c r="I458" s="173"/>
      <c r="J458" s="173"/>
      <c r="K458" s="173"/>
      <c r="L458" s="173"/>
      <c r="M458" s="173"/>
      <c r="N458" s="173"/>
      <c r="O458" s="173"/>
      <c r="P458" s="173"/>
      <c r="Q458" s="173"/>
      <c r="R458" s="173"/>
      <c r="S458" s="173"/>
      <c r="T458" s="173"/>
      <c r="U458" s="173"/>
      <c r="V458" s="173"/>
      <c r="W458" s="173"/>
      <c r="X458" s="173"/>
      <c r="Y458" s="173"/>
      <c r="Z458" s="173"/>
    </row>
    <row r="459">
      <c r="A459" s="173"/>
      <c r="B459" s="173"/>
      <c r="C459" s="173"/>
      <c r="D459" s="173"/>
      <c r="E459" s="173"/>
      <c r="F459" s="173"/>
      <c r="G459" s="173"/>
      <c r="H459" s="173"/>
      <c r="I459" s="173"/>
      <c r="J459" s="173"/>
      <c r="K459" s="173"/>
      <c r="L459" s="173"/>
      <c r="M459" s="173"/>
      <c r="N459" s="173"/>
      <c r="O459" s="173"/>
      <c r="P459" s="173"/>
      <c r="Q459" s="173"/>
      <c r="R459" s="173"/>
      <c r="S459" s="173"/>
      <c r="T459" s="173"/>
      <c r="U459" s="173"/>
      <c r="V459" s="173"/>
      <c r="W459" s="173"/>
      <c r="X459" s="173"/>
      <c r="Y459" s="173"/>
      <c r="Z459" s="173"/>
    </row>
    <row r="460">
      <c r="A460" s="173"/>
      <c r="B460" s="173"/>
      <c r="C460" s="173"/>
      <c r="D460" s="173"/>
      <c r="E460" s="173"/>
      <c r="F460" s="173"/>
      <c r="G460" s="173"/>
      <c r="H460" s="173"/>
      <c r="I460" s="173"/>
      <c r="J460" s="173"/>
      <c r="K460" s="173"/>
      <c r="L460" s="173"/>
      <c r="M460" s="173"/>
      <c r="N460" s="173"/>
      <c r="O460" s="173"/>
      <c r="P460" s="173"/>
      <c r="Q460" s="173"/>
      <c r="R460" s="173"/>
      <c r="S460" s="173"/>
      <c r="T460" s="173"/>
      <c r="U460" s="173"/>
      <c r="V460" s="173"/>
      <c r="W460" s="173"/>
      <c r="X460" s="173"/>
      <c r="Y460" s="173"/>
      <c r="Z460" s="173"/>
    </row>
    <row r="461">
      <c r="A461" s="173"/>
      <c r="B461" s="173"/>
      <c r="C461" s="173"/>
      <c r="D461" s="173"/>
      <c r="E461" s="173"/>
      <c r="F461" s="173"/>
      <c r="G461" s="173"/>
      <c r="H461" s="173"/>
      <c r="I461" s="173"/>
      <c r="J461" s="173"/>
      <c r="K461" s="173"/>
      <c r="L461" s="173"/>
      <c r="M461" s="173"/>
      <c r="N461" s="173"/>
      <c r="O461" s="173"/>
      <c r="P461" s="173"/>
      <c r="Q461" s="173"/>
      <c r="R461" s="173"/>
      <c r="S461" s="173"/>
      <c r="T461" s="173"/>
      <c r="U461" s="173"/>
      <c r="V461" s="173"/>
      <c r="W461" s="173"/>
      <c r="X461" s="173"/>
      <c r="Y461" s="173"/>
      <c r="Z461" s="173"/>
    </row>
    <row r="462">
      <c r="A462" s="173"/>
      <c r="B462" s="173"/>
      <c r="C462" s="173"/>
      <c r="D462" s="173"/>
      <c r="E462" s="173"/>
      <c r="F462" s="173"/>
      <c r="G462" s="173"/>
      <c r="H462" s="173"/>
      <c r="I462" s="173"/>
      <c r="J462" s="173"/>
      <c r="K462" s="173"/>
      <c r="L462" s="173"/>
      <c r="M462" s="173"/>
      <c r="N462" s="173"/>
      <c r="O462" s="173"/>
      <c r="P462" s="173"/>
      <c r="Q462" s="173"/>
      <c r="R462" s="173"/>
      <c r="S462" s="173"/>
      <c r="T462" s="173"/>
      <c r="U462" s="173"/>
      <c r="V462" s="173"/>
      <c r="W462" s="173"/>
      <c r="X462" s="173"/>
      <c r="Y462" s="173"/>
      <c r="Z462" s="173"/>
    </row>
    <row r="463">
      <c r="A463" s="173"/>
      <c r="B463" s="173"/>
      <c r="C463" s="173"/>
      <c r="D463" s="173"/>
      <c r="E463" s="173"/>
      <c r="F463" s="173"/>
      <c r="G463" s="173"/>
      <c r="H463" s="173"/>
      <c r="I463" s="173"/>
      <c r="J463" s="173"/>
      <c r="K463" s="173"/>
      <c r="L463" s="173"/>
      <c r="M463" s="173"/>
      <c r="N463" s="173"/>
      <c r="O463" s="173"/>
      <c r="P463" s="173"/>
      <c r="Q463" s="173"/>
      <c r="R463" s="173"/>
      <c r="S463" s="173"/>
      <c r="T463" s="173"/>
      <c r="U463" s="173"/>
      <c r="V463" s="173"/>
      <c r="W463" s="173"/>
      <c r="X463" s="173"/>
      <c r="Y463" s="173"/>
      <c r="Z463" s="173"/>
    </row>
    <row r="464">
      <c r="A464" s="173"/>
      <c r="B464" s="173"/>
      <c r="C464" s="173"/>
      <c r="D464" s="173"/>
      <c r="E464" s="173"/>
      <c r="F464" s="173"/>
      <c r="G464" s="173"/>
      <c r="H464" s="173"/>
      <c r="I464" s="173"/>
      <c r="J464" s="173"/>
      <c r="K464" s="173"/>
      <c r="L464" s="173"/>
      <c r="M464" s="173"/>
      <c r="N464" s="173"/>
      <c r="O464" s="173"/>
      <c r="P464" s="173"/>
      <c r="Q464" s="173"/>
      <c r="R464" s="173"/>
      <c r="S464" s="173"/>
      <c r="T464" s="173"/>
      <c r="U464" s="173"/>
      <c r="V464" s="173"/>
      <c r="W464" s="173"/>
      <c r="X464" s="173"/>
      <c r="Y464" s="173"/>
      <c r="Z464" s="173"/>
    </row>
    <row r="465">
      <c r="A465" s="173"/>
      <c r="B465" s="173"/>
      <c r="C465" s="173"/>
      <c r="D465" s="173"/>
      <c r="E465" s="173"/>
      <c r="F465" s="173"/>
      <c r="G465" s="173"/>
      <c r="H465" s="173"/>
      <c r="I465" s="173"/>
      <c r="J465" s="173"/>
      <c r="K465" s="173"/>
      <c r="L465" s="173"/>
      <c r="M465" s="173"/>
      <c r="N465" s="173"/>
      <c r="O465" s="173"/>
      <c r="P465" s="173"/>
      <c r="Q465" s="173"/>
      <c r="R465" s="173"/>
      <c r="S465" s="173"/>
      <c r="T465" s="173"/>
      <c r="U465" s="173"/>
      <c r="V465" s="173"/>
      <c r="W465" s="173"/>
      <c r="X465" s="173"/>
      <c r="Y465" s="173"/>
      <c r="Z465" s="173"/>
    </row>
    <row r="466">
      <c r="A466" s="173"/>
      <c r="B466" s="173"/>
      <c r="C466" s="173"/>
      <c r="D466" s="173"/>
      <c r="E466" s="173"/>
      <c r="F466" s="173"/>
      <c r="G466" s="173"/>
      <c r="H466" s="173"/>
      <c r="I466" s="173"/>
      <c r="J466" s="173"/>
      <c r="K466" s="173"/>
      <c r="L466" s="173"/>
      <c r="M466" s="173"/>
      <c r="N466" s="173"/>
      <c r="O466" s="173"/>
      <c r="P466" s="173"/>
      <c r="Q466" s="173"/>
      <c r="R466" s="173"/>
      <c r="S466" s="173"/>
      <c r="T466" s="173"/>
      <c r="U466" s="173"/>
      <c r="V466" s="173"/>
      <c r="W466" s="173"/>
      <c r="X466" s="173"/>
      <c r="Y466" s="173"/>
      <c r="Z466" s="173"/>
    </row>
    <row r="467">
      <c r="A467" s="173"/>
      <c r="B467" s="173"/>
      <c r="C467" s="173"/>
      <c r="D467" s="173"/>
      <c r="E467" s="173"/>
      <c r="F467" s="173"/>
      <c r="G467" s="173"/>
      <c r="H467" s="173"/>
      <c r="I467" s="173"/>
      <c r="J467" s="173"/>
      <c r="K467" s="173"/>
      <c r="L467" s="173"/>
      <c r="M467" s="173"/>
      <c r="N467" s="173"/>
      <c r="O467" s="173"/>
      <c r="P467" s="173"/>
      <c r="Q467" s="173"/>
      <c r="R467" s="173"/>
      <c r="S467" s="173"/>
      <c r="T467" s="173"/>
      <c r="U467" s="173"/>
      <c r="V467" s="173"/>
      <c r="W467" s="173"/>
      <c r="X467" s="173"/>
      <c r="Y467" s="173"/>
      <c r="Z467" s="173"/>
    </row>
    <row r="468">
      <c r="A468" s="173"/>
      <c r="B468" s="173"/>
      <c r="C468" s="173"/>
      <c r="D468" s="173"/>
      <c r="E468" s="173"/>
      <c r="F468" s="173"/>
      <c r="G468" s="173"/>
      <c r="H468" s="173"/>
      <c r="I468" s="173"/>
      <c r="J468" s="173"/>
      <c r="K468" s="173"/>
      <c r="L468" s="173"/>
      <c r="M468" s="173"/>
      <c r="N468" s="173"/>
      <c r="O468" s="173"/>
      <c r="P468" s="173"/>
      <c r="Q468" s="173"/>
      <c r="R468" s="173"/>
      <c r="S468" s="173"/>
      <c r="T468" s="173"/>
      <c r="U468" s="173"/>
      <c r="V468" s="173"/>
      <c r="W468" s="173"/>
      <c r="X468" s="173"/>
      <c r="Y468" s="173"/>
      <c r="Z468" s="173"/>
    </row>
    <row r="469">
      <c r="A469" s="173"/>
      <c r="B469" s="173"/>
      <c r="C469" s="173"/>
      <c r="D469" s="173"/>
      <c r="E469" s="173"/>
      <c r="F469" s="173"/>
      <c r="G469" s="173"/>
      <c r="H469" s="173"/>
      <c r="I469" s="173"/>
      <c r="J469" s="173"/>
      <c r="K469" s="173"/>
      <c r="L469" s="173"/>
      <c r="M469" s="173"/>
      <c r="N469" s="173"/>
      <c r="O469" s="173"/>
      <c r="P469" s="173"/>
      <c r="Q469" s="173"/>
      <c r="R469" s="173"/>
      <c r="S469" s="173"/>
      <c r="T469" s="173"/>
      <c r="U469" s="173"/>
      <c r="V469" s="173"/>
      <c r="W469" s="173"/>
      <c r="X469" s="173"/>
      <c r="Y469" s="173"/>
      <c r="Z469" s="173"/>
    </row>
    <row r="470">
      <c r="A470" s="173"/>
      <c r="B470" s="173"/>
      <c r="C470" s="173"/>
      <c r="D470" s="173"/>
      <c r="E470" s="173"/>
      <c r="F470" s="173"/>
      <c r="G470" s="173"/>
      <c r="H470" s="173"/>
      <c r="I470" s="173"/>
      <c r="J470" s="173"/>
      <c r="K470" s="173"/>
      <c r="L470" s="173"/>
      <c r="M470" s="173"/>
      <c r="N470" s="173"/>
      <c r="O470" s="173"/>
      <c r="P470" s="173"/>
      <c r="Q470" s="173"/>
      <c r="R470" s="173"/>
      <c r="S470" s="173"/>
      <c r="T470" s="173"/>
      <c r="U470" s="173"/>
      <c r="V470" s="173"/>
      <c r="W470" s="173"/>
      <c r="X470" s="173"/>
      <c r="Y470" s="173"/>
      <c r="Z470" s="173"/>
    </row>
    <row r="471">
      <c r="A471" s="173"/>
      <c r="B471" s="173"/>
      <c r="C471" s="173"/>
      <c r="D471" s="173"/>
      <c r="E471" s="173"/>
      <c r="F471" s="173"/>
      <c r="G471" s="173"/>
      <c r="H471" s="173"/>
      <c r="I471" s="173"/>
      <c r="J471" s="173"/>
      <c r="K471" s="173"/>
      <c r="L471" s="173"/>
      <c r="M471" s="173"/>
      <c r="N471" s="173"/>
      <c r="O471" s="173"/>
      <c r="P471" s="173"/>
      <c r="Q471" s="173"/>
      <c r="R471" s="173"/>
      <c r="S471" s="173"/>
      <c r="T471" s="173"/>
      <c r="U471" s="173"/>
      <c r="V471" s="173"/>
      <c r="W471" s="173"/>
      <c r="X471" s="173"/>
      <c r="Y471" s="173"/>
      <c r="Z471" s="173"/>
    </row>
    <row r="472">
      <c r="A472" s="173"/>
      <c r="B472" s="173"/>
      <c r="C472" s="173"/>
      <c r="D472" s="173"/>
      <c r="E472" s="173"/>
      <c r="F472" s="173"/>
      <c r="G472" s="173"/>
      <c r="H472" s="173"/>
      <c r="I472" s="173"/>
      <c r="J472" s="173"/>
      <c r="K472" s="173"/>
      <c r="L472" s="173"/>
      <c r="M472" s="173"/>
      <c r="N472" s="173"/>
      <c r="O472" s="173"/>
      <c r="P472" s="173"/>
      <c r="Q472" s="173"/>
      <c r="R472" s="173"/>
      <c r="S472" s="173"/>
      <c r="T472" s="173"/>
      <c r="U472" s="173"/>
      <c r="V472" s="173"/>
      <c r="W472" s="173"/>
      <c r="X472" s="173"/>
      <c r="Y472" s="173"/>
      <c r="Z472" s="173"/>
    </row>
    <row r="473">
      <c r="A473" s="173"/>
      <c r="B473" s="173"/>
      <c r="C473" s="173"/>
      <c r="D473" s="173"/>
      <c r="E473" s="173"/>
      <c r="F473" s="173"/>
      <c r="G473" s="173"/>
      <c r="H473" s="173"/>
      <c r="I473" s="173"/>
      <c r="J473" s="173"/>
      <c r="K473" s="173"/>
      <c r="L473" s="173"/>
      <c r="M473" s="173"/>
      <c r="N473" s="173"/>
      <c r="O473" s="173"/>
      <c r="P473" s="173"/>
      <c r="Q473" s="173"/>
      <c r="R473" s="173"/>
      <c r="S473" s="173"/>
      <c r="T473" s="173"/>
      <c r="U473" s="173"/>
      <c r="V473" s="173"/>
      <c r="W473" s="173"/>
      <c r="X473" s="173"/>
      <c r="Y473" s="173"/>
      <c r="Z473" s="173"/>
    </row>
    <row r="474">
      <c r="A474" s="173"/>
      <c r="B474" s="173"/>
      <c r="C474" s="173"/>
      <c r="D474" s="173"/>
      <c r="E474" s="173"/>
      <c r="F474" s="173"/>
      <c r="G474" s="173"/>
      <c r="H474" s="173"/>
      <c r="I474" s="173"/>
      <c r="J474" s="173"/>
      <c r="K474" s="173"/>
      <c r="L474" s="173"/>
      <c r="M474" s="173"/>
      <c r="N474" s="173"/>
      <c r="O474" s="173"/>
      <c r="P474" s="173"/>
      <c r="Q474" s="173"/>
      <c r="R474" s="173"/>
      <c r="S474" s="173"/>
      <c r="T474" s="173"/>
      <c r="U474" s="173"/>
      <c r="V474" s="173"/>
      <c r="W474" s="173"/>
      <c r="X474" s="173"/>
      <c r="Y474" s="173"/>
      <c r="Z474" s="173"/>
    </row>
    <row r="475">
      <c r="A475" s="173"/>
      <c r="B475" s="173"/>
      <c r="C475" s="173"/>
      <c r="D475" s="173"/>
      <c r="E475" s="173"/>
      <c r="F475" s="173"/>
      <c r="G475" s="173"/>
      <c r="H475" s="173"/>
      <c r="I475" s="173"/>
      <c r="J475" s="173"/>
      <c r="K475" s="173"/>
      <c r="L475" s="173"/>
      <c r="M475" s="173"/>
      <c r="N475" s="173"/>
      <c r="O475" s="173"/>
      <c r="P475" s="173"/>
      <c r="Q475" s="173"/>
      <c r="R475" s="173"/>
      <c r="S475" s="173"/>
      <c r="T475" s="173"/>
      <c r="U475" s="173"/>
      <c r="V475" s="173"/>
      <c r="W475" s="173"/>
      <c r="X475" s="173"/>
      <c r="Y475" s="173"/>
      <c r="Z475" s="173"/>
    </row>
    <row r="476">
      <c r="A476" s="173"/>
      <c r="B476" s="173"/>
      <c r="C476" s="173"/>
      <c r="D476" s="173"/>
      <c r="E476" s="173"/>
      <c r="F476" s="173"/>
      <c r="G476" s="173"/>
      <c r="H476" s="173"/>
      <c r="I476" s="173"/>
      <c r="J476" s="173"/>
      <c r="K476" s="173"/>
      <c r="L476" s="173"/>
      <c r="M476" s="173"/>
      <c r="N476" s="173"/>
      <c r="O476" s="173"/>
      <c r="P476" s="173"/>
      <c r="Q476" s="173"/>
      <c r="R476" s="173"/>
      <c r="S476" s="173"/>
      <c r="T476" s="173"/>
      <c r="U476" s="173"/>
      <c r="V476" s="173"/>
      <c r="W476" s="173"/>
      <c r="X476" s="173"/>
      <c r="Y476" s="173"/>
      <c r="Z476" s="173"/>
    </row>
    <row r="477">
      <c r="A477" s="173"/>
      <c r="B477" s="173"/>
      <c r="C477" s="173"/>
      <c r="D477" s="173"/>
      <c r="E477" s="173"/>
      <c r="F477" s="173"/>
      <c r="G477" s="173"/>
      <c r="H477" s="173"/>
      <c r="I477" s="173"/>
      <c r="J477" s="173"/>
      <c r="K477" s="173"/>
      <c r="L477" s="173"/>
      <c r="M477" s="173"/>
      <c r="N477" s="173"/>
      <c r="O477" s="173"/>
      <c r="P477" s="173"/>
      <c r="Q477" s="173"/>
      <c r="R477" s="173"/>
      <c r="S477" s="173"/>
      <c r="T477" s="173"/>
      <c r="U477" s="173"/>
      <c r="V477" s="173"/>
      <c r="W477" s="173"/>
      <c r="X477" s="173"/>
      <c r="Y477" s="173"/>
      <c r="Z477" s="173"/>
    </row>
    <row r="478">
      <c r="A478" s="173"/>
      <c r="B478" s="173"/>
      <c r="C478" s="173"/>
      <c r="D478" s="173"/>
      <c r="E478" s="173"/>
      <c r="F478" s="173"/>
      <c r="G478" s="173"/>
      <c r="H478" s="173"/>
      <c r="I478" s="173"/>
      <c r="J478" s="173"/>
      <c r="K478" s="173"/>
      <c r="L478" s="173"/>
      <c r="M478" s="173"/>
      <c r="N478" s="173"/>
      <c r="O478" s="173"/>
      <c r="P478" s="173"/>
      <c r="Q478" s="173"/>
      <c r="R478" s="173"/>
      <c r="S478" s="173"/>
      <c r="T478" s="173"/>
      <c r="U478" s="173"/>
      <c r="V478" s="173"/>
      <c r="W478" s="173"/>
      <c r="X478" s="173"/>
      <c r="Y478" s="173"/>
      <c r="Z478" s="173"/>
    </row>
    <row r="479">
      <c r="A479" s="173"/>
      <c r="B479" s="173"/>
      <c r="C479" s="173"/>
      <c r="D479" s="173"/>
      <c r="E479" s="173"/>
      <c r="F479" s="173"/>
      <c r="G479" s="173"/>
      <c r="H479" s="173"/>
      <c r="I479" s="173"/>
      <c r="J479" s="173"/>
      <c r="K479" s="173"/>
      <c r="L479" s="173"/>
      <c r="M479" s="173"/>
      <c r="N479" s="173"/>
      <c r="O479" s="173"/>
      <c r="P479" s="173"/>
      <c r="Q479" s="173"/>
      <c r="R479" s="173"/>
      <c r="S479" s="173"/>
      <c r="T479" s="173"/>
      <c r="U479" s="173"/>
      <c r="V479" s="173"/>
      <c r="W479" s="173"/>
      <c r="X479" s="173"/>
      <c r="Y479" s="173"/>
      <c r="Z479" s="173"/>
    </row>
    <row r="480">
      <c r="A480" s="173"/>
      <c r="B480" s="173"/>
      <c r="C480" s="173"/>
      <c r="D480" s="173"/>
      <c r="E480" s="173"/>
      <c r="F480" s="173"/>
      <c r="G480" s="173"/>
      <c r="H480" s="173"/>
      <c r="I480" s="173"/>
      <c r="J480" s="173"/>
      <c r="K480" s="173"/>
      <c r="L480" s="173"/>
      <c r="M480" s="173"/>
      <c r="N480" s="173"/>
      <c r="O480" s="173"/>
      <c r="P480" s="173"/>
      <c r="Q480" s="173"/>
      <c r="R480" s="173"/>
      <c r="S480" s="173"/>
      <c r="T480" s="173"/>
      <c r="U480" s="173"/>
      <c r="V480" s="173"/>
      <c r="W480" s="173"/>
      <c r="X480" s="173"/>
      <c r="Y480" s="173"/>
      <c r="Z480" s="173"/>
    </row>
    <row r="481">
      <c r="A481" s="173"/>
      <c r="B481" s="173"/>
      <c r="C481" s="173"/>
      <c r="D481" s="173"/>
      <c r="E481" s="173"/>
      <c r="F481" s="173"/>
      <c r="G481" s="173"/>
      <c r="H481" s="173"/>
      <c r="I481" s="173"/>
      <c r="J481" s="173"/>
      <c r="K481" s="173"/>
      <c r="L481" s="173"/>
      <c r="M481" s="173"/>
      <c r="N481" s="173"/>
      <c r="O481" s="173"/>
      <c r="P481" s="173"/>
      <c r="Q481" s="173"/>
      <c r="R481" s="173"/>
      <c r="S481" s="173"/>
      <c r="T481" s="173"/>
      <c r="U481" s="173"/>
      <c r="V481" s="173"/>
      <c r="W481" s="173"/>
      <c r="X481" s="173"/>
      <c r="Y481" s="173"/>
      <c r="Z481" s="173"/>
    </row>
    <row r="482">
      <c r="A482" s="173"/>
      <c r="B482" s="173"/>
      <c r="C482" s="173"/>
      <c r="D482" s="173"/>
      <c r="E482" s="173"/>
      <c r="F482" s="173"/>
      <c r="G482" s="173"/>
      <c r="H482" s="173"/>
      <c r="I482" s="173"/>
      <c r="J482" s="173"/>
      <c r="K482" s="173"/>
      <c r="L482" s="173"/>
      <c r="M482" s="173"/>
      <c r="N482" s="173"/>
      <c r="O482" s="173"/>
      <c r="P482" s="173"/>
      <c r="Q482" s="173"/>
      <c r="R482" s="173"/>
      <c r="S482" s="173"/>
      <c r="T482" s="173"/>
      <c r="U482" s="173"/>
      <c r="V482" s="173"/>
      <c r="W482" s="173"/>
      <c r="X482" s="173"/>
      <c r="Y482" s="173"/>
      <c r="Z482" s="173"/>
    </row>
    <row r="483">
      <c r="A483" s="173"/>
      <c r="B483" s="173"/>
      <c r="C483" s="173"/>
      <c r="D483" s="173"/>
      <c r="E483" s="173"/>
      <c r="F483" s="173"/>
      <c r="G483" s="173"/>
      <c r="H483" s="173"/>
      <c r="I483" s="173"/>
      <c r="J483" s="173"/>
      <c r="K483" s="173"/>
      <c r="L483" s="173"/>
      <c r="M483" s="173"/>
      <c r="N483" s="173"/>
      <c r="O483" s="173"/>
      <c r="P483" s="173"/>
      <c r="Q483" s="173"/>
      <c r="R483" s="173"/>
      <c r="S483" s="173"/>
      <c r="T483" s="173"/>
      <c r="U483" s="173"/>
      <c r="V483" s="173"/>
      <c r="W483" s="173"/>
      <c r="X483" s="173"/>
      <c r="Y483" s="173"/>
      <c r="Z483" s="173"/>
    </row>
    <row r="484">
      <c r="A484" s="173"/>
      <c r="B484" s="173"/>
      <c r="C484" s="173"/>
      <c r="D484" s="173"/>
      <c r="E484" s="173"/>
      <c r="F484" s="173"/>
      <c r="G484" s="173"/>
      <c r="H484" s="173"/>
      <c r="I484" s="173"/>
      <c r="J484" s="173"/>
      <c r="K484" s="173"/>
      <c r="L484" s="173"/>
      <c r="M484" s="173"/>
      <c r="N484" s="173"/>
      <c r="O484" s="173"/>
      <c r="P484" s="173"/>
      <c r="Q484" s="173"/>
      <c r="R484" s="173"/>
      <c r="S484" s="173"/>
      <c r="T484" s="173"/>
      <c r="U484" s="173"/>
      <c r="V484" s="173"/>
      <c r="W484" s="173"/>
      <c r="X484" s="173"/>
      <c r="Y484" s="173"/>
      <c r="Z484" s="173"/>
    </row>
    <row r="485">
      <c r="A485" s="173"/>
      <c r="B485" s="173"/>
      <c r="C485" s="173"/>
      <c r="D485" s="173"/>
      <c r="E485" s="173"/>
      <c r="F485" s="173"/>
      <c r="G485" s="173"/>
      <c r="H485" s="173"/>
      <c r="I485" s="173"/>
      <c r="J485" s="173"/>
      <c r="K485" s="173"/>
      <c r="L485" s="173"/>
      <c r="M485" s="173"/>
      <c r="N485" s="173"/>
      <c r="O485" s="173"/>
      <c r="P485" s="173"/>
      <c r="Q485" s="173"/>
      <c r="R485" s="173"/>
      <c r="S485" s="173"/>
      <c r="T485" s="173"/>
      <c r="U485" s="173"/>
      <c r="V485" s="173"/>
      <c r="W485" s="173"/>
      <c r="X485" s="173"/>
      <c r="Y485" s="173"/>
      <c r="Z485" s="173"/>
    </row>
    <row r="486">
      <c r="A486" s="173"/>
      <c r="B486" s="173"/>
      <c r="C486" s="173"/>
      <c r="D486" s="173"/>
      <c r="E486" s="173"/>
      <c r="F486" s="173"/>
      <c r="G486" s="173"/>
      <c r="H486" s="173"/>
      <c r="I486" s="173"/>
      <c r="J486" s="173"/>
      <c r="K486" s="173"/>
      <c r="L486" s="173"/>
      <c r="M486" s="173"/>
      <c r="N486" s="173"/>
      <c r="O486" s="173"/>
      <c r="P486" s="173"/>
      <c r="Q486" s="173"/>
      <c r="R486" s="173"/>
      <c r="S486" s="173"/>
      <c r="T486" s="173"/>
      <c r="U486" s="173"/>
      <c r="V486" s="173"/>
      <c r="W486" s="173"/>
      <c r="X486" s="173"/>
      <c r="Y486" s="173"/>
      <c r="Z486" s="173"/>
    </row>
    <row r="487">
      <c r="A487" s="173"/>
      <c r="B487" s="173"/>
      <c r="C487" s="173"/>
      <c r="D487" s="173"/>
      <c r="E487" s="173"/>
      <c r="F487" s="173"/>
      <c r="G487" s="173"/>
      <c r="H487" s="173"/>
      <c r="I487" s="173"/>
      <c r="J487" s="173"/>
      <c r="K487" s="173"/>
      <c r="L487" s="173"/>
      <c r="M487" s="173"/>
      <c r="N487" s="173"/>
      <c r="O487" s="173"/>
      <c r="P487" s="173"/>
      <c r="Q487" s="173"/>
      <c r="R487" s="173"/>
      <c r="S487" s="173"/>
      <c r="T487" s="173"/>
      <c r="U487" s="173"/>
      <c r="V487" s="173"/>
      <c r="W487" s="173"/>
      <c r="X487" s="173"/>
      <c r="Y487" s="173"/>
      <c r="Z487" s="173"/>
    </row>
    <row r="488">
      <c r="A488" s="173"/>
      <c r="B488" s="173"/>
      <c r="C488" s="173"/>
      <c r="D488" s="173"/>
      <c r="E488" s="173"/>
      <c r="F488" s="173"/>
      <c r="G488" s="173"/>
      <c r="H488" s="173"/>
      <c r="I488" s="173"/>
      <c r="J488" s="173"/>
      <c r="K488" s="173"/>
      <c r="L488" s="173"/>
      <c r="M488" s="173"/>
      <c r="N488" s="173"/>
      <c r="O488" s="173"/>
      <c r="P488" s="173"/>
      <c r="Q488" s="173"/>
      <c r="R488" s="173"/>
      <c r="S488" s="173"/>
      <c r="T488" s="173"/>
      <c r="U488" s="173"/>
      <c r="V488" s="173"/>
      <c r="W488" s="173"/>
      <c r="X488" s="173"/>
      <c r="Y488" s="173"/>
      <c r="Z488" s="173"/>
    </row>
    <row r="489">
      <c r="A489" s="173"/>
      <c r="B489" s="173"/>
      <c r="C489" s="173"/>
      <c r="D489" s="173"/>
      <c r="E489" s="173"/>
      <c r="F489" s="173"/>
      <c r="G489" s="173"/>
      <c r="H489" s="173"/>
      <c r="I489" s="173"/>
      <c r="J489" s="173"/>
      <c r="K489" s="173"/>
      <c r="L489" s="173"/>
      <c r="M489" s="173"/>
      <c r="N489" s="173"/>
      <c r="O489" s="173"/>
      <c r="P489" s="173"/>
      <c r="Q489" s="173"/>
      <c r="R489" s="173"/>
      <c r="S489" s="173"/>
      <c r="T489" s="173"/>
      <c r="U489" s="173"/>
      <c r="V489" s="173"/>
      <c r="W489" s="173"/>
      <c r="X489" s="173"/>
      <c r="Y489" s="173"/>
      <c r="Z489" s="173"/>
    </row>
    <row r="490">
      <c r="A490" s="173"/>
      <c r="B490" s="173"/>
      <c r="C490" s="173"/>
      <c r="D490" s="173"/>
      <c r="E490" s="173"/>
      <c r="F490" s="173"/>
      <c r="G490" s="173"/>
      <c r="H490" s="173"/>
      <c r="I490" s="173"/>
      <c r="J490" s="173"/>
      <c r="K490" s="173"/>
      <c r="L490" s="173"/>
      <c r="M490" s="173"/>
      <c r="N490" s="173"/>
      <c r="O490" s="173"/>
      <c r="P490" s="173"/>
      <c r="Q490" s="173"/>
      <c r="R490" s="173"/>
      <c r="S490" s="173"/>
      <c r="T490" s="173"/>
      <c r="U490" s="173"/>
      <c r="V490" s="173"/>
      <c r="W490" s="173"/>
      <c r="X490" s="173"/>
      <c r="Y490" s="173"/>
      <c r="Z490" s="173"/>
    </row>
    <row r="491">
      <c r="A491" s="173"/>
      <c r="B491" s="173"/>
      <c r="C491" s="173"/>
      <c r="D491" s="173"/>
      <c r="E491" s="173"/>
      <c r="F491" s="173"/>
      <c r="G491" s="173"/>
      <c r="H491" s="173"/>
      <c r="I491" s="173"/>
      <c r="J491" s="173"/>
      <c r="K491" s="173"/>
      <c r="L491" s="173"/>
      <c r="M491" s="173"/>
      <c r="N491" s="173"/>
      <c r="O491" s="173"/>
      <c r="P491" s="173"/>
      <c r="Q491" s="173"/>
      <c r="R491" s="173"/>
      <c r="S491" s="173"/>
      <c r="T491" s="173"/>
      <c r="U491" s="173"/>
      <c r="V491" s="173"/>
      <c r="W491" s="173"/>
      <c r="X491" s="173"/>
      <c r="Y491" s="173"/>
      <c r="Z491" s="173"/>
    </row>
    <row r="492">
      <c r="A492" s="173"/>
      <c r="B492" s="173"/>
      <c r="C492" s="173"/>
      <c r="D492" s="173"/>
      <c r="E492" s="173"/>
      <c r="F492" s="173"/>
      <c r="G492" s="173"/>
      <c r="H492" s="173"/>
      <c r="I492" s="173"/>
      <c r="J492" s="173"/>
      <c r="K492" s="173"/>
      <c r="L492" s="173"/>
      <c r="M492" s="173"/>
      <c r="N492" s="173"/>
      <c r="O492" s="173"/>
      <c r="P492" s="173"/>
      <c r="Q492" s="173"/>
      <c r="R492" s="173"/>
      <c r="S492" s="173"/>
      <c r="T492" s="173"/>
      <c r="U492" s="173"/>
      <c r="V492" s="173"/>
      <c r="W492" s="173"/>
      <c r="X492" s="173"/>
      <c r="Y492" s="173"/>
      <c r="Z492" s="173"/>
    </row>
    <row r="493">
      <c r="A493" s="173"/>
      <c r="B493" s="173"/>
      <c r="C493" s="173"/>
      <c r="D493" s="173"/>
      <c r="E493" s="173"/>
      <c r="F493" s="173"/>
      <c r="G493" s="173"/>
      <c r="H493" s="173"/>
      <c r="I493" s="173"/>
      <c r="J493" s="173"/>
      <c r="K493" s="173"/>
      <c r="L493" s="173"/>
      <c r="M493" s="173"/>
      <c r="N493" s="173"/>
      <c r="O493" s="173"/>
      <c r="P493" s="173"/>
      <c r="Q493" s="173"/>
      <c r="R493" s="173"/>
      <c r="S493" s="173"/>
      <c r="T493" s="173"/>
      <c r="U493" s="173"/>
      <c r="V493" s="173"/>
      <c r="W493" s="173"/>
      <c r="X493" s="173"/>
      <c r="Y493" s="173"/>
      <c r="Z493" s="173"/>
    </row>
    <row r="494">
      <c r="A494" s="173"/>
      <c r="B494" s="173"/>
      <c r="C494" s="173"/>
      <c r="D494" s="173"/>
      <c r="E494" s="173"/>
      <c r="F494" s="173"/>
      <c r="G494" s="173"/>
      <c r="H494" s="173"/>
      <c r="I494" s="173"/>
      <c r="J494" s="173"/>
      <c r="K494" s="173"/>
      <c r="L494" s="173"/>
      <c r="M494" s="173"/>
      <c r="N494" s="173"/>
      <c r="O494" s="173"/>
      <c r="P494" s="173"/>
      <c r="Q494" s="173"/>
      <c r="R494" s="173"/>
      <c r="S494" s="173"/>
      <c r="T494" s="173"/>
      <c r="U494" s="173"/>
      <c r="V494" s="173"/>
      <c r="W494" s="173"/>
      <c r="X494" s="173"/>
      <c r="Y494" s="173"/>
      <c r="Z494" s="173"/>
    </row>
    <row r="495">
      <c r="A495" s="173"/>
      <c r="B495" s="173"/>
      <c r="C495" s="173"/>
      <c r="D495" s="173"/>
      <c r="E495" s="173"/>
      <c r="F495" s="173"/>
      <c r="G495" s="173"/>
      <c r="H495" s="173"/>
      <c r="I495" s="173"/>
      <c r="J495" s="173"/>
      <c r="K495" s="173"/>
      <c r="L495" s="173"/>
      <c r="M495" s="173"/>
      <c r="N495" s="173"/>
      <c r="O495" s="173"/>
      <c r="P495" s="173"/>
      <c r="Q495" s="173"/>
      <c r="R495" s="173"/>
      <c r="S495" s="173"/>
      <c r="T495" s="173"/>
      <c r="U495" s="173"/>
      <c r="V495" s="173"/>
      <c r="W495" s="173"/>
      <c r="X495" s="173"/>
      <c r="Y495" s="173"/>
      <c r="Z495" s="173"/>
    </row>
    <row r="496">
      <c r="A496" s="173"/>
      <c r="B496" s="173"/>
      <c r="C496" s="173"/>
      <c r="D496" s="173"/>
      <c r="E496" s="173"/>
      <c r="F496" s="173"/>
      <c r="G496" s="173"/>
      <c r="H496" s="173"/>
      <c r="I496" s="173"/>
      <c r="J496" s="173"/>
      <c r="K496" s="173"/>
      <c r="L496" s="173"/>
      <c r="M496" s="173"/>
      <c r="N496" s="173"/>
      <c r="O496" s="173"/>
      <c r="P496" s="173"/>
      <c r="Q496" s="173"/>
      <c r="R496" s="173"/>
      <c r="S496" s="173"/>
      <c r="T496" s="173"/>
      <c r="U496" s="173"/>
      <c r="V496" s="173"/>
      <c r="W496" s="173"/>
      <c r="X496" s="173"/>
      <c r="Y496" s="173"/>
      <c r="Z496" s="173"/>
    </row>
    <row r="497">
      <c r="A497" s="173"/>
      <c r="B497" s="173"/>
      <c r="C497" s="173"/>
      <c r="D497" s="173"/>
      <c r="E497" s="173"/>
      <c r="F497" s="173"/>
      <c r="G497" s="173"/>
      <c r="H497" s="173"/>
      <c r="I497" s="173"/>
      <c r="J497" s="173"/>
      <c r="K497" s="173"/>
      <c r="L497" s="173"/>
      <c r="M497" s="173"/>
      <c r="N497" s="173"/>
      <c r="O497" s="173"/>
      <c r="P497" s="173"/>
      <c r="Q497" s="173"/>
      <c r="R497" s="173"/>
      <c r="S497" s="173"/>
      <c r="T497" s="173"/>
      <c r="U497" s="173"/>
      <c r="V497" s="173"/>
      <c r="W497" s="173"/>
      <c r="X497" s="173"/>
      <c r="Y497" s="173"/>
      <c r="Z497" s="173"/>
    </row>
    <row r="498">
      <c r="A498" s="173"/>
      <c r="B498" s="173"/>
      <c r="C498" s="173"/>
      <c r="D498" s="173"/>
      <c r="E498" s="173"/>
      <c r="F498" s="173"/>
      <c r="G498" s="173"/>
      <c r="H498" s="173"/>
      <c r="I498" s="173"/>
      <c r="J498" s="173"/>
      <c r="K498" s="173"/>
      <c r="L498" s="173"/>
      <c r="M498" s="173"/>
      <c r="N498" s="173"/>
      <c r="O498" s="173"/>
      <c r="P498" s="173"/>
      <c r="Q498" s="173"/>
      <c r="R498" s="173"/>
      <c r="S498" s="173"/>
      <c r="T498" s="173"/>
      <c r="U498" s="173"/>
      <c r="V498" s="173"/>
      <c r="W498" s="173"/>
      <c r="X498" s="173"/>
      <c r="Y498" s="173"/>
      <c r="Z498" s="173"/>
    </row>
    <row r="499">
      <c r="A499" s="173"/>
      <c r="B499" s="173"/>
      <c r="C499" s="173"/>
      <c r="D499" s="173"/>
      <c r="E499" s="173"/>
      <c r="F499" s="173"/>
      <c r="G499" s="173"/>
      <c r="H499" s="173"/>
      <c r="I499" s="173"/>
      <c r="J499" s="173"/>
      <c r="K499" s="173"/>
      <c r="L499" s="173"/>
      <c r="M499" s="173"/>
      <c r="N499" s="173"/>
      <c r="O499" s="173"/>
      <c r="P499" s="173"/>
      <c r="Q499" s="173"/>
      <c r="R499" s="173"/>
      <c r="S499" s="173"/>
      <c r="T499" s="173"/>
      <c r="U499" s="173"/>
      <c r="V499" s="173"/>
      <c r="W499" s="173"/>
      <c r="X499" s="173"/>
      <c r="Y499" s="173"/>
      <c r="Z499" s="173"/>
    </row>
    <row r="500">
      <c r="A500" s="173"/>
      <c r="B500" s="173"/>
      <c r="C500" s="173"/>
      <c r="D500" s="173"/>
      <c r="E500" s="173"/>
      <c r="F500" s="173"/>
      <c r="G500" s="173"/>
      <c r="H500" s="173"/>
      <c r="I500" s="173"/>
      <c r="J500" s="173"/>
      <c r="K500" s="173"/>
      <c r="L500" s="173"/>
      <c r="M500" s="173"/>
      <c r="N500" s="173"/>
      <c r="O500" s="173"/>
      <c r="P500" s="173"/>
      <c r="Q500" s="173"/>
      <c r="R500" s="173"/>
      <c r="S500" s="173"/>
      <c r="T500" s="173"/>
      <c r="U500" s="173"/>
      <c r="V500" s="173"/>
      <c r="W500" s="173"/>
      <c r="X500" s="173"/>
      <c r="Y500" s="173"/>
      <c r="Z500" s="173"/>
    </row>
    <row r="501">
      <c r="A501" s="173"/>
      <c r="B501" s="173"/>
      <c r="C501" s="173"/>
      <c r="D501" s="173"/>
      <c r="E501" s="173"/>
      <c r="F501" s="173"/>
      <c r="G501" s="173"/>
      <c r="H501" s="173"/>
      <c r="I501" s="173"/>
      <c r="J501" s="173"/>
      <c r="K501" s="173"/>
      <c r="L501" s="173"/>
      <c r="M501" s="173"/>
      <c r="N501" s="173"/>
      <c r="O501" s="173"/>
      <c r="P501" s="173"/>
      <c r="Q501" s="173"/>
      <c r="R501" s="173"/>
      <c r="S501" s="173"/>
      <c r="T501" s="173"/>
      <c r="U501" s="173"/>
      <c r="V501" s="173"/>
      <c r="W501" s="173"/>
      <c r="X501" s="173"/>
      <c r="Y501" s="173"/>
      <c r="Z501" s="173"/>
    </row>
    <row r="502">
      <c r="A502" s="173"/>
      <c r="B502" s="173"/>
      <c r="C502" s="173"/>
      <c r="D502" s="173"/>
      <c r="E502" s="173"/>
      <c r="F502" s="173"/>
      <c r="G502" s="173"/>
      <c r="H502" s="173"/>
      <c r="I502" s="173"/>
      <c r="J502" s="173"/>
      <c r="K502" s="173"/>
      <c r="L502" s="173"/>
      <c r="M502" s="173"/>
      <c r="N502" s="173"/>
      <c r="O502" s="173"/>
      <c r="P502" s="173"/>
      <c r="Q502" s="173"/>
      <c r="R502" s="173"/>
      <c r="S502" s="173"/>
      <c r="T502" s="173"/>
      <c r="U502" s="173"/>
      <c r="V502" s="173"/>
      <c r="W502" s="173"/>
      <c r="X502" s="173"/>
      <c r="Y502" s="173"/>
      <c r="Z502" s="173"/>
    </row>
    <row r="503">
      <c r="A503" s="173"/>
      <c r="B503" s="173"/>
      <c r="C503" s="173"/>
      <c r="D503" s="173"/>
      <c r="E503" s="173"/>
      <c r="F503" s="173"/>
      <c r="G503" s="173"/>
      <c r="H503" s="173"/>
      <c r="I503" s="173"/>
      <c r="J503" s="173"/>
      <c r="K503" s="173"/>
      <c r="L503" s="173"/>
      <c r="M503" s="173"/>
      <c r="N503" s="173"/>
      <c r="O503" s="173"/>
      <c r="P503" s="173"/>
      <c r="Q503" s="173"/>
      <c r="R503" s="173"/>
      <c r="S503" s="173"/>
      <c r="T503" s="173"/>
      <c r="U503" s="173"/>
      <c r="V503" s="173"/>
      <c r="W503" s="173"/>
      <c r="X503" s="173"/>
      <c r="Y503" s="173"/>
      <c r="Z503" s="173"/>
    </row>
    <row r="504">
      <c r="A504" s="173"/>
      <c r="B504" s="173"/>
      <c r="C504" s="173"/>
      <c r="D504" s="173"/>
      <c r="E504" s="173"/>
      <c r="F504" s="173"/>
      <c r="G504" s="173"/>
      <c r="H504" s="173"/>
      <c r="I504" s="173"/>
      <c r="J504" s="173"/>
      <c r="K504" s="173"/>
      <c r="L504" s="173"/>
      <c r="M504" s="173"/>
      <c r="N504" s="173"/>
      <c r="O504" s="173"/>
      <c r="P504" s="173"/>
      <c r="Q504" s="173"/>
      <c r="R504" s="173"/>
      <c r="S504" s="173"/>
      <c r="T504" s="173"/>
      <c r="U504" s="173"/>
      <c r="V504" s="173"/>
      <c r="W504" s="173"/>
      <c r="X504" s="173"/>
      <c r="Y504" s="173"/>
      <c r="Z504" s="173"/>
    </row>
    <row r="505">
      <c r="A505" s="173"/>
      <c r="B505" s="173"/>
      <c r="C505" s="173"/>
      <c r="D505" s="173"/>
      <c r="E505" s="173"/>
      <c r="F505" s="173"/>
      <c r="G505" s="173"/>
      <c r="H505" s="173"/>
      <c r="I505" s="173"/>
      <c r="J505" s="173"/>
      <c r="K505" s="173"/>
      <c r="L505" s="173"/>
      <c r="M505" s="173"/>
      <c r="N505" s="173"/>
      <c r="O505" s="173"/>
      <c r="P505" s="173"/>
      <c r="Q505" s="173"/>
      <c r="R505" s="173"/>
      <c r="S505" s="173"/>
      <c r="T505" s="173"/>
      <c r="U505" s="173"/>
      <c r="V505" s="173"/>
      <c r="W505" s="173"/>
      <c r="X505" s="173"/>
      <c r="Y505" s="173"/>
      <c r="Z505" s="173"/>
    </row>
    <row r="506">
      <c r="A506" s="173"/>
      <c r="B506" s="173"/>
      <c r="C506" s="173"/>
      <c r="D506" s="173"/>
      <c r="E506" s="173"/>
      <c r="F506" s="173"/>
      <c r="G506" s="173"/>
      <c r="H506" s="173"/>
      <c r="I506" s="173"/>
      <c r="J506" s="173"/>
      <c r="K506" s="173"/>
      <c r="L506" s="173"/>
      <c r="M506" s="173"/>
      <c r="N506" s="173"/>
      <c r="O506" s="173"/>
      <c r="P506" s="173"/>
      <c r="Q506" s="173"/>
      <c r="R506" s="173"/>
      <c r="S506" s="173"/>
      <c r="T506" s="173"/>
      <c r="U506" s="173"/>
      <c r="V506" s="173"/>
      <c r="W506" s="173"/>
      <c r="X506" s="173"/>
      <c r="Y506" s="173"/>
      <c r="Z506" s="173"/>
    </row>
    <row r="507">
      <c r="A507" s="173"/>
      <c r="B507" s="173"/>
      <c r="C507" s="173"/>
      <c r="D507" s="173"/>
      <c r="E507" s="173"/>
      <c r="F507" s="173"/>
      <c r="G507" s="173"/>
      <c r="H507" s="173"/>
      <c r="I507" s="173"/>
      <c r="J507" s="173"/>
      <c r="K507" s="173"/>
      <c r="L507" s="173"/>
      <c r="M507" s="173"/>
      <c r="N507" s="173"/>
      <c r="O507" s="173"/>
      <c r="P507" s="173"/>
      <c r="Q507" s="173"/>
      <c r="R507" s="173"/>
      <c r="S507" s="173"/>
      <c r="T507" s="173"/>
      <c r="U507" s="173"/>
      <c r="V507" s="173"/>
      <c r="W507" s="173"/>
      <c r="X507" s="173"/>
      <c r="Y507" s="173"/>
      <c r="Z507" s="173"/>
    </row>
    <row r="508">
      <c r="A508" s="173"/>
      <c r="B508" s="173"/>
      <c r="C508" s="173"/>
      <c r="D508" s="173"/>
      <c r="E508" s="173"/>
      <c r="F508" s="173"/>
      <c r="G508" s="173"/>
      <c r="H508" s="173"/>
      <c r="I508" s="173"/>
      <c r="J508" s="173"/>
      <c r="K508" s="173"/>
      <c r="L508" s="173"/>
      <c r="M508" s="173"/>
      <c r="N508" s="173"/>
      <c r="O508" s="173"/>
      <c r="P508" s="173"/>
      <c r="Q508" s="173"/>
      <c r="R508" s="173"/>
      <c r="S508" s="173"/>
      <c r="T508" s="173"/>
      <c r="U508" s="173"/>
      <c r="V508" s="173"/>
      <c r="W508" s="173"/>
      <c r="X508" s="173"/>
      <c r="Y508" s="173"/>
      <c r="Z508" s="173"/>
    </row>
    <row r="509">
      <c r="A509" s="173"/>
      <c r="B509" s="173"/>
      <c r="C509" s="173"/>
      <c r="D509" s="173"/>
      <c r="E509" s="173"/>
      <c r="F509" s="173"/>
      <c r="G509" s="173"/>
      <c r="H509" s="173"/>
      <c r="I509" s="173"/>
      <c r="J509" s="173"/>
      <c r="K509" s="173"/>
      <c r="L509" s="173"/>
      <c r="M509" s="173"/>
      <c r="N509" s="173"/>
      <c r="O509" s="173"/>
      <c r="P509" s="173"/>
      <c r="Q509" s="173"/>
      <c r="R509" s="173"/>
      <c r="S509" s="173"/>
      <c r="T509" s="173"/>
      <c r="U509" s="173"/>
      <c r="V509" s="173"/>
      <c r="W509" s="173"/>
      <c r="X509" s="173"/>
      <c r="Y509" s="173"/>
      <c r="Z509" s="173"/>
    </row>
    <row r="510">
      <c r="A510" s="173"/>
      <c r="B510" s="173"/>
      <c r="C510" s="173"/>
      <c r="D510" s="173"/>
      <c r="E510" s="173"/>
      <c r="F510" s="173"/>
      <c r="G510" s="173"/>
      <c r="H510" s="173"/>
      <c r="I510" s="173"/>
      <c r="J510" s="173"/>
      <c r="K510" s="173"/>
      <c r="L510" s="173"/>
      <c r="M510" s="173"/>
      <c r="N510" s="173"/>
      <c r="O510" s="173"/>
      <c r="P510" s="173"/>
      <c r="Q510" s="173"/>
      <c r="R510" s="173"/>
      <c r="S510" s="173"/>
      <c r="T510" s="173"/>
      <c r="U510" s="173"/>
      <c r="V510" s="173"/>
      <c r="W510" s="173"/>
      <c r="X510" s="173"/>
      <c r="Y510" s="173"/>
      <c r="Z510" s="173"/>
    </row>
    <row r="511">
      <c r="A511" s="173"/>
      <c r="B511" s="173"/>
      <c r="C511" s="173"/>
      <c r="D511" s="173"/>
      <c r="E511" s="173"/>
      <c r="F511" s="173"/>
      <c r="G511" s="173"/>
      <c r="H511" s="173"/>
      <c r="I511" s="173"/>
      <c r="J511" s="173"/>
      <c r="K511" s="173"/>
      <c r="L511" s="173"/>
      <c r="M511" s="173"/>
      <c r="N511" s="173"/>
      <c r="O511" s="173"/>
      <c r="P511" s="173"/>
      <c r="Q511" s="173"/>
      <c r="R511" s="173"/>
      <c r="S511" s="173"/>
      <c r="T511" s="173"/>
      <c r="U511" s="173"/>
      <c r="V511" s="173"/>
      <c r="W511" s="173"/>
      <c r="X511" s="173"/>
      <c r="Y511" s="173"/>
      <c r="Z511" s="173"/>
    </row>
    <row r="512">
      <c r="A512" s="173"/>
      <c r="B512" s="173"/>
      <c r="C512" s="173"/>
      <c r="D512" s="173"/>
      <c r="E512" s="173"/>
      <c r="F512" s="173"/>
      <c r="G512" s="173"/>
      <c r="H512" s="173"/>
      <c r="I512" s="173"/>
      <c r="J512" s="173"/>
      <c r="K512" s="173"/>
      <c r="L512" s="173"/>
      <c r="M512" s="173"/>
      <c r="N512" s="173"/>
      <c r="O512" s="173"/>
      <c r="P512" s="173"/>
      <c r="Q512" s="173"/>
      <c r="R512" s="173"/>
      <c r="S512" s="173"/>
      <c r="T512" s="173"/>
      <c r="U512" s="173"/>
      <c r="V512" s="173"/>
      <c r="W512" s="173"/>
      <c r="X512" s="173"/>
      <c r="Y512" s="173"/>
      <c r="Z512" s="173"/>
    </row>
    <row r="513">
      <c r="A513" s="173"/>
      <c r="B513" s="173"/>
      <c r="C513" s="173"/>
      <c r="D513" s="173"/>
      <c r="E513" s="173"/>
      <c r="F513" s="173"/>
      <c r="G513" s="173"/>
      <c r="H513" s="173"/>
      <c r="I513" s="173"/>
      <c r="J513" s="173"/>
      <c r="K513" s="173"/>
      <c r="L513" s="173"/>
      <c r="M513" s="173"/>
      <c r="N513" s="173"/>
      <c r="O513" s="173"/>
      <c r="P513" s="173"/>
      <c r="Q513" s="173"/>
      <c r="R513" s="173"/>
      <c r="S513" s="173"/>
      <c r="T513" s="173"/>
      <c r="U513" s="173"/>
      <c r="V513" s="173"/>
      <c r="W513" s="173"/>
      <c r="X513" s="173"/>
      <c r="Y513" s="173"/>
      <c r="Z513" s="173"/>
    </row>
    <row r="514">
      <c r="A514" s="173"/>
      <c r="B514" s="173"/>
      <c r="C514" s="173"/>
      <c r="D514" s="173"/>
      <c r="E514" s="173"/>
      <c r="F514" s="173"/>
      <c r="G514" s="173"/>
      <c r="H514" s="173"/>
      <c r="I514" s="173"/>
      <c r="J514" s="173"/>
      <c r="K514" s="173"/>
      <c r="L514" s="173"/>
      <c r="M514" s="173"/>
      <c r="N514" s="173"/>
      <c r="O514" s="173"/>
      <c r="P514" s="173"/>
      <c r="Q514" s="173"/>
      <c r="R514" s="173"/>
      <c r="S514" s="173"/>
      <c r="T514" s="173"/>
      <c r="U514" s="173"/>
      <c r="V514" s="173"/>
      <c r="W514" s="173"/>
      <c r="X514" s="173"/>
      <c r="Y514" s="173"/>
      <c r="Z514" s="173"/>
    </row>
    <row r="515">
      <c r="A515" s="173"/>
      <c r="B515" s="173"/>
      <c r="C515" s="173"/>
      <c r="D515" s="173"/>
      <c r="E515" s="173"/>
      <c r="F515" s="173"/>
      <c r="G515" s="173"/>
      <c r="H515" s="173"/>
      <c r="I515" s="173"/>
      <c r="J515" s="173"/>
      <c r="K515" s="173"/>
      <c r="L515" s="173"/>
      <c r="M515" s="173"/>
      <c r="N515" s="173"/>
      <c r="O515" s="173"/>
      <c r="P515" s="173"/>
      <c r="Q515" s="173"/>
      <c r="R515" s="173"/>
      <c r="S515" s="173"/>
      <c r="T515" s="173"/>
      <c r="U515" s="173"/>
      <c r="V515" s="173"/>
      <c r="W515" s="173"/>
      <c r="X515" s="173"/>
      <c r="Y515" s="173"/>
      <c r="Z515" s="173"/>
    </row>
    <row r="516">
      <c r="A516" s="173"/>
      <c r="B516" s="173"/>
      <c r="C516" s="173"/>
      <c r="D516" s="173"/>
      <c r="E516" s="173"/>
      <c r="F516" s="173"/>
      <c r="G516" s="173"/>
      <c r="H516" s="173"/>
      <c r="I516" s="173"/>
      <c r="J516" s="173"/>
      <c r="K516" s="173"/>
      <c r="L516" s="173"/>
      <c r="M516" s="173"/>
      <c r="N516" s="173"/>
      <c r="O516" s="173"/>
      <c r="P516" s="173"/>
      <c r="Q516" s="173"/>
      <c r="R516" s="173"/>
      <c r="S516" s="173"/>
      <c r="T516" s="173"/>
      <c r="U516" s="173"/>
      <c r="V516" s="173"/>
      <c r="W516" s="173"/>
      <c r="X516" s="173"/>
      <c r="Y516" s="173"/>
      <c r="Z516" s="173"/>
    </row>
    <row r="517">
      <c r="A517" s="173"/>
      <c r="B517" s="173"/>
      <c r="C517" s="173"/>
      <c r="D517" s="173"/>
      <c r="E517" s="173"/>
      <c r="F517" s="173"/>
      <c r="G517" s="173"/>
      <c r="H517" s="173"/>
      <c r="I517" s="173"/>
      <c r="J517" s="173"/>
      <c r="K517" s="173"/>
      <c r="L517" s="173"/>
      <c r="M517" s="173"/>
      <c r="N517" s="173"/>
      <c r="O517" s="173"/>
      <c r="P517" s="173"/>
      <c r="Q517" s="173"/>
      <c r="R517" s="173"/>
      <c r="S517" s="173"/>
      <c r="T517" s="173"/>
      <c r="U517" s="173"/>
      <c r="V517" s="173"/>
      <c r="W517" s="173"/>
      <c r="X517" s="173"/>
      <c r="Y517" s="173"/>
      <c r="Z517" s="173"/>
    </row>
    <row r="518">
      <c r="A518" s="173"/>
      <c r="B518" s="173"/>
      <c r="C518" s="173"/>
      <c r="D518" s="173"/>
      <c r="E518" s="173"/>
      <c r="F518" s="173"/>
      <c r="G518" s="173"/>
      <c r="H518" s="173"/>
      <c r="I518" s="173"/>
      <c r="J518" s="173"/>
      <c r="K518" s="173"/>
      <c r="L518" s="173"/>
      <c r="M518" s="173"/>
      <c r="N518" s="173"/>
      <c r="O518" s="173"/>
      <c r="P518" s="173"/>
      <c r="Q518" s="173"/>
      <c r="R518" s="173"/>
      <c r="S518" s="173"/>
      <c r="T518" s="173"/>
      <c r="U518" s="173"/>
      <c r="V518" s="173"/>
      <c r="W518" s="173"/>
      <c r="X518" s="173"/>
      <c r="Y518" s="173"/>
      <c r="Z518" s="173"/>
    </row>
    <row r="519">
      <c r="A519" s="173"/>
      <c r="B519" s="173"/>
      <c r="C519" s="173"/>
      <c r="D519" s="173"/>
      <c r="E519" s="173"/>
      <c r="F519" s="173"/>
      <c r="G519" s="173"/>
      <c r="H519" s="173"/>
      <c r="I519" s="173"/>
      <c r="J519" s="173"/>
      <c r="K519" s="173"/>
      <c r="L519" s="173"/>
      <c r="M519" s="173"/>
      <c r="N519" s="173"/>
      <c r="O519" s="173"/>
      <c r="P519" s="173"/>
      <c r="Q519" s="173"/>
      <c r="R519" s="173"/>
      <c r="S519" s="173"/>
      <c r="T519" s="173"/>
      <c r="U519" s="173"/>
      <c r="V519" s="173"/>
      <c r="W519" s="173"/>
      <c r="X519" s="173"/>
      <c r="Y519" s="173"/>
      <c r="Z519" s="173"/>
    </row>
    <row r="520">
      <c r="A520" s="173"/>
      <c r="B520" s="173"/>
      <c r="C520" s="173"/>
      <c r="D520" s="173"/>
      <c r="E520" s="173"/>
      <c r="F520" s="173"/>
      <c r="G520" s="173"/>
      <c r="H520" s="173"/>
      <c r="I520" s="173"/>
      <c r="J520" s="173"/>
      <c r="K520" s="173"/>
      <c r="L520" s="173"/>
      <c r="M520" s="173"/>
      <c r="N520" s="173"/>
      <c r="O520" s="173"/>
      <c r="P520" s="173"/>
      <c r="Q520" s="173"/>
      <c r="R520" s="173"/>
      <c r="S520" s="173"/>
      <c r="T520" s="173"/>
      <c r="U520" s="173"/>
      <c r="V520" s="173"/>
      <c r="W520" s="173"/>
      <c r="X520" s="173"/>
      <c r="Y520" s="173"/>
      <c r="Z520" s="173"/>
    </row>
    <row r="521">
      <c r="A521" s="173"/>
      <c r="B521" s="173"/>
      <c r="C521" s="173"/>
      <c r="D521" s="173"/>
      <c r="E521" s="173"/>
      <c r="F521" s="173"/>
      <c r="G521" s="173"/>
      <c r="H521" s="173"/>
      <c r="I521" s="173"/>
      <c r="J521" s="173"/>
      <c r="K521" s="173"/>
      <c r="L521" s="173"/>
      <c r="M521" s="173"/>
      <c r="N521" s="173"/>
      <c r="O521" s="173"/>
      <c r="P521" s="173"/>
      <c r="Q521" s="173"/>
      <c r="R521" s="173"/>
      <c r="S521" s="173"/>
      <c r="T521" s="173"/>
      <c r="U521" s="173"/>
      <c r="V521" s="173"/>
      <c r="W521" s="173"/>
      <c r="X521" s="173"/>
      <c r="Y521" s="173"/>
      <c r="Z521" s="173"/>
    </row>
    <row r="522">
      <c r="A522" s="173"/>
      <c r="B522" s="173"/>
      <c r="C522" s="173"/>
      <c r="D522" s="173"/>
      <c r="E522" s="173"/>
      <c r="F522" s="173"/>
      <c r="G522" s="173"/>
      <c r="H522" s="173"/>
      <c r="I522" s="173"/>
      <c r="J522" s="173"/>
      <c r="K522" s="173"/>
      <c r="L522" s="173"/>
      <c r="M522" s="173"/>
      <c r="N522" s="173"/>
      <c r="O522" s="173"/>
      <c r="P522" s="173"/>
      <c r="Q522" s="173"/>
      <c r="R522" s="173"/>
      <c r="S522" s="173"/>
      <c r="T522" s="173"/>
      <c r="U522" s="173"/>
      <c r="V522" s="173"/>
      <c r="W522" s="173"/>
      <c r="X522" s="173"/>
      <c r="Y522" s="173"/>
      <c r="Z522" s="173"/>
    </row>
    <row r="523">
      <c r="A523" s="173"/>
      <c r="B523" s="173"/>
      <c r="C523" s="173"/>
      <c r="D523" s="173"/>
      <c r="E523" s="173"/>
      <c r="F523" s="173"/>
      <c r="G523" s="173"/>
      <c r="H523" s="173"/>
      <c r="I523" s="173"/>
      <c r="J523" s="173"/>
      <c r="K523" s="173"/>
      <c r="L523" s="173"/>
      <c r="M523" s="173"/>
      <c r="N523" s="173"/>
      <c r="O523" s="173"/>
      <c r="P523" s="173"/>
      <c r="Q523" s="173"/>
      <c r="R523" s="173"/>
      <c r="S523" s="173"/>
      <c r="T523" s="173"/>
      <c r="U523" s="173"/>
      <c r="V523" s="173"/>
      <c r="W523" s="173"/>
      <c r="X523" s="173"/>
      <c r="Y523" s="173"/>
      <c r="Z523" s="173"/>
    </row>
    <row r="524">
      <c r="A524" s="173"/>
      <c r="B524" s="173"/>
      <c r="C524" s="173"/>
      <c r="D524" s="173"/>
      <c r="E524" s="173"/>
      <c r="F524" s="173"/>
      <c r="G524" s="173"/>
      <c r="H524" s="173"/>
      <c r="I524" s="173"/>
      <c r="J524" s="173"/>
      <c r="K524" s="173"/>
      <c r="L524" s="173"/>
      <c r="M524" s="173"/>
      <c r="N524" s="173"/>
      <c r="O524" s="173"/>
      <c r="P524" s="173"/>
      <c r="Q524" s="173"/>
      <c r="R524" s="173"/>
      <c r="S524" s="173"/>
      <c r="T524" s="173"/>
      <c r="U524" s="173"/>
      <c r="V524" s="173"/>
      <c r="W524" s="173"/>
      <c r="X524" s="173"/>
      <c r="Y524" s="173"/>
      <c r="Z524" s="173"/>
    </row>
    <row r="525">
      <c r="A525" s="173"/>
      <c r="B525" s="173"/>
      <c r="C525" s="173"/>
      <c r="D525" s="173"/>
      <c r="E525" s="173"/>
      <c r="F525" s="173"/>
      <c r="G525" s="173"/>
      <c r="H525" s="173"/>
      <c r="I525" s="173"/>
      <c r="J525" s="173"/>
      <c r="K525" s="173"/>
      <c r="L525" s="173"/>
      <c r="M525" s="173"/>
      <c r="N525" s="173"/>
      <c r="O525" s="173"/>
      <c r="P525" s="173"/>
      <c r="Q525" s="173"/>
      <c r="R525" s="173"/>
      <c r="S525" s="173"/>
      <c r="T525" s="173"/>
      <c r="U525" s="173"/>
      <c r="V525" s="173"/>
      <c r="W525" s="173"/>
      <c r="X525" s="173"/>
      <c r="Y525" s="173"/>
      <c r="Z525" s="173"/>
    </row>
    <row r="526">
      <c r="A526" s="173"/>
      <c r="B526" s="173"/>
      <c r="C526" s="173"/>
      <c r="D526" s="173"/>
      <c r="E526" s="173"/>
      <c r="F526" s="173"/>
      <c r="G526" s="173"/>
      <c r="H526" s="173"/>
      <c r="I526" s="173"/>
      <c r="J526" s="173"/>
      <c r="K526" s="173"/>
      <c r="L526" s="173"/>
      <c r="M526" s="173"/>
      <c r="N526" s="173"/>
      <c r="O526" s="173"/>
      <c r="P526" s="173"/>
      <c r="Q526" s="173"/>
      <c r="R526" s="173"/>
      <c r="S526" s="173"/>
      <c r="T526" s="173"/>
      <c r="U526" s="173"/>
      <c r="V526" s="173"/>
      <c r="W526" s="173"/>
      <c r="X526" s="173"/>
      <c r="Y526" s="173"/>
      <c r="Z526" s="173"/>
    </row>
    <row r="527">
      <c r="A527" s="173"/>
      <c r="B527" s="173"/>
      <c r="C527" s="173"/>
      <c r="D527" s="173"/>
      <c r="E527" s="173"/>
      <c r="F527" s="173"/>
      <c r="G527" s="173"/>
      <c r="H527" s="173"/>
      <c r="I527" s="173"/>
      <c r="J527" s="173"/>
      <c r="K527" s="173"/>
      <c r="L527" s="173"/>
      <c r="M527" s="173"/>
      <c r="N527" s="173"/>
      <c r="O527" s="173"/>
      <c r="P527" s="173"/>
      <c r="Q527" s="173"/>
      <c r="R527" s="173"/>
      <c r="S527" s="173"/>
      <c r="T527" s="173"/>
      <c r="U527" s="173"/>
      <c r="V527" s="173"/>
      <c r="W527" s="173"/>
      <c r="X527" s="173"/>
      <c r="Y527" s="173"/>
      <c r="Z527" s="173"/>
    </row>
    <row r="528">
      <c r="A528" s="173"/>
      <c r="B528" s="173"/>
      <c r="C528" s="173"/>
      <c r="D528" s="173"/>
      <c r="E528" s="173"/>
      <c r="F528" s="173"/>
      <c r="G528" s="173"/>
      <c r="H528" s="173"/>
      <c r="I528" s="173"/>
      <c r="J528" s="173"/>
      <c r="K528" s="173"/>
      <c r="L528" s="173"/>
      <c r="M528" s="173"/>
      <c r="N528" s="173"/>
      <c r="O528" s="173"/>
      <c r="P528" s="173"/>
      <c r="Q528" s="173"/>
      <c r="R528" s="173"/>
      <c r="S528" s="173"/>
      <c r="T528" s="173"/>
      <c r="U528" s="173"/>
      <c r="V528" s="173"/>
      <c r="W528" s="173"/>
      <c r="X528" s="173"/>
      <c r="Y528" s="173"/>
      <c r="Z528" s="173"/>
    </row>
    <row r="529">
      <c r="A529" s="173"/>
      <c r="B529" s="173"/>
      <c r="C529" s="173"/>
      <c r="D529" s="173"/>
      <c r="E529" s="173"/>
      <c r="F529" s="173"/>
      <c r="G529" s="173"/>
      <c r="H529" s="173"/>
      <c r="I529" s="173"/>
      <c r="J529" s="173"/>
      <c r="K529" s="173"/>
      <c r="L529" s="173"/>
      <c r="M529" s="173"/>
      <c r="N529" s="173"/>
      <c r="O529" s="173"/>
      <c r="P529" s="173"/>
      <c r="Q529" s="173"/>
      <c r="R529" s="173"/>
      <c r="S529" s="173"/>
      <c r="T529" s="173"/>
      <c r="U529" s="173"/>
      <c r="V529" s="173"/>
      <c r="W529" s="173"/>
      <c r="X529" s="173"/>
      <c r="Y529" s="173"/>
      <c r="Z529" s="173"/>
    </row>
    <row r="530">
      <c r="A530" s="173"/>
      <c r="B530" s="173"/>
      <c r="C530" s="173"/>
      <c r="D530" s="173"/>
      <c r="E530" s="173"/>
      <c r="F530" s="173"/>
      <c r="G530" s="173"/>
      <c r="H530" s="173"/>
      <c r="I530" s="173"/>
      <c r="J530" s="173"/>
      <c r="K530" s="173"/>
      <c r="L530" s="173"/>
      <c r="M530" s="173"/>
      <c r="N530" s="173"/>
      <c r="O530" s="173"/>
      <c r="P530" s="173"/>
      <c r="Q530" s="173"/>
      <c r="R530" s="173"/>
      <c r="S530" s="173"/>
      <c r="T530" s="173"/>
      <c r="U530" s="173"/>
      <c r="V530" s="173"/>
      <c r="W530" s="173"/>
      <c r="X530" s="173"/>
      <c r="Y530" s="173"/>
      <c r="Z530" s="173"/>
    </row>
    <row r="531">
      <c r="A531" s="173"/>
      <c r="B531" s="173"/>
      <c r="C531" s="173"/>
      <c r="D531" s="173"/>
      <c r="E531" s="173"/>
      <c r="F531" s="173"/>
      <c r="G531" s="173"/>
      <c r="H531" s="173"/>
      <c r="I531" s="173"/>
      <c r="J531" s="173"/>
      <c r="K531" s="173"/>
      <c r="L531" s="173"/>
      <c r="M531" s="173"/>
      <c r="N531" s="173"/>
      <c r="O531" s="173"/>
      <c r="P531" s="173"/>
      <c r="Q531" s="173"/>
      <c r="R531" s="173"/>
      <c r="S531" s="173"/>
      <c r="T531" s="173"/>
      <c r="U531" s="173"/>
      <c r="V531" s="173"/>
      <c r="W531" s="173"/>
      <c r="X531" s="173"/>
      <c r="Y531" s="173"/>
      <c r="Z531" s="173"/>
    </row>
    <row r="532">
      <c r="A532" s="173"/>
      <c r="B532" s="173"/>
      <c r="C532" s="173"/>
      <c r="D532" s="173"/>
      <c r="E532" s="173"/>
      <c r="F532" s="173"/>
      <c r="G532" s="173"/>
      <c r="H532" s="173"/>
      <c r="I532" s="173"/>
      <c r="J532" s="173"/>
      <c r="K532" s="173"/>
      <c r="L532" s="173"/>
      <c r="M532" s="173"/>
      <c r="N532" s="173"/>
      <c r="O532" s="173"/>
      <c r="P532" s="173"/>
      <c r="Q532" s="173"/>
      <c r="R532" s="173"/>
      <c r="S532" s="173"/>
      <c r="T532" s="173"/>
      <c r="U532" s="173"/>
      <c r="V532" s="173"/>
      <c r="W532" s="173"/>
      <c r="X532" s="173"/>
      <c r="Y532" s="173"/>
      <c r="Z532" s="173"/>
    </row>
    <row r="533">
      <c r="A533" s="173"/>
      <c r="B533" s="173"/>
      <c r="C533" s="173"/>
      <c r="D533" s="173"/>
      <c r="E533" s="173"/>
      <c r="F533" s="173"/>
      <c r="G533" s="173"/>
      <c r="H533" s="173"/>
      <c r="I533" s="173"/>
      <c r="J533" s="173"/>
      <c r="K533" s="173"/>
      <c r="L533" s="173"/>
      <c r="M533" s="173"/>
      <c r="N533" s="173"/>
      <c r="O533" s="173"/>
      <c r="P533" s="173"/>
      <c r="Q533" s="173"/>
      <c r="R533" s="173"/>
      <c r="S533" s="173"/>
      <c r="T533" s="173"/>
      <c r="U533" s="173"/>
      <c r="V533" s="173"/>
      <c r="W533" s="173"/>
      <c r="X533" s="173"/>
      <c r="Y533" s="173"/>
      <c r="Z533" s="173"/>
    </row>
    <row r="534">
      <c r="A534" s="173"/>
      <c r="B534" s="173"/>
      <c r="C534" s="173"/>
      <c r="D534" s="173"/>
      <c r="E534" s="173"/>
      <c r="F534" s="173"/>
      <c r="G534" s="173"/>
      <c r="H534" s="173"/>
      <c r="I534" s="173"/>
      <c r="J534" s="173"/>
      <c r="K534" s="173"/>
      <c r="L534" s="173"/>
      <c r="M534" s="173"/>
      <c r="N534" s="173"/>
      <c r="O534" s="173"/>
      <c r="P534" s="173"/>
      <c r="Q534" s="173"/>
      <c r="R534" s="173"/>
      <c r="S534" s="173"/>
      <c r="T534" s="173"/>
      <c r="U534" s="173"/>
      <c r="V534" s="173"/>
      <c r="W534" s="173"/>
      <c r="X534" s="173"/>
      <c r="Y534" s="173"/>
      <c r="Z534" s="173"/>
    </row>
    <row r="535">
      <c r="A535" s="173"/>
      <c r="B535" s="173"/>
      <c r="C535" s="173"/>
      <c r="D535" s="173"/>
      <c r="E535" s="173"/>
      <c r="F535" s="173"/>
      <c r="G535" s="173"/>
      <c r="H535" s="173"/>
      <c r="I535" s="173"/>
      <c r="J535" s="173"/>
      <c r="K535" s="173"/>
      <c r="L535" s="173"/>
      <c r="M535" s="173"/>
      <c r="N535" s="173"/>
      <c r="O535" s="173"/>
      <c r="P535" s="173"/>
      <c r="Q535" s="173"/>
      <c r="R535" s="173"/>
      <c r="S535" s="173"/>
      <c r="T535" s="173"/>
      <c r="U535" s="173"/>
      <c r="V535" s="173"/>
      <c r="W535" s="173"/>
      <c r="X535" s="173"/>
      <c r="Y535" s="173"/>
      <c r="Z535" s="173"/>
    </row>
    <row r="536">
      <c r="A536" s="173"/>
      <c r="B536" s="173"/>
      <c r="C536" s="173"/>
      <c r="D536" s="173"/>
      <c r="E536" s="173"/>
      <c r="F536" s="173"/>
      <c r="G536" s="173"/>
      <c r="H536" s="173"/>
      <c r="I536" s="173"/>
      <c r="J536" s="173"/>
      <c r="K536" s="173"/>
      <c r="L536" s="173"/>
      <c r="M536" s="173"/>
      <c r="N536" s="173"/>
      <c r="O536" s="173"/>
      <c r="P536" s="173"/>
      <c r="Q536" s="173"/>
      <c r="R536" s="173"/>
      <c r="S536" s="173"/>
      <c r="T536" s="173"/>
      <c r="U536" s="173"/>
      <c r="V536" s="173"/>
      <c r="W536" s="173"/>
      <c r="X536" s="173"/>
      <c r="Y536" s="173"/>
      <c r="Z536" s="173"/>
    </row>
    <row r="537">
      <c r="A537" s="173"/>
      <c r="B537" s="173"/>
      <c r="C537" s="173"/>
      <c r="D537" s="173"/>
      <c r="E537" s="173"/>
      <c r="F537" s="173"/>
      <c r="G537" s="173"/>
      <c r="H537" s="173"/>
      <c r="I537" s="173"/>
      <c r="J537" s="173"/>
      <c r="K537" s="173"/>
      <c r="L537" s="173"/>
      <c r="M537" s="173"/>
      <c r="N537" s="173"/>
      <c r="O537" s="173"/>
      <c r="P537" s="173"/>
      <c r="Q537" s="173"/>
      <c r="R537" s="173"/>
      <c r="S537" s="173"/>
      <c r="T537" s="173"/>
      <c r="U537" s="173"/>
      <c r="V537" s="173"/>
      <c r="W537" s="173"/>
      <c r="X537" s="173"/>
      <c r="Y537" s="173"/>
      <c r="Z537" s="173"/>
    </row>
    <row r="538">
      <c r="A538" s="173"/>
      <c r="B538" s="173"/>
      <c r="C538" s="173"/>
      <c r="D538" s="173"/>
      <c r="E538" s="173"/>
      <c r="F538" s="173"/>
      <c r="G538" s="173"/>
      <c r="H538" s="173"/>
      <c r="I538" s="173"/>
      <c r="J538" s="173"/>
      <c r="K538" s="173"/>
      <c r="L538" s="173"/>
      <c r="M538" s="173"/>
      <c r="N538" s="173"/>
      <c r="O538" s="173"/>
      <c r="P538" s="173"/>
      <c r="Q538" s="173"/>
      <c r="R538" s="173"/>
      <c r="S538" s="173"/>
      <c r="T538" s="173"/>
      <c r="U538" s="173"/>
      <c r="V538" s="173"/>
      <c r="W538" s="173"/>
      <c r="X538" s="173"/>
      <c r="Y538" s="173"/>
      <c r="Z538" s="173"/>
    </row>
    <row r="539">
      <c r="A539" s="173"/>
      <c r="B539" s="173"/>
      <c r="C539" s="173"/>
      <c r="D539" s="173"/>
      <c r="E539" s="173"/>
      <c r="F539" s="173"/>
      <c r="G539" s="173"/>
      <c r="H539" s="173"/>
      <c r="I539" s="173"/>
      <c r="J539" s="173"/>
      <c r="K539" s="173"/>
      <c r="L539" s="173"/>
      <c r="M539" s="173"/>
      <c r="N539" s="173"/>
      <c r="O539" s="173"/>
      <c r="P539" s="173"/>
      <c r="Q539" s="173"/>
      <c r="R539" s="173"/>
      <c r="S539" s="173"/>
      <c r="T539" s="173"/>
      <c r="U539" s="173"/>
      <c r="V539" s="173"/>
      <c r="W539" s="173"/>
      <c r="X539" s="173"/>
      <c r="Y539" s="173"/>
      <c r="Z539" s="173"/>
    </row>
    <row r="540">
      <c r="A540" s="173"/>
      <c r="B540" s="173"/>
      <c r="C540" s="173"/>
      <c r="D540" s="173"/>
      <c r="E540" s="173"/>
      <c r="F540" s="173"/>
      <c r="G540" s="173"/>
      <c r="H540" s="173"/>
      <c r="I540" s="173"/>
      <c r="J540" s="173"/>
      <c r="K540" s="173"/>
      <c r="L540" s="173"/>
      <c r="M540" s="173"/>
      <c r="N540" s="173"/>
      <c r="O540" s="173"/>
      <c r="P540" s="173"/>
      <c r="Q540" s="173"/>
      <c r="R540" s="173"/>
      <c r="S540" s="173"/>
      <c r="T540" s="173"/>
      <c r="U540" s="173"/>
      <c r="V540" s="173"/>
      <c r="W540" s="173"/>
      <c r="X540" s="173"/>
      <c r="Y540" s="173"/>
      <c r="Z540" s="173"/>
    </row>
    <row r="541">
      <c r="A541" s="173"/>
      <c r="B541" s="173"/>
      <c r="C541" s="173"/>
      <c r="D541" s="173"/>
      <c r="E541" s="173"/>
      <c r="F541" s="173"/>
      <c r="G541" s="173"/>
      <c r="H541" s="173"/>
      <c r="I541" s="173"/>
      <c r="J541" s="173"/>
      <c r="K541" s="173"/>
      <c r="L541" s="173"/>
      <c r="M541" s="173"/>
      <c r="N541" s="173"/>
      <c r="O541" s="173"/>
      <c r="P541" s="173"/>
      <c r="Q541" s="173"/>
      <c r="R541" s="173"/>
      <c r="S541" s="173"/>
      <c r="T541" s="173"/>
      <c r="U541" s="173"/>
      <c r="V541" s="173"/>
      <c r="W541" s="173"/>
      <c r="X541" s="173"/>
      <c r="Y541" s="173"/>
      <c r="Z541" s="173"/>
    </row>
    <row r="542">
      <c r="A542" s="173"/>
      <c r="B542" s="173"/>
      <c r="C542" s="173"/>
      <c r="D542" s="173"/>
      <c r="E542" s="173"/>
      <c r="F542" s="173"/>
      <c r="G542" s="173"/>
      <c r="H542" s="173"/>
      <c r="I542" s="173"/>
      <c r="J542" s="173"/>
      <c r="K542" s="173"/>
      <c r="L542" s="173"/>
      <c r="M542" s="173"/>
      <c r="N542" s="173"/>
      <c r="O542" s="173"/>
      <c r="P542" s="173"/>
      <c r="Q542" s="173"/>
      <c r="R542" s="173"/>
      <c r="S542" s="173"/>
      <c r="T542" s="173"/>
      <c r="U542" s="173"/>
      <c r="V542" s="173"/>
      <c r="W542" s="173"/>
      <c r="X542" s="173"/>
      <c r="Y542" s="173"/>
      <c r="Z542" s="173"/>
    </row>
    <row r="543">
      <c r="A543" s="173"/>
      <c r="B543" s="173"/>
      <c r="C543" s="173"/>
      <c r="D543" s="173"/>
      <c r="E543" s="173"/>
      <c r="F543" s="173"/>
      <c r="G543" s="173"/>
      <c r="H543" s="173"/>
      <c r="I543" s="173"/>
      <c r="J543" s="173"/>
      <c r="K543" s="173"/>
      <c r="L543" s="173"/>
      <c r="M543" s="173"/>
      <c r="N543" s="173"/>
      <c r="O543" s="173"/>
      <c r="P543" s="173"/>
      <c r="Q543" s="173"/>
      <c r="R543" s="173"/>
      <c r="S543" s="173"/>
      <c r="T543" s="173"/>
      <c r="U543" s="173"/>
      <c r="V543" s="173"/>
      <c r="W543" s="173"/>
      <c r="X543" s="173"/>
      <c r="Y543" s="173"/>
      <c r="Z543" s="173"/>
    </row>
    <row r="544">
      <c r="A544" s="173"/>
      <c r="B544" s="173"/>
      <c r="C544" s="173"/>
      <c r="D544" s="173"/>
      <c r="E544" s="173"/>
      <c r="F544" s="173"/>
      <c r="G544" s="173"/>
      <c r="H544" s="173"/>
      <c r="I544" s="173"/>
      <c r="J544" s="173"/>
      <c r="K544" s="173"/>
      <c r="L544" s="173"/>
      <c r="M544" s="173"/>
      <c r="N544" s="173"/>
      <c r="O544" s="173"/>
      <c r="P544" s="173"/>
      <c r="Q544" s="173"/>
      <c r="R544" s="173"/>
      <c r="S544" s="173"/>
      <c r="T544" s="173"/>
      <c r="U544" s="173"/>
      <c r="V544" s="173"/>
      <c r="W544" s="173"/>
      <c r="X544" s="173"/>
      <c r="Y544" s="173"/>
      <c r="Z544" s="173"/>
    </row>
    <row r="545">
      <c r="A545" s="173"/>
      <c r="B545" s="173"/>
      <c r="C545" s="173"/>
      <c r="D545" s="173"/>
      <c r="E545" s="173"/>
      <c r="F545" s="173"/>
      <c r="G545" s="173"/>
      <c r="H545" s="173"/>
      <c r="I545" s="173"/>
      <c r="J545" s="173"/>
      <c r="K545" s="173"/>
      <c r="L545" s="173"/>
      <c r="M545" s="173"/>
      <c r="N545" s="173"/>
      <c r="O545" s="173"/>
      <c r="P545" s="173"/>
      <c r="Q545" s="173"/>
      <c r="R545" s="173"/>
      <c r="S545" s="173"/>
      <c r="T545" s="173"/>
      <c r="U545" s="173"/>
      <c r="V545" s="173"/>
      <c r="W545" s="173"/>
      <c r="X545" s="173"/>
      <c r="Y545" s="173"/>
      <c r="Z545" s="173"/>
    </row>
    <row r="546">
      <c r="A546" s="173"/>
      <c r="B546" s="173"/>
      <c r="C546" s="173"/>
      <c r="D546" s="173"/>
      <c r="E546" s="173"/>
      <c r="F546" s="173"/>
      <c r="G546" s="173"/>
      <c r="H546" s="173"/>
      <c r="I546" s="173"/>
      <c r="J546" s="173"/>
      <c r="K546" s="173"/>
      <c r="L546" s="173"/>
      <c r="M546" s="173"/>
      <c r="N546" s="173"/>
      <c r="O546" s="173"/>
      <c r="P546" s="173"/>
      <c r="Q546" s="173"/>
      <c r="R546" s="173"/>
      <c r="S546" s="173"/>
      <c r="T546" s="173"/>
      <c r="U546" s="173"/>
      <c r="V546" s="173"/>
      <c r="W546" s="173"/>
      <c r="X546" s="173"/>
      <c r="Y546" s="173"/>
      <c r="Z546" s="173"/>
    </row>
    <row r="547">
      <c r="A547" s="173"/>
      <c r="B547" s="173"/>
      <c r="C547" s="173"/>
      <c r="D547" s="173"/>
      <c r="E547" s="173"/>
      <c r="F547" s="173"/>
      <c r="G547" s="173"/>
      <c r="H547" s="173"/>
      <c r="I547" s="173"/>
      <c r="J547" s="173"/>
      <c r="K547" s="173"/>
      <c r="L547" s="173"/>
      <c r="M547" s="173"/>
      <c r="N547" s="173"/>
      <c r="O547" s="173"/>
      <c r="P547" s="173"/>
      <c r="Q547" s="173"/>
      <c r="R547" s="173"/>
      <c r="S547" s="173"/>
      <c r="T547" s="173"/>
      <c r="U547" s="173"/>
      <c r="V547" s="173"/>
      <c r="W547" s="173"/>
      <c r="X547" s="173"/>
      <c r="Y547" s="173"/>
      <c r="Z547" s="173"/>
    </row>
    <row r="548">
      <c r="A548" s="173"/>
      <c r="B548" s="173"/>
      <c r="C548" s="173"/>
      <c r="D548" s="173"/>
      <c r="E548" s="173"/>
      <c r="F548" s="173"/>
      <c r="G548" s="173"/>
      <c r="H548" s="173"/>
      <c r="I548" s="173"/>
      <c r="J548" s="173"/>
      <c r="K548" s="173"/>
      <c r="L548" s="173"/>
      <c r="M548" s="173"/>
      <c r="N548" s="173"/>
      <c r="O548" s="173"/>
      <c r="P548" s="173"/>
      <c r="Q548" s="173"/>
      <c r="R548" s="173"/>
      <c r="S548" s="173"/>
      <c r="T548" s="173"/>
      <c r="U548" s="173"/>
      <c r="V548" s="173"/>
      <c r="W548" s="173"/>
      <c r="X548" s="173"/>
      <c r="Y548" s="173"/>
      <c r="Z548" s="173"/>
    </row>
    <row r="549">
      <c r="A549" s="173"/>
      <c r="B549" s="173"/>
      <c r="C549" s="173"/>
      <c r="D549" s="173"/>
      <c r="E549" s="173"/>
      <c r="F549" s="173"/>
      <c r="G549" s="173"/>
      <c r="H549" s="173"/>
      <c r="I549" s="173"/>
      <c r="J549" s="173"/>
      <c r="K549" s="173"/>
      <c r="L549" s="173"/>
      <c r="M549" s="173"/>
      <c r="N549" s="173"/>
      <c r="O549" s="173"/>
      <c r="P549" s="173"/>
      <c r="Q549" s="173"/>
      <c r="R549" s="173"/>
      <c r="S549" s="173"/>
      <c r="T549" s="173"/>
      <c r="U549" s="173"/>
      <c r="V549" s="173"/>
      <c r="W549" s="173"/>
      <c r="X549" s="173"/>
      <c r="Y549" s="173"/>
      <c r="Z549" s="173"/>
    </row>
    <row r="550">
      <c r="A550" s="173"/>
      <c r="B550" s="173"/>
      <c r="C550" s="173"/>
      <c r="D550" s="173"/>
      <c r="E550" s="173"/>
      <c r="F550" s="173"/>
      <c r="G550" s="173"/>
      <c r="H550" s="173"/>
      <c r="I550" s="173"/>
      <c r="J550" s="173"/>
      <c r="K550" s="173"/>
      <c r="L550" s="173"/>
      <c r="M550" s="173"/>
      <c r="N550" s="173"/>
      <c r="O550" s="173"/>
      <c r="P550" s="173"/>
      <c r="Q550" s="173"/>
      <c r="R550" s="173"/>
      <c r="S550" s="173"/>
      <c r="T550" s="173"/>
      <c r="U550" s="173"/>
      <c r="V550" s="173"/>
      <c r="W550" s="173"/>
      <c r="X550" s="173"/>
      <c r="Y550" s="173"/>
      <c r="Z550" s="173"/>
    </row>
    <row r="551">
      <c r="A551" s="173"/>
      <c r="B551" s="173"/>
      <c r="C551" s="173"/>
      <c r="D551" s="173"/>
      <c r="E551" s="173"/>
      <c r="F551" s="173"/>
      <c r="G551" s="173"/>
      <c r="H551" s="173"/>
      <c r="I551" s="173"/>
      <c r="J551" s="173"/>
      <c r="K551" s="173"/>
      <c r="L551" s="173"/>
      <c r="M551" s="173"/>
      <c r="N551" s="173"/>
      <c r="O551" s="173"/>
      <c r="P551" s="173"/>
      <c r="Q551" s="173"/>
      <c r="R551" s="173"/>
      <c r="S551" s="173"/>
      <c r="T551" s="173"/>
      <c r="U551" s="173"/>
      <c r="V551" s="173"/>
      <c r="W551" s="173"/>
      <c r="X551" s="173"/>
      <c r="Y551" s="173"/>
      <c r="Z551" s="173"/>
    </row>
    <row r="552">
      <c r="A552" s="173"/>
      <c r="B552" s="173"/>
      <c r="C552" s="173"/>
      <c r="D552" s="173"/>
      <c r="E552" s="173"/>
      <c r="F552" s="173"/>
      <c r="G552" s="173"/>
      <c r="H552" s="173"/>
      <c r="I552" s="173"/>
      <c r="J552" s="173"/>
      <c r="K552" s="173"/>
      <c r="L552" s="173"/>
      <c r="M552" s="173"/>
      <c r="N552" s="173"/>
      <c r="O552" s="173"/>
      <c r="P552" s="173"/>
      <c r="Q552" s="173"/>
      <c r="R552" s="173"/>
      <c r="S552" s="173"/>
      <c r="T552" s="173"/>
      <c r="U552" s="173"/>
      <c r="V552" s="173"/>
      <c r="W552" s="173"/>
      <c r="X552" s="173"/>
      <c r="Y552" s="173"/>
      <c r="Z552" s="173"/>
    </row>
    <row r="553">
      <c r="A553" s="173"/>
      <c r="B553" s="173"/>
      <c r="C553" s="173"/>
      <c r="D553" s="173"/>
      <c r="E553" s="173"/>
      <c r="F553" s="173"/>
      <c r="G553" s="173"/>
      <c r="H553" s="173"/>
      <c r="I553" s="173"/>
      <c r="J553" s="173"/>
      <c r="K553" s="173"/>
      <c r="L553" s="173"/>
      <c r="M553" s="173"/>
      <c r="N553" s="173"/>
      <c r="O553" s="173"/>
      <c r="P553" s="173"/>
      <c r="Q553" s="173"/>
      <c r="R553" s="173"/>
      <c r="S553" s="173"/>
      <c r="T553" s="173"/>
      <c r="U553" s="173"/>
      <c r="V553" s="173"/>
      <c r="W553" s="173"/>
      <c r="X553" s="173"/>
      <c r="Y553" s="173"/>
      <c r="Z553" s="173"/>
    </row>
    <row r="554">
      <c r="A554" s="173"/>
      <c r="B554" s="173"/>
      <c r="C554" s="173"/>
      <c r="D554" s="173"/>
      <c r="E554" s="173"/>
      <c r="F554" s="173"/>
      <c r="G554" s="173"/>
      <c r="H554" s="173"/>
      <c r="I554" s="173"/>
      <c r="J554" s="173"/>
      <c r="K554" s="173"/>
      <c r="L554" s="173"/>
      <c r="M554" s="173"/>
      <c r="N554" s="173"/>
      <c r="O554" s="173"/>
      <c r="P554" s="173"/>
      <c r="Q554" s="173"/>
      <c r="R554" s="173"/>
      <c r="S554" s="173"/>
      <c r="T554" s="173"/>
      <c r="U554" s="173"/>
      <c r="V554" s="173"/>
      <c r="W554" s="173"/>
      <c r="X554" s="173"/>
      <c r="Y554" s="173"/>
      <c r="Z554" s="173"/>
    </row>
    <row r="555">
      <c r="A555" s="173"/>
      <c r="B555" s="173"/>
      <c r="C555" s="173"/>
      <c r="D555" s="173"/>
      <c r="E555" s="173"/>
      <c r="F555" s="173"/>
      <c r="G555" s="173"/>
      <c r="H555" s="173"/>
      <c r="I555" s="173"/>
      <c r="J555" s="173"/>
      <c r="K555" s="173"/>
      <c r="L555" s="173"/>
      <c r="M555" s="173"/>
      <c r="N555" s="173"/>
      <c r="O555" s="173"/>
      <c r="P555" s="173"/>
      <c r="Q555" s="173"/>
      <c r="R555" s="173"/>
      <c r="S555" s="173"/>
      <c r="T555" s="173"/>
      <c r="U555" s="173"/>
      <c r="V555" s="173"/>
      <c r="W555" s="173"/>
      <c r="X555" s="173"/>
      <c r="Y555" s="173"/>
      <c r="Z555" s="173"/>
    </row>
    <row r="556">
      <c r="A556" s="173"/>
      <c r="B556" s="173"/>
      <c r="C556" s="173"/>
      <c r="D556" s="173"/>
      <c r="E556" s="173"/>
      <c r="F556" s="173"/>
      <c r="G556" s="173"/>
      <c r="H556" s="173"/>
      <c r="I556" s="173"/>
      <c r="J556" s="173"/>
      <c r="K556" s="173"/>
      <c r="L556" s="173"/>
      <c r="M556" s="173"/>
      <c r="N556" s="173"/>
      <c r="O556" s="173"/>
      <c r="P556" s="173"/>
      <c r="Q556" s="173"/>
      <c r="R556" s="173"/>
      <c r="S556" s="173"/>
      <c r="T556" s="173"/>
      <c r="U556" s="173"/>
      <c r="V556" s="173"/>
      <c r="W556" s="173"/>
      <c r="X556" s="173"/>
      <c r="Y556" s="173"/>
      <c r="Z556" s="173"/>
    </row>
    <row r="557">
      <c r="A557" s="173"/>
      <c r="B557" s="173"/>
      <c r="C557" s="173"/>
      <c r="D557" s="173"/>
      <c r="E557" s="173"/>
      <c r="F557" s="173"/>
      <c r="G557" s="173"/>
      <c r="H557" s="173"/>
      <c r="I557" s="173"/>
      <c r="J557" s="173"/>
      <c r="K557" s="173"/>
      <c r="L557" s="173"/>
      <c r="M557" s="173"/>
      <c r="N557" s="173"/>
      <c r="O557" s="173"/>
      <c r="P557" s="173"/>
      <c r="Q557" s="173"/>
      <c r="R557" s="173"/>
      <c r="S557" s="173"/>
      <c r="T557" s="173"/>
      <c r="U557" s="173"/>
      <c r="V557" s="173"/>
      <c r="W557" s="173"/>
      <c r="X557" s="173"/>
      <c r="Y557" s="173"/>
      <c r="Z557" s="173"/>
    </row>
    <row r="558">
      <c r="A558" s="173"/>
      <c r="B558" s="173"/>
      <c r="C558" s="173"/>
      <c r="D558" s="173"/>
      <c r="E558" s="173"/>
      <c r="F558" s="173"/>
      <c r="G558" s="173"/>
      <c r="H558" s="173"/>
      <c r="I558" s="173"/>
      <c r="J558" s="173"/>
      <c r="K558" s="173"/>
      <c r="L558" s="173"/>
      <c r="M558" s="173"/>
      <c r="N558" s="173"/>
      <c r="O558" s="173"/>
      <c r="P558" s="173"/>
      <c r="Q558" s="173"/>
      <c r="R558" s="173"/>
      <c r="S558" s="173"/>
      <c r="T558" s="173"/>
      <c r="U558" s="173"/>
      <c r="V558" s="173"/>
      <c r="W558" s="173"/>
      <c r="X558" s="173"/>
      <c r="Y558" s="173"/>
      <c r="Z558" s="173"/>
    </row>
    <row r="559">
      <c r="A559" s="173"/>
      <c r="B559" s="173"/>
      <c r="C559" s="173"/>
      <c r="D559" s="173"/>
      <c r="E559" s="173"/>
      <c r="F559" s="173"/>
      <c r="G559" s="173"/>
      <c r="H559" s="173"/>
      <c r="I559" s="173"/>
      <c r="J559" s="173"/>
      <c r="K559" s="173"/>
      <c r="L559" s="173"/>
      <c r="M559" s="173"/>
      <c r="N559" s="173"/>
      <c r="O559" s="173"/>
      <c r="P559" s="173"/>
      <c r="Q559" s="173"/>
      <c r="R559" s="173"/>
      <c r="S559" s="173"/>
      <c r="T559" s="173"/>
      <c r="U559" s="173"/>
      <c r="V559" s="173"/>
      <c r="W559" s="173"/>
      <c r="X559" s="173"/>
      <c r="Y559" s="173"/>
      <c r="Z559" s="173"/>
    </row>
    <row r="560">
      <c r="A560" s="173"/>
      <c r="B560" s="173"/>
      <c r="C560" s="173"/>
      <c r="D560" s="173"/>
      <c r="E560" s="173"/>
      <c r="F560" s="173"/>
      <c r="G560" s="173"/>
      <c r="H560" s="173"/>
      <c r="I560" s="173"/>
      <c r="J560" s="173"/>
      <c r="K560" s="173"/>
      <c r="L560" s="173"/>
      <c r="M560" s="173"/>
      <c r="N560" s="173"/>
      <c r="O560" s="173"/>
      <c r="P560" s="173"/>
      <c r="Q560" s="173"/>
      <c r="R560" s="173"/>
      <c r="S560" s="173"/>
      <c r="T560" s="173"/>
      <c r="U560" s="173"/>
      <c r="V560" s="173"/>
      <c r="W560" s="173"/>
      <c r="X560" s="173"/>
      <c r="Y560" s="173"/>
      <c r="Z560" s="173"/>
    </row>
    <row r="561">
      <c r="A561" s="173"/>
      <c r="B561" s="173"/>
      <c r="C561" s="173"/>
      <c r="D561" s="173"/>
      <c r="E561" s="173"/>
      <c r="F561" s="173"/>
      <c r="G561" s="173"/>
      <c r="H561" s="173"/>
      <c r="I561" s="173"/>
      <c r="J561" s="173"/>
      <c r="K561" s="173"/>
      <c r="L561" s="173"/>
      <c r="M561" s="173"/>
      <c r="N561" s="173"/>
      <c r="O561" s="173"/>
      <c r="P561" s="173"/>
      <c r="Q561" s="173"/>
      <c r="R561" s="173"/>
      <c r="S561" s="173"/>
      <c r="T561" s="173"/>
      <c r="U561" s="173"/>
      <c r="V561" s="173"/>
      <c r="W561" s="173"/>
      <c r="X561" s="173"/>
      <c r="Y561" s="173"/>
      <c r="Z561" s="173"/>
    </row>
    <row r="562">
      <c r="A562" s="173"/>
      <c r="B562" s="173"/>
      <c r="C562" s="173"/>
      <c r="D562" s="173"/>
      <c r="E562" s="173"/>
      <c r="F562" s="173"/>
      <c r="G562" s="173"/>
      <c r="H562" s="173"/>
      <c r="I562" s="173"/>
      <c r="J562" s="173"/>
      <c r="K562" s="173"/>
      <c r="L562" s="173"/>
      <c r="M562" s="173"/>
      <c r="N562" s="173"/>
      <c r="O562" s="173"/>
      <c r="P562" s="173"/>
      <c r="Q562" s="173"/>
      <c r="R562" s="173"/>
      <c r="S562" s="173"/>
      <c r="T562" s="173"/>
      <c r="U562" s="173"/>
      <c r="V562" s="173"/>
      <c r="W562" s="173"/>
      <c r="X562" s="173"/>
      <c r="Y562" s="173"/>
      <c r="Z562" s="173"/>
    </row>
    <row r="563">
      <c r="A563" s="173"/>
      <c r="B563" s="173"/>
      <c r="C563" s="173"/>
      <c r="D563" s="173"/>
      <c r="E563" s="173"/>
      <c r="F563" s="173"/>
      <c r="G563" s="173"/>
      <c r="H563" s="173"/>
      <c r="I563" s="173"/>
      <c r="J563" s="173"/>
      <c r="K563" s="173"/>
      <c r="L563" s="173"/>
      <c r="M563" s="173"/>
      <c r="N563" s="173"/>
      <c r="O563" s="173"/>
      <c r="P563" s="173"/>
      <c r="Q563" s="173"/>
      <c r="R563" s="173"/>
      <c r="S563" s="173"/>
      <c r="T563" s="173"/>
      <c r="U563" s="173"/>
      <c r="V563" s="173"/>
      <c r="W563" s="173"/>
      <c r="X563" s="173"/>
      <c r="Y563" s="173"/>
      <c r="Z563" s="173"/>
    </row>
    <row r="564">
      <c r="A564" s="173"/>
      <c r="B564" s="173"/>
      <c r="C564" s="173"/>
      <c r="D564" s="173"/>
      <c r="E564" s="173"/>
      <c r="F564" s="173"/>
      <c r="G564" s="173"/>
      <c r="H564" s="173"/>
      <c r="I564" s="173"/>
      <c r="J564" s="173"/>
      <c r="K564" s="173"/>
      <c r="L564" s="173"/>
      <c r="M564" s="173"/>
      <c r="N564" s="173"/>
      <c r="O564" s="173"/>
      <c r="P564" s="173"/>
      <c r="Q564" s="173"/>
      <c r="R564" s="173"/>
      <c r="S564" s="173"/>
      <c r="T564" s="173"/>
      <c r="U564" s="173"/>
      <c r="V564" s="173"/>
      <c r="W564" s="173"/>
      <c r="X564" s="173"/>
      <c r="Y564" s="173"/>
      <c r="Z564" s="173"/>
    </row>
    <row r="565">
      <c r="A565" s="173"/>
      <c r="B565" s="173"/>
      <c r="C565" s="173"/>
      <c r="D565" s="173"/>
      <c r="E565" s="173"/>
      <c r="F565" s="173"/>
      <c r="G565" s="173"/>
      <c r="H565" s="173"/>
      <c r="I565" s="173"/>
      <c r="J565" s="173"/>
      <c r="K565" s="173"/>
      <c r="L565" s="173"/>
      <c r="M565" s="173"/>
      <c r="N565" s="173"/>
      <c r="O565" s="173"/>
      <c r="P565" s="173"/>
      <c r="Q565" s="173"/>
      <c r="R565" s="173"/>
      <c r="S565" s="173"/>
      <c r="T565" s="173"/>
      <c r="U565" s="173"/>
      <c r="V565" s="173"/>
      <c r="W565" s="173"/>
      <c r="X565" s="173"/>
      <c r="Y565" s="173"/>
      <c r="Z565" s="173"/>
    </row>
    <row r="566">
      <c r="A566" s="173"/>
      <c r="B566" s="173"/>
      <c r="C566" s="173"/>
      <c r="D566" s="173"/>
      <c r="E566" s="173"/>
      <c r="F566" s="173"/>
      <c r="G566" s="173"/>
      <c r="H566" s="173"/>
      <c r="I566" s="173"/>
      <c r="J566" s="173"/>
      <c r="K566" s="173"/>
      <c r="L566" s="173"/>
      <c r="M566" s="173"/>
      <c r="N566" s="173"/>
      <c r="O566" s="173"/>
      <c r="P566" s="173"/>
      <c r="Q566" s="173"/>
      <c r="R566" s="173"/>
      <c r="S566" s="173"/>
      <c r="T566" s="173"/>
      <c r="U566" s="173"/>
      <c r="V566" s="173"/>
      <c r="W566" s="173"/>
      <c r="X566" s="173"/>
      <c r="Y566" s="173"/>
      <c r="Z566" s="173"/>
    </row>
    <row r="567">
      <c r="A567" s="173"/>
      <c r="B567" s="173"/>
      <c r="C567" s="173"/>
      <c r="D567" s="173"/>
      <c r="E567" s="173"/>
      <c r="F567" s="173"/>
      <c r="G567" s="173"/>
      <c r="H567" s="173"/>
      <c r="I567" s="173"/>
      <c r="J567" s="173"/>
      <c r="K567" s="173"/>
      <c r="L567" s="173"/>
      <c r="M567" s="173"/>
      <c r="N567" s="173"/>
      <c r="O567" s="173"/>
      <c r="P567" s="173"/>
      <c r="Q567" s="173"/>
      <c r="R567" s="173"/>
      <c r="S567" s="173"/>
      <c r="T567" s="173"/>
      <c r="U567" s="173"/>
      <c r="V567" s="173"/>
      <c r="W567" s="173"/>
      <c r="X567" s="173"/>
      <c r="Y567" s="173"/>
      <c r="Z567" s="173"/>
    </row>
    <row r="568">
      <c r="A568" s="173"/>
      <c r="B568" s="173"/>
      <c r="C568" s="173"/>
      <c r="D568" s="173"/>
      <c r="E568" s="173"/>
      <c r="F568" s="173"/>
      <c r="G568" s="173"/>
      <c r="H568" s="173"/>
      <c r="I568" s="173"/>
      <c r="J568" s="173"/>
      <c r="K568" s="173"/>
      <c r="L568" s="173"/>
      <c r="M568" s="173"/>
      <c r="N568" s="173"/>
      <c r="O568" s="173"/>
      <c r="P568" s="173"/>
      <c r="Q568" s="173"/>
      <c r="R568" s="173"/>
      <c r="S568" s="173"/>
      <c r="T568" s="173"/>
      <c r="U568" s="173"/>
      <c r="V568" s="173"/>
      <c r="W568" s="173"/>
      <c r="X568" s="173"/>
      <c r="Y568" s="173"/>
      <c r="Z568" s="173"/>
    </row>
    <row r="569">
      <c r="A569" s="173"/>
      <c r="B569" s="173"/>
      <c r="C569" s="173"/>
      <c r="D569" s="173"/>
      <c r="E569" s="173"/>
      <c r="F569" s="173"/>
      <c r="G569" s="173"/>
      <c r="H569" s="173"/>
      <c r="I569" s="173"/>
      <c r="J569" s="173"/>
      <c r="K569" s="173"/>
      <c r="L569" s="173"/>
      <c r="M569" s="173"/>
      <c r="N569" s="173"/>
      <c r="O569" s="173"/>
      <c r="P569" s="173"/>
      <c r="Q569" s="173"/>
      <c r="R569" s="173"/>
      <c r="S569" s="173"/>
      <c r="T569" s="173"/>
      <c r="U569" s="173"/>
      <c r="V569" s="173"/>
      <c r="W569" s="173"/>
      <c r="X569" s="173"/>
      <c r="Y569" s="173"/>
      <c r="Z569" s="173"/>
    </row>
    <row r="570">
      <c r="A570" s="173"/>
      <c r="B570" s="173"/>
      <c r="C570" s="173"/>
      <c r="D570" s="173"/>
      <c r="E570" s="173"/>
      <c r="F570" s="173"/>
      <c r="G570" s="173"/>
      <c r="H570" s="173"/>
      <c r="I570" s="173"/>
      <c r="J570" s="173"/>
      <c r="K570" s="173"/>
      <c r="L570" s="173"/>
      <c r="M570" s="173"/>
      <c r="N570" s="173"/>
      <c r="O570" s="173"/>
      <c r="P570" s="173"/>
      <c r="Q570" s="173"/>
      <c r="R570" s="173"/>
      <c r="S570" s="173"/>
      <c r="T570" s="173"/>
      <c r="U570" s="173"/>
      <c r="V570" s="173"/>
      <c r="W570" s="173"/>
      <c r="X570" s="173"/>
      <c r="Y570" s="173"/>
      <c r="Z570" s="173"/>
    </row>
    <row r="571">
      <c r="A571" s="173"/>
      <c r="B571" s="173"/>
      <c r="C571" s="173"/>
      <c r="D571" s="173"/>
      <c r="E571" s="173"/>
      <c r="F571" s="173"/>
      <c r="G571" s="173"/>
      <c r="H571" s="173"/>
      <c r="I571" s="173"/>
      <c r="J571" s="173"/>
      <c r="K571" s="173"/>
      <c r="L571" s="173"/>
      <c r="M571" s="173"/>
      <c r="N571" s="173"/>
      <c r="O571" s="173"/>
      <c r="P571" s="173"/>
      <c r="Q571" s="173"/>
      <c r="R571" s="173"/>
      <c r="S571" s="173"/>
      <c r="T571" s="173"/>
      <c r="U571" s="173"/>
      <c r="V571" s="173"/>
      <c r="W571" s="173"/>
      <c r="X571" s="173"/>
      <c r="Y571" s="173"/>
      <c r="Z571" s="173"/>
    </row>
    <row r="572">
      <c r="A572" s="173"/>
      <c r="B572" s="173"/>
      <c r="C572" s="173"/>
      <c r="D572" s="173"/>
      <c r="E572" s="173"/>
      <c r="F572" s="173"/>
      <c r="G572" s="173"/>
      <c r="H572" s="173"/>
      <c r="I572" s="173"/>
      <c r="J572" s="173"/>
      <c r="K572" s="173"/>
      <c r="L572" s="173"/>
      <c r="M572" s="173"/>
      <c r="N572" s="173"/>
      <c r="O572" s="173"/>
      <c r="P572" s="173"/>
      <c r="Q572" s="173"/>
      <c r="R572" s="173"/>
      <c r="S572" s="173"/>
      <c r="T572" s="173"/>
      <c r="U572" s="173"/>
      <c r="V572" s="173"/>
      <c r="W572" s="173"/>
      <c r="X572" s="173"/>
      <c r="Y572" s="173"/>
      <c r="Z572" s="173"/>
    </row>
    <row r="573">
      <c r="A573" s="173"/>
      <c r="B573" s="173"/>
      <c r="C573" s="173"/>
      <c r="D573" s="173"/>
      <c r="E573" s="173"/>
      <c r="F573" s="173"/>
      <c r="G573" s="173"/>
      <c r="H573" s="173"/>
      <c r="I573" s="173"/>
      <c r="J573" s="173"/>
      <c r="K573" s="173"/>
      <c r="L573" s="173"/>
      <c r="M573" s="173"/>
      <c r="N573" s="173"/>
      <c r="O573" s="173"/>
      <c r="P573" s="173"/>
      <c r="Q573" s="173"/>
      <c r="R573" s="173"/>
      <c r="S573" s="173"/>
      <c r="T573" s="173"/>
      <c r="U573" s="173"/>
      <c r="V573" s="173"/>
      <c r="W573" s="173"/>
      <c r="X573" s="173"/>
      <c r="Y573" s="173"/>
      <c r="Z573" s="173"/>
    </row>
    <row r="574">
      <c r="A574" s="173"/>
      <c r="B574" s="173"/>
      <c r="C574" s="173"/>
      <c r="D574" s="173"/>
      <c r="E574" s="173"/>
      <c r="F574" s="173"/>
      <c r="G574" s="173"/>
      <c r="H574" s="173"/>
      <c r="I574" s="173"/>
      <c r="J574" s="173"/>
      <c r="K574" s="173"/>
      <c r="L574" s="173"/>
      <c r="M574" s="173"/>
      <c r="N574" s="173"/>
      <c r="O574" s="173"/>
      <c r="P574" s="173"/>
      <c r="Q574" s="173"/>
      <c r="R574" s="173"/>
      <c r="S574" s="173"/>
      <c r="T574" s="173"/>
      <c r="U574" s="173"/>
      <c r="V574" s="173"/>
      <c r="W574" s="173"/>
      <c r="X574" s="173"/>
      <c r="Y574" s="173"/>
      <c r="Z574" s="173"/>
    </row>
    <row r="575">
      <c r="A575" s="173"/>
      <c r="B575" s="173"/>
      <c r="C575" s="173"/>
      <c r="D575" s="173"/>
      <c r="E575" s="173"/>
      <c r="F575" s="173"/>
      <c r="G575" s="173"/>
      <c r="H575" s="173"/>
      <c r="I575" s="173"/>
      <c r="J575" s="173"/>
      <c r="K575" s="173"/>
      <c r="L575" s="173"/>
      <c r="M575" s="173"/>
      <c r="N575" s="173"/>
      <c r="O575" s="173"/>
      <c r="P575" s="173"/>
      <c r="Q575" s="173"/>
      <c r="R575" s="173"/>
      <c r="S575" s="173"/>
      <c r="T575" s="173"/>
      <c r="U575" s="173"/>
      <c r="V575" s="173"/>
      <c r="W575" s="173"/>
      <c r="X575" s="173"/>
      <c r="Y575" s="173"/>
      <c r="Z575" s="173"/>
    </row>
    <row r="576">
      <c r="A576" s="173"/>
      <c r="B576" s="173"/>
      <c r="C576" s="173"/>
      <c r="D576" s="173"/>
      <c r="E576" s="173"/>
      <c r="F576" s="173"/>
      <c r="G576" s="173"/>
      <c r="H576" s="173"/>
      <c r="I576" s="173"/>
      <c r="J576" s="173"/>
      <c r="K576" s="173"/>
      <c r="L576" s="173"/>
      <c r="M576" s="173"/>
      <c r="N576" s="173"/>
      <c r="O576" s="173"/>
      <c r="P576" s="173"/>
      <c r="Q576" s="173"/>
      <c r="R576" s="173"/>
      <c r="S576" s="173"/>
      <c r="T576" s="173"/>
      <c r="U576" s="173"/>
      <c r="V576" s="173"/>
      <c r="W576" s="173"/>
      <c r="X576" s="173"/>
      <c r="Y576" s="173"/>
      <c r="Z576" s="173"/>
    </row>
    <row r="577">
      <c r="A577" s="173"/>
      <c r="B577" s="173"/>
      <c r="C577" s="173"/>
      <c r="D577" s="173"/>
      <c r="E577" s="173"/>
      <c r="F577" s="173"/>
      <c r="G577" s="173"/>
      <c r="H577" s="173"/>
      <c r="I577" s="173"/>
      <c r="J577" s="173"/>
      <c r="K577" s="173"/>
      <c r="L577" s="173"/>
      <c r="M577" s="173"/>
      <c r="N577" s="173"/>
      <c r="O577" s="173"/>
      <c r="P577" s="173"/>
      <c r="Q577" s="173"/>
      <c r="R577" s="173"/>
      <c r="S577" s="173"/>
      <c r="T577" s="173"/>
      <c r="U577" s="173"/>
      <c r="V577" s="173"/>
      <c r="W577" s="173"/>
      <c r="X577" s="173"/>
      <c r="Y577" s="173"/>
      <c r="Z577" s="173"/>
    </row>
    <row r="578">
      <c r="A578" s="173"/>
      <c r="B578" s="173"/>
      <c r="C578" s="173"/>
      <c r="D578" s="173"/>
      <c r="E578" s="173"/>
      <c r="F578" s="173"/>
      <c r="G578" s="173"/>
      <c r="H578" s="173"/>
      <c r="I578" s="173"/>
      <c r="J578" s="173"/>
      <c r="K578" s="173"/>
      <c r="L578" s="173"/>
      <c r="M578" s="173"/>
      <c r="N578" s="173"/>
      <c r="O578" s="173"/>
      <c r="P578" s="173"/>
      <c r="Q578" s="173"/>
      <c r="R578" s="173"/>
      <c r="S578" s="173"/>
      <c r="T578" s="173"/>
      <c r="U578" s="173"/>
      <c r="V578" s="173"/>
      <c r="W578" s="173"/>
      <c r="X578" s="173"/>
      <c r="Y578" s="173"/>
      <c r="Z578" s="173"/>
    </row>
    <row r="579">
      <c r="A579" s="173"/>
      <c r="B579" s="173"/>
      <c r="C579" s="173"/>
      <c r="D579" s="173"/>
      <c r="E579" s="173"/>
      <c r="F579" s="173"/>
      <c r="G579" s="173"/>
      <c r="H579" s="173"/>
      <c r="I579" s="173"/>
      <c r="J579" s="173"/>
      <c r="K579" s="173"/>
      <c r="L579" s="173"/>
      <c r="M579" s="173"/>
      <c r="N579" s="173"/>
      <c r="O579" s="173"/>
      <c r="P579" s="173"/>
      <c r="Q579" s="173"/>
      <c r="R579" s="173"/>
      <c r="S579" s="173"/>
      <c r="T579" s="173"/>
      <c r="U579" s="173"/>
      <c r="V579" s="173"/>
      <c r="W579" s="173"/>
      <c r="X579" s="173"/>
      <c r="Y579" s="173"/>
      <c r="Z579" s="173"/>
    </row>
    <row r="580">
      <c r="A580" s="173"/>
      <c r="B580" s="173"/>
      <c r="C580" s="173"/>
      <c r="D580" s="173"/>
      <c r="E580" s="173"/>
      <c r="F580" s="173"/>
      <c r="G580" s="173"/>
      <c r="H580" s="173"/>
      <c r="I580" s="173"/>
      <c r="J580" s="173"/>
      <c r="K580" s="173"/>
      <c r="L580" s="173"/>
      <c r="M580" s="173"/>
      <c r="N580" s="173"/>
      <c r="O580" s="173"/>
      <c r="P580" s="173"/>
      <c r="Q580" s="173"/>
      <c r="R580" s="173"/>
      <c r="S580" s="173"/>
      <c r="T580" s="173"/>
      <c r="U580" s="173"/>
      <c r="V580" s="173"/>
      <c r="W580" s="173"/>
      <c r="X580" s="173"/>
      <c r="Y580" s="173"/>
      <c r="Z580" s="173"/>
    </row>
    <row r="581">
      <c r="A581" s="173"/>
      <c r="B581" s="173"/>
      <c r="C581" s="173"/>
      <c r="D581" s="173"/>
      <c r="E581" s="173"/>
      <c r="F581" s="173"/>
      <c r="G581" s="173"/>
      <c r="H581" s="173"/>
      <c r="I581" s="173"/>
      <c r="J581" s="173"/>
      <c r="K581" s="173"/>
      <c r="L581" s="173"/>
      <c r="M581" s="173"/>
      <c r="N581" s="173"/>
      <c r="O581" s="173"/>
      <c r="P581" s="173"/>
      <c r="Q581" s="173"/>
      <c r="R581" s="173"/>
      <c r="S581" s="173"/>
      <c r="T581" s="173"/>
      <c r="U581" s="173"/>
      <c r="V581" s="173"/>
      <c r="W581" s="173"/>
      <c r="X581" s="173"/>
      <c r="Y581" s="173"/>
      <c r="Z581" s="173"/>
    </row>
    <row r="582">
      <c r="A582" s="173"/>
      <c r="B582" s="173"/>
      <c r="C582" s="173"/>
      <c r="D582" s="173"/>
      <c r="E582" s="173"/>
      <c r="F582" s="173"/>
      <c r="G582" s="173"/>
      <c r="H582" s="173"/>
      <c r="I582" s="173"/>
      <c r="J582" s="173"/>
      <c r="K582" s="173"/>
      <c r="L582" s="173"/>
      <c r="M582" s="173"/>
      <c r="N582" s="173"/>
      <c r="O582" s="173"/>
      <c r="P582" s="173"/>
      <c r="Q582" s="173"/>
      <c r="R582" s="173"/>
      <c r="S582" s="173"/>
      <c r="T582" s="173"/>
      <c r="U582" s="173"/>
      <c r="V582" s="173"/>
      <c r="W582" s="173"/>
      <c r="X582" s="173"/>
      <c r="Y582" s="173"/>
      <c r="Z582" s="173"/>
    </row>
    <row r="583">
      <c r="A583" s="173"/>
      <c r="B583" s="173"/>
      <c r="C583" s="173"/>
      <c r="D583" s="173"/>
      <c r="E583" s="173"/>
      <c r="F583" s="173"/>
      <c r="G583" s="173"/>
      <c r="H583" s="173"/>
      <c r="I583" s="173"/>
      <c r="J583" s="173"/>
      <c r="K583" s="173"/>
      <c r="L583" s="173"/>
      <c r="M583" s="173"/>
      <c r="N583" s="173"/>
      <c r="O583" s="173"/>
      <c r="P583" s="173"/>
      <c r="Q583" s="173"/>
      <c r="R583" s="173"/>
      <c r="S583" s="173"/>
      <c r="T583" s="173"/>
      <c r="U583" s="173"/>
      <c r="V583" s="173"/>
      <c r="W583" s="173"/>
      <c r="X583" s="173"/>
      <c r="Y583" s="173"/>
      <c r="Z583" s="173"/>
    </row>
    <row r="584">
      <c r="A584" s="173"/>
      <c r="B584" s="173"/>
      <c r="C584" s="173"/>
      <c r="D584" s="173"/>
      <c r="E584" s="173"/>
      <c r="F584" s="173"/>
      <c r="G584" s="173"/>
      <c r="H584" s="173"/>
      <c r="I584" s="173"/>
      <c r="J584" s="173"/>
      <c r="K584" s="173"/>
      <c r="L584" s="173"/>
      <c r="M584" s="173"/>
      <c r="N584" s="173"/>
      <c r="O584" s="173"/>
      <c r="P584" s="173"/>
      <c r="Q584" s="173"/>
      <c r="R584" s="173"/>
      <c r="S584" s="173"/>
      <c r="T584" s="173"/>
      <c r="U584" s="173"/>
      <c r="V584" s="173"/>
      <c r="W584" s="173"/>
      <c r="X584" s="173"/>
      <c r="Y584" s="173"/>
      <c r="Z584" s="173"/>
    </row>
    <row r="585">
      <c r="A585" s="173"/>
      <c r="B585" s="173"/>
      <c r="C585" s="173"/>
      <c r="D585" s="173"/>
      <c r="E585" s="173"/>
      <c r="F585" s="173"/>
      <c r="G585" s="173"/>
      <c r="H585" s="173"/>
      <c r="I585" s="173"/>
      <c r="J585" s="173"/>
      <c r="K585" s="173"/>
      <c r="L585" s="173"/>
      <c r="M585" s="173"/>
      <c r="N585" s="173"/>
      <c r="O585" s="173"/>
      <c r="P585" s="173"/>
      <c r="Q585" s="173"/>
      <c r="R585" s="173"/>
      <c r="S585" s="173"/>
      <c r="T585" s="173"/>
      <c r="U585" s="173"/>
      <c r="V585" s="173"/>
      <c r="W585" s="173"/>
      <c r="X585" s="173"/>
      <c r="Y585" s="173"/>
      <c r="Z585" s="173"/>
    </row>
    <row r="586">
      <c r="A586" s="173"/>
      <c r="B586" s="173"/>
      <c r="C586" s="173"/>
      <c r="D586" s="173"/>
      <c r="E586" s="173"/>
      <c r="F586" s="173"/>
      <c r="G586" s="173"/>
      <c r="H586" s="173"/>
      <c r="I586" s="173"/>
      <c r="J586" s="173"/>
      <c r="K586" s="173"/>
      <c r="L586" s="173"/>
      <c r="M586" s="173"/>
      <c r="N586" s="173"/>
      <c r="O586" s="173"/>
      <c r="P586" s="173"/>
      <c r="Q586" s="173"/>
      <c r="R586" s="173"/>
      <c r="S586" s="173"/>
      <c r="T586" s="173"/>
      <c r="U586" s="173"/>
      <c r="V586" s="173"/>
      <c r="W586" s="173"/>
      <c r="X586" s="173"/>
      <c r="Y586" s="173"/>
      <c r="Z586" s="173"/>
    </row>
    <row r="587">
      <c r="A587" s="173"/>
      <c r="B587" s="173"/>
      <c r="C587" s="173"/>
      <c r="D587" s="173"/>
      <c r="E587" s="173"/>
      <c r="F587" s="173"/>
      <c r="G587" s="173"/>
      <c r="H587" s="173"/>
      <c r="I587" s="173"/>
      <c r="J587" s="173"/>
      <c r="K587" s="173"/>
      <c r="L587" s="173"/>
      <c r="M587" s="173"/>
      <c r="N587" s="173"/>
      <c r="O587" s="173"/>
      <c r="P587" s="173"/>
      <c r="Q587" s="173"/>
      <c r="R587" s="173"/>
      <c r="S587" s="173"/>
      <c r="T587" s="173"/>
      <c r="U587" s="173"/>
      <c r="V587" s="173"/>
      <c r="W587" s="173"/>
      <c r="X587" s="173"/>
      <c r="Y587" s="173"/>
      <c r="Z587" s="173"/>
    </row>
    <row r="588">
      <c r="A588" s="173"/>
      <c r="B588" s="173"/>
      <c r="C588" s="173"/>
      <c r="D588" s="173"/>
      <c r="E588" s="173"/>
      <c r="F588" s="173"/>
      <c r="G588" s="173"/>
      <c r="H588" s="173"/>
      <c r="I588" s="173"/>
      <c r="J588" s="173"/>
      <c r="K588" s="173"/>
      <c r="L588" s="173"/>
      <c r="M588" s="173"/>
      <c r="N588" s="173"/>
      <c r="O588" s="173"/>
      <c r="P588" s="173"/>
      <c r="Q588" s="173"/>
      <c r="R588" s="173"/>
      <c r="S588" s="173"/>
      <c r="T588" s="173"/>
      <c r="U588" s="173"/>
      <c r="V588" s="173"/>
      <c r="W588" s="173"/>
      <c r="X588" s="173"/>
      <c r="Y588" s="173"/>
      <c r="Z588" s="173"/>
    </row>
    <row r="589">
      <c r="A589" s="173"/>
      <c r="B589" s="173"/>
      <c r="C589" s="173"/>
      <c r="D589" s="173"/>
      <c r="E589" s="173"/>
      <c r="F589" s="173"/>
      <c r="G589" s="173"/>
      <c r="H589" s="173"/>
      <c r="I589" s="173"/>
      <c r="J589" s="173"/>
      <c r="K589" s="173"/>
      <c r="L589" s="173"/>
      <c r="M589" s="173"/>
      <c r="N589" s="173"/>
      <c r="O589" s="173"/>
      <c r="P589" s="173"/>
      <c r="Q589" s="173"/>
      <c r="R589" s="173"/>
      <c r="S589" s="173"/>
      <c r="T589" s="173"/>
      <c r="U589" s="173"/>
      <c r="V589" s="173"/>
      <c r="W589" s="173"/>
      <c r="X589" s="173"/>
      <c r="Y589" s="173"/>
      <c r="Z589" s="173"/>
    </row>
    <row r="590">
      <c r="A590" s="173"/>
      <c r="B590" s="173"/>
      <c r="C590" s="173"/>
      <c r="D590" s="173"/>
      <c r="E590" s="173"/>
      <c r="F590" s="173"/>
      <c r="G590" s="173"/>
      <c r="H590" s="173"/>
      <c r="I590" s="173"/>
      <c r="J590" s="173"/>
      <c r="K590" s="173"/>
      <c r="L590" s="173"/>
      <c r="M590" s="173"/>
      <c r="N590" s="173"/>
      <c r="O590" s="173"/>
      <c r="P590" s="173"/>
      <c r="Q590" s="173"/>
      <c r="R590" s="173"/>
      <c r="S590" s="173"/>
      <c r="T590" s="173"/>
      <c r="U590" s="173"/>
      <c r="V590" s="173"/>
      <c r="W590" s="173"/>
      <c r="X590" s="173"/>
      <c r="Y590" s="173"/>
      <c r="Z590" s="173"/>
    </row>
    <row r="591">
      <c r="A591" s="173"/>
      <c r="B591" s="173"/>
      <c r="C591" s="173"/>
      <c r="D591" s="173"/>
      <c r="E591" s="173"/>
      <c r="F591" s="173"/>
      <c r="G591" s="173"/>
      <c r="H591" s="173"/>
      <c r="I591" s="173"/>
      <c r="J591" s="173"/>
      <c r="K591" s="173"/>
      <c r="L591" s="173"/>
      <c r="M591" s="173"/>
      <c r="N591" s="173"/>
      <c r="O591" s="173"/>
      <c r="P591" s="173"/>
      <c r="Q591" s="173"/>
      <c r="R591" s="173"/>
      <c r="S591" s="173"/>
      <c r="T591" s="173"/>
      <c r="U591" s="173"/>
      <c r="V591" s="173"/>
      <c r="W591" s="173"/>
      <c r="X591" s="173"/>
      <c r="Y591" s="173"/>
      <c r="Z591" s="173"/>
    </row>
    <row r="592">
      <c r="A592" s="173"/>
      <c r="B592" s="173"/>
      <c r="C592" s="173"/>
      <c r="D592" s="173"/>
      <c r="E592" s="173"/>
      <c r="F592" s="173"/>
      <c r="G592" s="173"/>
      <c r="H592" s="173"/>
      <c r="I592" s="173"/>
      <c r="J592" s="173"/>
      <c r="K592" s="173"/>
      <c r="L592" s="173"/>
      <c r="M592" s="173"/>
      <c r="N592" s="173"/>
      <c r="O592" s="173"/>
      <c r="P592" s="173"/>
      <c r="Q592" s="173"/>
      <c r="R592" s="173"/>
      <c r="S592" s="173"/>
      <c r="T592" s="173"/>
      <c r="U592" s="173"/>
      <c r="V592" s="173"/>
      <c r="W592" s="173"/>
      <c r="X592" s="173"/>
      <c r="Y592" s="173"/>
      <c r="Z592" s="173"/>
    </row>
    <row r="593">
      <c r="A593" s="173"/>
      <c r="B593" s="173"/>
      <c r="C593" s="173"/>
      <c r="D593" s="173"/>
      <c r="E593" s="173"/>
      <c r="F593" s="173"/>
      <c r="G593" s="173"/>
      <c r="H593" s="173"/>
      <c r="I593" s="173"/>
      <c r="J593" s="173"/>
      <c r="K593" s="173"/>
      <c r="L593" s="173"/>
      <c r="M593" s="173"/>
      <c r="N593" s="173"/>
      <c r="O593" s="173"/>
      <c r="P593" s="173"/>
      <c r="Q593" s="173"/>
      <c r="R593" s="173"/>
      <c r="S593" s="173"/>
      <c r="T593" s="173"/>
      <c r="U593" s="173"/>
      <c r="V593" s="173"/>
      <c r="W593" s="173"/>
      <c r="X593" s="173"/>
      <c r="Y593" s="173"/>
      <c r="Z593" s="173"/>
    </row>
    <row r="594">
      <c r="A594" s="173"/>
      <c r="B594" s="173"/>
      <c r="C594" s="173"/>
      <c r="D594" s="173"/>
      <c r="E594" s="173"/>
      <c r="F594" s="173"/>
      <c r="G594" s="173"/>
      <c r="H594" s="173"/>
      <c r="I594" s="173"/>
      <c r="J594" s="173"/>
      <c r="K594" s="173"/>
      <c r="L594" s="173"/>
      <c r="M594" s="173"/>
      <c r="N594" s="173"/>
      <c r="O594" s="173"/>
      <c r="P594" s="173"/>
      <c r="Q594" s="173"/>
      <c r="R594" s="173"/>
      <c r="S594" s="173"/>
      <c r="T594" s="173"/>
      <c r="U594" s="173"/>
      <c r="V594" s="173"/>
      <c r="W594" s="173"/>
      <c r="X594" s="173"/>
      <c r="Y594" s="173"/>
      <c r="Z594" s="173"/>
    </row>
    <row r="595">
      <c r="A595" s="173"/>
      <c r="B595" s="173"/>
      <c r="C595" s="173"/>
      <c r="D595" s="173"/>
      <c r="E595" s="173"/>
      <c r="F595" s="173"/>
      <c r="G595" s="173"/>
      <c r="H595" s="173"/>
      <c r="I595" s="173"/>
      <c r="J595" s="173"/>
      <c r="K595" s="173"/>
      <c r="L595" s="173"/>
      <c r="M595" s="173"/>
      <c r="N595" s="173"/>
      <c r="O595" s="173"/>
      <c r="P595" s="173"/>
      <c r="Q595" s="173"/>
      <c r="R595" s="173"/>
      <c r="S595" s="173"/>
      <c r="T595" s="173"/>
      <c r="U595" s="173"/>
      <c r="V595" s="173"/>
      <c r="W595" s="173"/>
      <c r="X595" s="173"/>
      <c r="Y595" s="173"/>
      <c r="Z595" s="173"/>
    </row>
    <row r="596">
      <c r="A596" s="173"/>
      <c r="B596" s="173"/>
      <c r="C596" s="173"/>
      <c r="D596" s="173"/>
      <c r="E596" s="173"/>
      <c r="F596" s="173"/>
      <c r="G596" s="173"/>
      <c r="H596" s="173"/>
      <c r="I596" s="173"/>
      <c r="J596" s="173"/>
      <c r="K596" s="173"/>
      <c r="L596" s="173"/>
      <c r="M596" s="173"/>
      <c r="N596" s="173"/>
      <c r="O596" s="173"/>
      <c r="P596" s="173"/>
      <c r="Q596" s="173"/>
      <c r="R596" s="173"/>
      <c r="S596" s="173"/>
      <c r="T596" s="173"/>
      <c r="U596" s="173"/>
      <c r="V596" s="173"/>
      <c r="W596" s="173"/>
      <c r="X596" s="173"/>
      <c r="Y596" s="173"/>
      <c r="Z596" s="173"/>
    </row>
    <row r="597">
      <c r="A597" s="173"/>
      <c r="B597" s="173"/>
      <c r="C597" s="173"/>
      <c r="D597" s="173"/>
      <c r="E597" s="173"/>
      <c r="F597" s="173"/>
      <c r="G597" s="173"/>
      <c r="H597" s="173"/>
      <c r="I597" s="173"/>
      <c r="J597" s="173"/>
      <c r="K597" s="173"/>
      <c r="L597" s="173"/>
      <c r="M597" s="173"/>
      <c r="N597" s="173"/>
      <c r="O597" s="173"/>
      <c r="P597" s="173"/>
      <c r="Q597" s="173"/>
      <c r="R597" s="173"/>
      <c r="S597" s="173"/>
      <c r="T597" s="173"/>
      <c r="U597" s="173"/>
      <c r="V597" s="173"/>
      <c r="W597" s="173"/>
      <c r="X597" s="173"/>
      <c r="Y597" s="173"/>
      <c r="Z597" s="173"/>
    </row>
    <row r="598">
      <c r="A598" s="173"/>
      <c r="B598" s="173"/>
      <c r="C598" s="173"/>
      <c r="D598" s="173"/>
      <c r="E598" s="173"/>
      <c r="F598" s="173"/>
      <c r="G598" s="173"/>
      <c r="H598" s="173"/>
      <c r="I598" s="173"/>
      <c r="J598" s="173"/>
      <c r="K598" s="173"/>
      <c r="L598" s="173"/>
      <c r="M598" s="173"/>
      <c r="N598" s="173"/>
      <c r="O598" s="173"/>
      <c r="P598" s="173"/>
      <c r="Q598" s="173"/>
      <c r="R598" s="173"/>
      <c r="S598" s="173"/>
      <c r="T598" s="173"/>
      <c r="U598" s="173"/>
      <c r="V598" s="173"/>
      <c r="W598" s="173"/>
      <c r="X598" s="173"/>
      <c r="Y598" s="173"/>
      <c r="Z598" s="173"/>
    </row>
    <row r="599">
      <c r="A599" s="173"/>
      <c r="B599" s="173"/>
      <c r="C599" s="173"/>
      <c r="D599" s="173"/>
      <c r="E599" s="173"/>
      <c r="F599" s="173"/>
      <c r="G599" s="173"/>
      <c r="H599" s="173"/>
      <c r="I599" s="173"/>
      <c r="J599" s="173"/>
      <c r="K599" s="173"/>
      <c r="L599" s="173"/>
      <c r="M599" s="173"/>
      <c r="N599" s="173"/>
      <c r="O599" s="173"/>
      <c r="P599" s="173"/>
      <c r="Q599" s="173"/>
      <c r="R599" s="173"/>
      <c r="S599" s="173"/>
      <c r="T599" s="173"/>
      <c r="U599" s="173"/>
      <c r="V599" s="173"/>
      <c r="W599" s="173"/>
      <c r="X599" s="173"/>
      <c r="Y599" s="173"/>
      <c r="Z599" s="173"/>
    </row>
    <row r="600">
      <c r="A600" s="173"/>
      <c r="B600" s="173"/>
      <c r="C600" s="173"/>
      <c r="D600" s="173"/>
      <c r="E600" s="173"/>
      <c r="F600" s="173"/>
      <c r="G600" s="173"/>
      <c r="H600" s="173"/>
      <c r="I600" s="173"/>
      <c r="J600" s="173"/>
      <c r="K600" s="173"/>
      <c r="L600" s="173"/>
      <c r="M600" s="173"/>
      <c r="N600" s="173"/>
      <c r="O600" s="173"/>
      <c r="P600" s="173"/>
      <c r="Q600" s="173"/>
      <c r="R600" s="173"/>
      <c r="S600" s="173"/>
      <c r="T600" s="173"/>
      <c r="U600" s="173"/>
      <c r="V600" s="173"/>
      <c r="W600" s="173"/>
      <c r="X600" s="173"/>
      <c r="Y600" s="173"/>
      <c r="Z600" s="173"/>
    </row>
    <row r="601">
      <c r="A601" s="173"/>
      <c r="B601" s="173"/>
      <c r="C601" s="173"/>
      <c r="D601" s="173"/>
      <c r="E601" s="173"/>
      <c r="F601" s="173"/>
      <c r="G601" s="173"/>
      <c r="H601" s="173"/>
      <c r="I601" s="173"/>
      <c r="J601" s="173"/>
      <c r="K601" s="173"/>
      <c r="L601" s="173"/>
      <c r="M601" s="173"/>
      <c r="N601" s="173"/>
      <c r="O601" s="173"/>
      <c r="P601" s="173"/>
      <c r="Q601" s="173"/>
      <c r="R601" s="173"/>
      <c r="S601" s="173"/>
      <c r="T601" s="173"/>
      <c r="U601" s="173"/>
      <c r="V601" s="173"/>
      <c r="W601" s="173"/>
      <c r="X601" s="173"/>
      <c r="Y601" s="173"/>
      <c r="Z601" s="173"/>
    </row>
    <row r="602">
      <c r="A602" s="173"/>
      <c r="B602" s="173"/>
      <c r="C602" s="173"/>
      <c r="D602" s="173"/>
      <c r="E602" s="173"/>
      <c r="F602" s="173"/>
      <c r="G602" s="173"/>
      <c r="H602" s="173"/>
      <c r="I602" s="173"/>
      <c r="J602" s="173"/>
      <c r="K602" s="173"/>
      <c r="L602" s="173"/>
      <c r="M602" s="173"/>
      <c r="N602" s="173"/>
      <c r="O602" s="173"/>
      <c r="P602" s="173"/>
      <c r="Q602" s="173"/>
      <c r="R602" s="173"/>
      <c r="S602" s="173"/>
      <c r="T602" s="173"/>
      <c r="U602" s="173"/>
      <c r="V602" s="173"/>
      <c r="W602" s="173"/>
      <c r="X602" s="173"/>
      <c r="Y602" s="173"/>
      <c r="Z602" s="173"/>
    </row>
    <row r="603">
      <c r="A603" s="173"/>
      <c r="B603" s="173"/>
      <c r="C603" s="173"/>
      <c r="D603" s="173"/>
      <c r="E603" s="173"/>
      <c r="F603" s="173"/>
      <c r="G603" s="173"/>
      <c r="H603" s="173"/>
      <c r="I603" s="173"/>
      <c r="J603" s="173"/>
      <c r="K603" s="173"/>
      <c r="L603" s="173"/>
      <c r="M603" s="173"/>
      <c r="N603" s="173"/>
      <c r="O603" s="173"/>
      <c r="P603" s="173"/>
      <c r="Q603" s="173"/>
      <c r="R603" s="173"/>
      <c r="S603" s="173"/>
      <c r="T603" s="173"/>
      <c r="U603" s="173"/>
      <c r="V603" s="173"/>
      <c r="W603" s="173"/>
      <c r="X603" s="173"/>
      <c r="Y603" s="173"/>
      <c r="Z603" s="173"/>
    </row>
    <row r="604">
      <c r="A604" s="173"/>
      <c r="B604" s="173"/>
      <c r="C604" s="173"/>
      <c r="D604" s="173"/>
      <c r="E604" s="173"/>
      <c r="F604" s="173"/>
      <c r="G604" s="173"/>
      <c r="H604" s="173"/>
      <c r="I604" s="173"/>
      <c r="J604" s="173"/>
      <c r="K604" s="173"/>
      <c r="L604" s="173"/>
      <c r="M604" s="173"/>
      <c r="N604" s="173"/>
      <c r="O604" s="173"/>
      <c r="P604" s="173"/>
      <c r="Q604" s="173"/>
      <c r="R604" s="173"/>
      <c r="S604" s="173"/>
      <c r="T604" s="173"/>
      <c r="U604" s="173"/>
      <c r="V604" s="173"/>
      <c r="W604" s="173"/>
      <c r="X604" s="173"/>
      <c r="Y604" s="173"/>
      <c r="Z604" s="173"/>
    </row>
    <row r="605">
      <c r="A605" s="173"/>
      <c r="B605" s="173"/>
      <c r="C605" s="173"/>
      <c r="D605" s="173"/>
      <c r="E605" s="173"/>
      <c r="F605" s="173"/>
      <c r="G605" s="173"/>
      <c r="H605" s="173"/>
      <c r="I605" s="173"/>
      <c r="J605" s="173"/>
      <c r="K605" s="173"/>
      <c r="L605" s="173"/>
      <c r="M605" s="173"/>
      <c r="N605" s="173"/>
      <c r="O605" s="173"/>
      <c r="P605" s="173"/>
      <c r="Q605" s="173"/>
      <c r="R605" s="173"/>
      <c r="S605" s="173"/>
      <c r="T605" s="173"/>
      <c r="U605" s="173"/>
      <c r="V605" s="173"/>
      <c r="W605" s="173"/>
      <c r="X605" s="173"/>
      <c r="Y605" s="173"/>
      <c r="Z605" s="173"/>
    </row>
    <row r="606">
      <c r="A606" s="173"/>
      <c r="B606" s="173"/>
      <c r="C606" s="173"/>
      <c r="D606" s="173"/>
      <c r="E606" s="173"/>
      <c r="F606" s="173"/>
      <c r="G606" s="173"/>
      <c r="H606" s="173"/>
      <c r="I606" s="173"/>
      <c r="J606" s="173"/>
      <c r="K606" s="173"/>
      <c r="L606" s="173"/>
      <c r="M606" s="173"/>
      <c r="N606" s="173"/>
      <c r="O606" s="173"/>
      <c r="P606" s="173"/>
      <c r="Q606" s="173"/>
      <c r="R606" s="173"/>
      <c r="S606" s="173"/>
      <c r="T606" s="173"/>
      <c r="U606" s="173"/>
      <c r="V606" s="173"/>
      <c r="W606" s="173"/>
      <c r="X606" s="173"/>
      <c r="Y606" s="173"/>
      <c r="Z606" s="173"/>
    </row>
    <row r="607">
      <c r="A607" s="173"/>
      <c r="B607" s="173"/>
      <c r="C607" s="173"/>
      <c r="D607" s="173"/>
      <c r="E607" s="173"/>
      <c r="F607" s="173"/>
      <c r="G607" s="173"/>
      <c r="H607" s="173"/>
      <c r="I607" s="173"/>
      <c r="J607" s="173"/>
      <c r="K607" s="173"/>
      <c r="L607" s="173"/>
      <c r="M607" s="173"/>
      <c r="N607" s="173"/>
      <c r="O607" s="173"/>
      <c r="P607" s="173"/>
      <c r="Q607" s="173"/>
      <c r="R607" s="173"/>
      <c r="S607" s="173"/>
      <c r="T607" s="173"/>
      <c r="U607" s="173"/>
      <c r="V607" s="173"/>
      <c r="W607" s="173"/>
      <c r="X607" s="173"/>
      <c r="Y607" s="173"/>
      <c r="Z607" s="173"/>
    </row>
    <row r="608">
      <c r="A608" s="173"/>
      <c r="B608" s="173"/>
      <c r="C608" s="173"/>
      <c r="D608" s="173"/>
      <c r="E608" s="173"/>
      <c r="F608" s="173"/>
      <c r="G608" s="173"/>
      <c r="H608" s="173"/>
      <c r="I608" s="173"/>
      <c r="J608" s="173"/>
      <c r="K608" s="173"/>
      <c r="L608" s="173"/>
      <c r="M608" s="173"/>
      <c r="N608" s="173"/>
      <c r="O608" s="173"/>
      <c r="P608" s="173"/>
      <c r="Q608" s="173"/>
      <c r="R608" s="173"/>
      <c r="S608" s="173"/>
      <c r="T608" s="173"/>
      <c r="U608" s="173"/>
      <c r="V608" s="173"/>
      <c r="W608" s="173"/>
      <c r="X608" s="173"/>
      <c r="Y608" s="173"/>
      <c r="Z608" s="173"/>
    </row>
    <row r="609">
      <c r="A609" s="173"/>
      <c r="B609" s="173"/>
      <c r="C609" s="173"/>
      <c r="D609" s="173"/>
      <c r="E609" s="173"/>
      <c r="F609" s="173"/>
      <c r="G609" s="173"/>
      <c r="H609" s="173"/>
      <c r="I609" s="173"/>
      <c r="J609" s="173"/>
      <c r="K609" s="173"/>
      <c r="L609" s="173"/>
      <c r="M609" s="173"/>
      <c r="N609" s="173"/>
      <c r="O609" s="173"/>
      <c r="P609" s="173"/>
      <c r="Q609" s="173"/>
      <c r="R609" s="173"/>
      <c r="S609" s="173"/>
      <c r="T609" s="173"/>
      <c r="U609" s="173"/>
      <c r="V609" s="173"/>
      <c r="W609" s="173"/>
      <c r="X609" s="173"/>
      <c r="Y609" s="173"/>
      <c r="Z609" s="173"/>
    </row>
    <row r="610">
      <c r="A610" s="173"/>
      <c r="B610" s="173"/>
      <c r="C610" s="173"/>
      <c r="D610" s="173"/>
      <c r="E610" s="173"/>
      <c r="F610" s="173"/>
      <c r="G610" s="173"/>
      <c r="H610" s="173"/>
      <c r="I610" s="173"/>
      <c r="J610" s="173"/>
      <c r="K610" s="173"/>
      <c r="L610" s="173"/>
      <c r="M610" s="173"/>
      <c r="N610" s="173"/>
      <c r="O610" s="173"/>
      <c r="P610" s="173"/>
      <c r="Q610" s="173"/>
      <c r="R610" s="173"/>
      <c r="S610" s="173"/>
      <c r="T610" s="173"/>
      <c r="U610" s="173"/>
      <c r="V610" s="173"/>
      <c r="W610" s="173"/>
      <c r="X610" s="173"/>
      <c r="Y610" s="173"/>
      <c r="Z610" s="173"/>
    </row>
    <row r="611">
      <c r="A611" s="173"/>
      <c r="B611" s="173"/>
      <c r="C611" s="173"/>
      <c r="D611" s="173"/>
      <c r="E611" s="173"/>
      <c r="F611" s="173"/>
      <c r="G611" s="173"/>
      <c r="H611" s="173"/>
      <c r="I611" s="173"/>
      <c r="J611" s="173"/>
      <c r="K611" s="173"/>
      <c r="L611" s="173"/>
      <c r="M611" s="173"/>
      <c r="N611" s="173"/>
      <c r="O611" s="173"/>
      <c r="P611" s="173"/>
      <c r="Q611" s="173"/>
      <c r="R611" s="173"/>
      <c r="S611" s="173"/>
      <c r="T611" s="173"/>
      <c r="U611" s="173"/>
      <c r="V611" s="173"/>
      <c r="W611" s="173"/>
      <c r="X611" s="173"/>
      <c r="Y611" s="173"/>
      <c r="Z611" s="173"/>
    </row>
    <row r="612">
      <c r="A612" s="173"/>
      <c r="B612" s="173"/>
      <c r="C612" s="173"/>
      <c r="D612" s="173"/>
      <c r="E612" s="173"/>
      <c r="F612" s="173"/>
      <c r="G612" s="173"/>
      <c r="H612" s="173"/>
      <c r="I612" s="173"/>
      <c r="J612" s="173"/>
      <c r="K612" s="173"/>
      <c r="L612" s="173"/>
      <c r="M612" s="173"/>
      <c r="N612" s="173"/>
      <c r="O612" s="173"/>
      <c r="P612" s="173"/>
      <c r="Q612" s="173"/>
      <c r="R612" s="173"/>
      <c r="S612" s="173"/>
      <c r="T612" s="173"/>
      <c r="U612" s="173"/>
      <c r="V612" s="173"/>
      <c r="W612" s="173"/>
      <c r="X612" s="173"/>
      <c r="Y612" s="173"/>
      <c r="Z612" s="173"/>
    </row>
    <row r="613">
      <c r="A613" s="173"/>
      <c r="B613" s="173"/>
      <c r="C613" s="173"/>
      <c r="D613" s="173"/>
      <c r="E613" s="173"/>
      <c r="F613" s="173"/>
      <c r="G613" s="173"/>
      <c r="H613" s="173"/>
      <c r="I613" s="173"/>
      <c r="J613" s="173"/>
      <c r="K613" s="173"/>
      <c r="L613" s="173"/>
      <c r="M613" s="173"/>
      <c r="N613" s="173"/>
      <c r="O613" s="173"/>
      <c r="P613" s="173"/>
      <c r="Q613" s="173"/>
      <c r="R613" s="173"/>
      <c r="S613" s="173"/>
      <c r="T613" s="173"/>
      <c r="U613" s="173"/>
      <c r="V613" s="173"/>
      <c r="W613" s="173"/>
      <c r="X613" s="173"/>
      <c r="Y613" s="173"/>
      <c r="Z613" s="173"/>
    </row>
    <row r="614">
      <c r="A614" s="173"/>
      <c r="B614" s="173"/>
      <c r="C614" s="173"/>
      <c r="D614" s="173"/>
      <c r="E614" s="173"/>
      <c r="F614" s="173"/>
      <c r="G614" s="173"/>
      <c r="H614" s="173"/>
      <c r="I614" s="173"/>
      <c r="J614" s="173"/>
      <c r="K614" s="173"/>
      <c r="L614" s="173"/>
      <c r="M614" s="173"/>
      <c r="N614" s="173"/>
      <c r="O614" s="173"/>
      <c r="P614" s="173"/>
      <c r="Q614" s="173"/>
      <c r="R614" s="173"/>
      <c r="S614" s="173"/>
      <c r="T614" s="173"/>
      <c r="U614" s="173"/>
      <c r="V614" s="173"/>
      <c r="W614" s="173"/>
      <c r="X614" s="173"/>
      <c r="Y614" s="173"/>
      <c r="Z614" s="173"/>
    </row>
    <row r="615">
      <c r="A615" s="173"/>
      <c r="B615" s="173"/>
      <c r="C615" s="173"/>
      <c r="D615" s="173"/>
      <c r="E615" s="173"/>
      <c r="F615" s="173"/>
      <c r="G615" s="173"/>
      <c r="H615" s="173"/>
      <c r="I615" s="173"/>
      <c r="J615" s="173"/>
      <c r="K615" s="173"/>
      <c r="L615" s="173"/>
      <c r="M615" s="173"/>
      <c r="N615" s="173"/>
      <c r="O615" s="173"/>
      <c r="P615" s="173"/>
      <c r="Q615" s="173"/>
      <c r="R615" s="173"/>
      <c r="S615" s="173"/>
      <c r="T615" s="173"/>
      <c r="U615" s="173"/>
      <c r="V615" s="173"/>
      <c r="W615" s="173"/>
      <c r="X615" s="173"/>
      <c r="Y615" s="173"/>
      <c r="Z615" s="173"/>
    </row>
    <row r="616">
      <c r="A616" s="173"/>
      <c r="B616" s="173"/>
      <c r="C616" s="173"/>
      <c r="D616" s="173"/>
      <c r="E616" s="173"/>
      <c r="F616" s="173"/>
      <c r="G616" s="173"/>
      <c r="H616" s="173"/>
      <c r="I616" s="173"/>
      <c r="J616" s="173"/>
      <c r="K616" s="173"/>
      <c r="L616" s="173"/>
      <c r="M616" s="173"/>
      <c r="N616" s="173"/>
      <c r="O616" s="173"/>
      <c r="P616" s="173"/>
      <c r="Q616" s="173"/>
      <c r="R616" s="173"/>
      <c r="S616" s="173"/>
      <c r="T616" s="173"/>
      <c r="U616" s="173"/>
      <c r="V616" s="173"/>
      <c r="W616" s="173"/>
      <c r="X616" s="173"/>
      <c r="Y616" s="173"/>
      <c r="Z616" s="173"/>
    </row>
    <row r="617">
      <c r="A617" s="173"/>
      <c r="B617" s="173"/>
      <c r="C617" s="173"/>
      <c r="D617" s="173"/>
      <c r="E617" s="173"/>
      <c r="F617" s="173"/>
      <c r="G617" s="173"/>
      <c r="H617" s="173"/>
      <c r="I617" s="173"/>
      <c r="J617" s="173"/>
      <c r="K617" s="173"/>
      <c r="L617" s="173"/>
      <c r="M617" s="173"/>
      <c r="N617" s="173"/>
      <c r="O617" s="173"/>
      <c r="P617" s="173"/>
      <c r="Q617" s="173"/>
      <c r="R617" s="173"/>
      <c r="S617" s="173"/>
      <c r="T617" s="173"/>
      <c r="U617" s="173"/>
      <c r="V617" s="173"/>
      <c r="W617" s="173"/>
      <c r="X617" s="173"/>
      <c r="Y617" s="173"/>
      <c r="Z617" s="173"/>
    </row>
    <row r="618">
      <c r="A618" s="173"/>
      <c r="B618" s="173"/>
      <c r="C618" s="173"/>
      <c r="D618" s="173"/>
      <c r="E618" s="173"/>
      <c r="F618" s="173"/>
      <c r="G618" s="173"/>
      <c r="H618" s="173"/>
      <c r="I618" s="173"/>
      <c r="J618" s="173"/>
      <c r="K618" s="173"/>
      <c r="L618" s="173"/>
      <c r="M618" s="173"/>
      <c r="N618" s="173"/>
      <c r="O618" s="173"/>
      <c r="P618" s="173"/>
      <c r="Q618" s="173"/>
      <c r="R618" s="173"/>
      <c r="S618" s="173"/>
      <c r="T618" s="173"/>
      <c r="U618" s="173"/>
      <c r="V618" s="173"/>
      <c r="W618" s="173"/>
      <c r="X618" s="173"/>
      <c r="Y618" s="173"/>
      <c r="Z618" s="173"/>
    </row>
    <row r="619">
      <c r="A619" s="173"/>
      <c r="B619" s="173"/>
      <c r="C619" s="173"/>
      <c r="D619" s="173"/>
      <c r="E619" s="173"/>
      <c r="F619" s="173"/>
      <c r="G619" s="173"/>
      <c r="H619" s="173"/>
      <c r="I619" s="173"/>
      <c r="J619" s="173"/>
      <c r="K619" s="173"/>
      <c r="L619" s="173"/>
      <c r="M619" s="173"/>
      <c r="N619" s="173"/>
      <c r="O619" s="173"/>
      <c r="P619" s="173"/>
      <c r="Q619" s="173"/>
      <c r="R619" s="173"/>
      <c r="S619" s="173"/>
      <c r="T619" s="173"/>
      <c r="U619" s="173"/>
      <c r="V619" s="173"/>
      <c r="W619" s="173"/>
      <c r="X619" s="173"/>
      <c r="Y619" s="173"/>
      <c r="Z619" s="173"/>
    </row>
    <row r="620">
      <c r="A620" s="173"/>
      <c r="B620" s="173"/>
      <c r="C620" s="173"/>
      <c r="D620" s="173"/>
      <c r="E620" s="173"/>
      <c r="F620" s="173"/>
      <c r="G620" s="173"/>
      <c r="H620" s="173"/>
      <c r="I620" s="173"/>
      <c r="J620" s="173"/>
      <c r="K620" s="173"/>
      <c r="L620" s="173"/>
      <c r="M620" s="173"/>
      <c r="N620" s="173"/>
      <c r="O620" s="173"/>
      <c r="P620" s="173"/>
      <c r="Q620" s="173"/>
      <c r="R620" s="173"/>
      <c r="S620" s="173"/>
      <c r="T620" s="173"/>
      <c r="U620" s="173"/>
      <c r="V620" s="173"/>
      <c r="W620" s="173"/>
      <c r="X620" s="173"/>
      <c r="Y620" s="173"/>
      <c r="Z620" s="173"/>
    </row>
    <row r="621">
      <c r="A621" s="173"/>
      <c r="B621" s="173"/>
      <c r="C621" s="173"/>
      <c r="D621" s="173"/>
      <c r="E621" s="173"/>
      <c r="F621" s="173"/>
      <c r="G621" s="173"/>
      <c r="H621" s="173"/>
      <c r="I621" s="173"/>
      <c r="J621" s="173"/>
      <c r="K621" s="173"/>
      <c r="L621" s="173"/>
      <c r="M621" s="173"/>
      <c r="N621" s="173"/>
      <c r="O621" s="173"/>
      <c r="P621" s="173"/>
      <c r="Q621" s="173"/>
      <c r="R621" s="173"/>
      <c r="S621" s="173"/>
      <c r="T621" s="173"/>
      <c r="U621" s="173"/>
      <c r="V621" s="173"/>
      <c r="W621" s="173"/>
      <c r="X621" s="173"/>
      <c r="Y621" s="173"/>
      <c r="Z621" s="173"/>
    </row>
    <row r="622">
      <c r="A622" s="173"/>
      <c r="B622" s="173"/>
      <c r="C622" s="173"/>
      <c r="D622" s="173"/>
      <c r="E622" s="173"/>
      <c r="F622" s="173"/>
      <c r="G622" s="173"/>
      <c r="H622" s="173"/>
      <c r="I622" s="173"/>
      <c r="J622" s="173"/>
      <c r="K622" s="173"/>
      <c r="L622" s="173"/>
      <c r="M622" s="173"/>
      <c r="N622" s="173"/>
      <c r="O622" s="173"/>
      <c r="P622" s="173"/>
      <c r="Q622" s="173"/>
      <c r="R622" s="173"/>
      <c r="S622" s="173"/>
      <c r="T622" s="173"/>
      <c r="U622" s="173"/>
      <c r="V622" s="173"/>
      <c r="W622" s="173"/>
      <c r="X622" s="173"/>
      <c r="Y622" s="173"/>
      <c r="Z622" s="173"/>
    </row>
    <row r="623">
      <c r="A623" s="173"/>
      <c r="B623" s="173"/>
      <c r="C623" s="173"/>
      <c r="D623" s="173"/>
      <c r="E623" s="173"/>
      <c r="F623" s="173"/>
      <c r="G623" s="173"/>
      <c r="H623" s="173"/>
      <c r="I623" s="173"/>
      <c r="J623" s="173"/>
      <c r="K623" s="173"/>
      <c r="L623" s="173"/>
      <c r="M623" s="173"/>
      <c r="N623" s="173"/>
      <c r="O623" s="173"/>
      <c r="P623" s="173"/>
      <c r="Q623" s="173"/>
      <c r="R623" s="173"/>
      <c r="S623" s="173"/>
      <c r="T623" s="173"/>
      <c r="U623" s="173"/>
      <c r="V623" s="173"/>
      <c r="W623" s="173"/>
      <c r="X623" s="173"/>
      <c r="Y623" s="173"/>
      <c r="Z623" s="173"/>
    </row>
    <row r="624">
      <c r="A624" s="173"/>
      <c r="B624" s="173"/>
      <c r="C624" s="173"/>
      <c r="D624" s="173"/>
      <c r="E624" s="173"/>
      <c r="F624" s="173"/>
      <c r="G624" s="173"/>
      <c r="H624" s="173"/>
      <c r="I624" s="173"/>
      <c r="J624" s="173"/>
      <c r="K624" s="173"/>
      <c r="L624" s="173"/>
      <c r="M624" s="173"/>
      <c r="N624" s="173"/>
      <c r="O624" s="173"/>
      <c r="P624" s="173"/>
      <c r="Q624" s="173"/>
      <c r="R624" s="173"/>
      <c r="S624" s="173"/>
      <c r="T624" s="173"/>
      <c r="U624" s="173"/>
      <c r="V624" s="173"/>
      <c r="W624" s="173"/>
      <c r="X624" s="173"/>
      <c r="Y624" s="173"/>
      <c r="Z624" s="173"/>
    </row>
    <row r="625">
      <c r="A625" s="173"/>
      <c r="B625" s="173"/>
      <c r="C625" s="173"/>
      <c r="D625" s="173"/>
      <c r="E625" s="173"/>
      <c r="F625" s="173"/>
      <c r="G625" s="173"/>
      <c r="H625" s="173"/>
      <c r="I625" s="173"/>
      <c r="J625" s="173"/>
      <c r="K625" s="173"/>
      <c r="L625" s="173"/>
      <c r="M625" s="173"/>
      <c r="N625" s="173"/>
      <c r="O625" s="173"/>
      <c r="P625" s="173"/>
      <c r="Q625" s="173"/>
      <c r="R625" s="173"/>
      <c r="S625" s="173"/>
      <c r="T625" s="173"/>
      <c r="U625" s="173"/>
      <c r="V625" s="173"/>
      <c r="W625" s="173"/>
      <c r="X625" s="173"/>
      <c r="Y625" s="173"/>
      <c r="Z625" s="173"/>
    </row>
    <row r="626">
      <c r="A626" s="173"/>
      <c r="B626" s="173"/>
      <c r="C626" s="173"/>
      <c r="D626" s="173"/>
      <c r="E626" s="173"/>
      <c r="F626" s="173"/>
      <c r="G626" s="173"/>
      <c r="H626" s="173"/>
      <c r="I626" s="173"/>
      <c r="J626" s="173"/>
      <c r="K626" s="173"/>
      <c r="L626" s="173"/>
      <c r="M626" s="173"/>
      <c r="N626" s="173"/>
      <c r="O626" s="173"/>
      <c r="P626" s="173"/>
      <c r="Q626" s="173"/>
      <c r="R626" s="173"/>
      <c r="S626" s="173"/>
      <c r="T626" s="173"/>
      <c r="U626" s="173"/>
      <c r="V626" s="173"/>
      <c r="W626" s="173"/>
      <c r="X626" s="173"/>
      <c r="Y626" s="173"/>
      <c r="Z626" s="173"/>
    </row>
    <row r="627">
      <c r="A627" s="173"/>
      <c r="B627" s="173"/>
      <c r="C627" s="173"/>
      <c r="D627" s="173"/>
      <c r="E627" s="173"/>
      <c r="F627" s="173"/>
      <c r="G627" s="173"/>
      <c r="H627" s="173"/>
      <c r="I627" s="173"/>
      <c r="J627" s="173"/>
      <c r="K627" s="173"/>
      <c r="L627" s="173"/>
      <c r="M627" s="173"/>
      <c r="N627" s="173"/>
      <c r="O627" s="173"/>
      <c r="P627" s="173"/>
      <c r="Q627" s="173"/>
      <c r="R627" s="173"/>
      <c r="S627" s="173"/>
      <c r="T627" s="173"/>
      <c r="U627" s="173"/>
      <c r="V627" s="173"/>
      <c r="W627" s="173"/>
      <c r="X627" s="173"/>
      <c r="Y627" s="173"/>
      <c r="Z627" s="173"/>
    </row>
    <row r="628">
      <c r="A628" s="173"/>
      <c r="B628" s="173"/>
      <c r="C628" s="173"/>
      <c r="D628" s="173"/>
      <c r="E628" s="173"/>
      <c r="F628" s="173"/>
      <c r="G628" s="173"/>
      <c r="H628" s="173"/>
      <c r="I628" s="173"/>
      <c r="J628" s="173"/>
      <c r="K628" s="173"/>
      <c r="L628" s="173"/>
      <c r="M628" s="173"/>
      <c r="N628" s="173"/>
      <c r="O628" s="173"/>
      <c r="P628" s="173"/>
      <c r="Q628" s="173"/>
      <c r="R628" s="173"/>
      <c r="S628" s="173"/>
      <c r="T628" s="173"/>
      <c r="U628" s="173"/>
      <c r="V628" s="173"/>
      <c r="W628" s="173"/>
      <c r="X628" s="173"/>
      <c r="Y628" s="173"/>
      <c r="Z628" s="173"/>
    </row>
    <row r="629">
      <c r="A629" s="173"/>
      <c r="B629" s="173"/>
      <c r="C629" s="173"/>
      <c r="D629" s="173"/>
      <c r="E629" s="173"/>
      <c r="F629" s="173"/>
      <c r="G629" s="173"/>
      <c r="H629" s="173"/>
      <c r="I629" s="173"/>
      <c r="J629" s="173"/>
      <c r="K629" s="173"/>
      <c r="L629" s="173"/>
      <c r="M629" s="173"/>
      <c r="N629" s="173"/>
      <c r="O629" s="173"/>
      <c r="P629" s="173"/>
      <c r="Q629" s="173"/>
      <c r="R629" s="173"/>
      <c r="S629" s="173"/>
      <c r="T629" s="173"/>
      <c r="U629" s="173"/>
      <c r="V629" s="173"/>
      <c r="W629" s="173"/>
      <c r="X629" s="173"/>
      <c r="Y629" s="173"/>
      <c r="Z629" s="173"/>
    </row>
    <row r="630">
      <c r="A630" s="173"/>
      <c r="B630" s="173"/>
      <c r="C630" s="173"/>
      <c r="D630" s="173"/>
      <c r="E630" s="173"/>
      <c r="F630" s="173"/>
      <c r="G630" s="173"/>
      <c r="H630" s="173"/>
      <c r="I630" s="173"/>
      <c r="J630" s="173"/>
      <c r="K630" s="173"/>
      <c r="L630" s="173"/>
      <c r="M630" s="173"/>
      <c r="N630" s="173"/>
      <c r="O630" s="173"/>
      <c r="P630" s="173"/>
      <c r="Q630" s="173"/>
      <c r="R630" s="173"/>
      <c r="S630" s="173"/>
      <c r="T630" s="173"/>
      <c r="U630" s="173"/>
      <c r="V630" s="173"/>
      <c r="W630" s="173"/>
      <c r="X630" s="173"/>
      <c r="Y630" s="173"/>
      <c r="Z630" s="173"/>
    </row>
    <row r="631">
      <c r="A631" s="173"/>
      <c r="B631" s="173"/>
      <c r="C631" s="173"/>
      <c r="D631" s="173"/>
      <c r="E631" s="173"/>
      <c r="F631" s="173"/>
      <c r="G631" s="173"/>
      <c r="H631" s="173"/>
      <c r="I631" s="173"/>
      <c r="J631" s="173"/>
      <c r="K631" s="173"/>
      <c r="L631" s="173"/>
      <c r="M631" s="173"/>
      <c r="N631" s="173"/>
      <c r="O631" s="173"/>
      <c r="P631" s="173"/>
      <c r="Q631" s="173"/>
      <c r="R631" s="173"/>
      <c r="S631" s="173"/>
      <c r="T631" s="173"/>
      <c r="U631" s="173"/>
      <c r="V631" s="173"/>
      <c r="W631" s="173"/>
      <c r="X631" s="173"/>
      <c r="Y631" s="173"/>
      <c r="Z631" s="173"/>
    </row>
    <row r="632">
      <c r="A632" s="173"/>
      <c r="B632" s="173"/>
      <c r="C632" s="173"/>
      <c r="D632" s="173"/>
      <c r="E632" s="173"/>
      <c r="F632" s="173"/>
      <c r="G632" s="173"/>
      <c r="H632" s="173"/>
      <c r="I632" s="173"/>
      <c r="J632" s="173"/>
      <c r="K632" s="173"/>
      <c r="L632" s="173"/>
      <c r="M632" s="173"/>
      <c r="N632" s="173"/>
      <c r="O632" s="173"/>
      <c r="P632" s="173"/>
      <c r="Q632" s="173"/>
      <c r="R632" s="173"/>
      <c r="S632" s="173"/>
      <c r="T632" s="173"/>
      <c r="U632" s="173"/>
      <c r="V632" s="173"/>
      <c r="W632" s="173"/>
      <c r="X632" s="173"/>
      <c r="Y632" s="173"/>
      <c r="Z632" s="173"/>
    </row>
    <row r="633">
      <c r="A633" s="173"/>
      <c r="B633" s="173"/>
      <c r="C633" s="173"/>
      <c r="D633" s="173"/>
      <c r="E633" s="173"/>
      <c r="F633" s="173"/>
      <c r="G633" s="173"/>
      <c r="H633" s="173"/>
      <c r="I633" s="173"/>
      <c r="J633" s="173"/>
      <c r="K633" s="173"/>
      <c r="L633" s="173"/>
      <c r="M633" s="173"/>
      <c r="N633" s="173"/>
      <c r="O633" s="173"/>
      <c r="P633" s="173"/>
      <c r="Q633" s="173"/>
      <c r="R633" s="173"/>
      <c r="S633" s="173"/>
      <c r="T633" s="173"/>
      <c r="U633" s="173"/>
      <c r="V633" s="173"/>
      <c r="W633" s="173"/>
      <c r="X633" s="173"/>
      <c r="Y633" s="173"/>
      <c r="Z633" s="173"/>
    </row>
    <row r="634">
      <c r="A634" s="173"/>
      <c r="B634" s="173"/>
      <c r="C634" s="173"/>
      <c r="D634" s="173"/>
      <c r="E634" s="173"/>
      <c r="F634" s="173"/>
      <c r="G634" s="173"/>
      <c r="H634" s="173"/>
      <c r="I634" s="173"/>
      <c r="J634" s="173"/>
      <c r="K634" s="173"/>
      <c r="L634" s="173"/>
      <c r="M634" s="173"/>
      <c r="N634" s="173"/>
      <c r="O634" s="173"/>
      <c r="P634" s="173"/>
      <c r="Q634" s="173"/>
      <c r="R634" s="173"/>
      <c r="S634" s="173"/>
      <c r="T634" s="173"/>
      <c r="U634" s="173"/>
      <c r="V634" s="173"/>
      <c r="W634" s="173"/>
      <c r="X634" s="173"/>
      <c r="Y634" s="173"/>
      <c r="Z634" s="173"/>
    </row>
    <row r="635">
      <c r="A635" s="173"/>
      <c r="B635" s="173"/>
      <c r="C635" s="173"/>
      <c r="D635" s="173"/>
      <c r="E635" s="173"/>
      <c r="F635" s="173"/>
      <c r="G635" s="173"/>
      <c r="H635" s="173"/>
      <c r="I635" s="173"/>
      <c r="J635" s="173"/>
      <c r="K635" s="173"/>
      <c r="L635" s="173"/>
      <c r="M635" s="173"/>
      <c r="N635" s="173"/>
      <c r="O635" s="173"/>
      <c r="P635" s="173"/>
      <c r="Q635" s="173"/>
      <c r="R635" s="173"/>
      <c r="S635" s="173"/>
      <c r="T635" s="173"/>
      <c r="U635" s="173"/>
      <c r="V635" s="173"/>
      <c r="W635" s="173"/>
      <c r="X635" s="173"/>
      <c r="Y635" s="173"/>
      <c r="Z635" s="173"/>
    </row>
    <row r="636">
      <c r="A636" s="173"/>
      <c r="B636" s="173"/>
      <c r="C636" s="173"/>
      <c r="D636" s="173"/>
      <c r="E636" s="173"/>
      <c r="F636" s="173"/>
      <c r="G636" s="173"/>
      <c r="H636" s="173"/>
      <c r="I636" s="173"/>
      <c r="J636" s="173"/>
      <c r="K636" s="173"/>
      <c r="L636" s="173"/>
      <c r="M636" s="173"/>
      <c r="N636" s="173"/>
      <c r="O636" s="173"/>
      <c r="P636" s="173"/>
      <c r="Q636" s="173"/>
      <c r="R636" s="173"/>
      <c r="S636" s="173"/>
      <c r="T636" s="173"/>
      <c r="U636" s="173"/>
      <c r="V636" s="173"/>
      <c r="W636" s="173"/>
      <c r="X636" s="173"/>
      <c r="Y636" s="173"/>
      <c r="Z636" s="173"/>
    </row>
    <row r="637">
      <c r="A637" s="173"/>
      <c r="B637" s="173"/>
      <c r="C637" s="173"/>
      <c r="D637" s="173"/>
      <c r="E637" s="173"/>
      <c r="F637" s="173"/>
      <c r="G637" s="173"/>
      <c r="H637" s="173"/>
      <c r="I637" s="173"/>
      <c r="J637" s="173"/>
      <c r="K637" s="173"/>
      <c r="L637" s="173"/>
      <c r="M637" s="173"/>
      <c r="N637" s="173"/>
      <c r="O637" s="173"/>
      <c r="P637" s="173"/>
      <c r="Q637" s="173"/>
      <c r="R637" s="173"/>
      <c r="S637" s="173"/>
      <c r="T637" s="173"/>
      <c r="U637" s="173"/>
      <c r="V637" s="173"/>
      <c r="W637" s="173"/>
      <c r="X637" s="173"/>
      <c r="Y637" s="173"/>
      <c r="Z637" s="173"/>
    </row>
    <row r="638">
      <c r="A638" s="173"/>
      <c r="B638" s="173"/>
      <c r="C638" s="173"/>
      <c r="D638" s="173"/>
      <c r="E638" s="173"/>
      <c r="F638" s="173"/>
      <c r="G638" s="173"/>
      <c r="H638" s="173"/>
      <c r="I638" s="173"/>
      <c r="J638" s="173"/>
      <c r="K638" s="173"/>
      <c r="L638" s="173"/>
      <c r="M638" s="173"/>
      <c r="N638" s="173"/>
      <c r="O638" s="173"/>
      <c r="P638" s="173"/>
      <c r="Q638" s="173"/>
      <c r="R638" s="173"/>
      <c r="S638" s="173"/>
      <c r="T638" s="173"/>
      <c r="U638" s="173"/>
      <c r="V638" s="173"/>
      <c r="W638" s="173"/>
      <c r="X638" s="173"/>
      <c r="Y638" s="173"/>
      <c r="Z638" s="173"/>
    </row>
    <row r="639">
      <c r="A639" s="173"/>
      <c r="B639" s="173"/>
      <c r="C639" s="173"/>
      <c r="D639" s="173"/>
      <c r="E639" s="173"/>
      <c r="F639" s="173"/>
      <c r="G639" s="173"/>
      <c r="H639" s="173"/>
      <c r="I639" s="173"/>
      <c r="J639" s="173"/>
      <c r="K639" s="173"/>
      <c r="L639" s="173"/>
      <c r="M639" s="173"/>
      <c r="N639" s="173"/>
      <c r="O639" s="173"/>
      <c r="P639" s="173"/>
      <c r="Q639" s="173"/>
      <c r="R639" s="173"/>
      <c r="S639" s="173"/>
      <c r="T639" s="173"/>
      <c r="U639" s="173"/>
      <c r="V639" s="173"/>
      <c r="W639" s="173"/>
      <c r="X639" s="173"/>
      <c r="Y639" s="173"/>
      <c r="Z639" s="173"/>
    </row>
    <row r="640">
      <c r="A640" s="173"/>
      <c r="B640" s="173"/>
      <c r="C640" s="173"/>
      <c r="D640" s="173"/>
      <c r="E640" s="173"/>
      <c r="F640" s="173"/>
      <c r="G640" s="173"/>
      <c r="H640" s="173"/>
      <c r="I640" s="173"/>
      <c r="J640" s="173"/>
      <c r="K640" s="173"/>
      <c r="L640" s="173"/>
      <c r="M640" s="173"/>
      <c r="N640" s="173"/>
      <c r="O640" s="173"/>
      <c r="P640" s="173"/>
      <c r="Q640" s="173"/>
      <c r="R640" s="173"/>
      <c r="S640" s="173"/>
      <c r="T640" s="173"/>
      <c r="U640" s="173"/>
      <c r="V640" s="173"/>
      <c r="W640" s="173"/>
      <c r="X640" s="173"/>
      <c r="Y640" s="173"/>
      <c r="Z640" s="173"/>
    </row>
    <row r="641">
      <c r="A641" s="173"/>
      <c r="B641" s="173"/>
      <c r="C641" s="173"/>
      <c r="D641" s="173"/>
      <c r="E641" s="173"/>
      <c r="F641" s="173"/>
      <c r="G641" s="173"/>
      <c r="H641" s="173"/>
      <c r="I641" s="173"/>
      <c r="J641" s="173"/>
      <c r="K641" s="173"/>
      <c r="L641" s="173"/>
      <c r="M641" s="173"/>
      <c r="N641" s="173"/>
      <c r="O641" s="173"/>
      <c r="P641" s="173"/>
      <c r="Q641" s="173"/>
      <c r="R641" s="173"/>
      <c r="S641" s="173"/>
      <c r="T641" s="173"/>
      <c r="U641" s="173"/>
      <c r="V641" s="173"/>
      <c r="W641" s="173"/>
      <c r="X641" s="173"/>
      <c r="Y641" s="173"/>
      <c r="Z641" s="173"/>
    </row>
    <row r="642">
      <c r="A642" s="173"/>
      <c r="B642" s="173"/>
      <c r="C642" s="173"/>
      <c r="D642" s="173"/>
      <c r="E642" s="173"/>
      <c r="F642" s="173"/>
      <c r="G642" s="173"/>
      <c r="H642" s="173"/>
      <c r="I642" s="173"/>
      <c r="J642" s="173"/>
      <c r="K642" s="173"/>
      <c r="L642" s="173"/>
      <c r="M642" s="173"/>
      <c r="N642" s="173"/>
      <c r="O642" s="173"/>
      <c r="P642" s="173"/>
      <c r="Q642" s="173"/>
      <c r="R642" s="173"/>
      <c r="S642" s="173"/>
      <c r="T642" s="173"/>
      <c r="U642" s="173"/>
      <c r="V642" s="173"/>
      <c r="W642" s="173"/>
      <c r="X642" s="173"/>
      <c r="Y642" s="173"/>
      <c r="Z642" s="173"/>
    </row>
    <row r="643">
      <c r="A643" s="173"/>
      <c r="B643" s="173"/>
      <c r="C643" s="173"/>
      <c r="D643" s="173"/>
      <c r="E643" s="173"/>
      <c r="F643" s="173"/>
      <c r="G643" s="173"/>
      <c r="H643" s="173"/>
      <c r="I643" s="173"/>
      <c r="J643" s="173"/>
      <c r="K643" s="173"/>
      <c r="L643" s="173"/>
      <c r="M643" s="173"/>
      <c r="N643" s="173"/>
      <c r="O643" s="173"/>
      <c r="P643" s="173"/>
      <c r="Q643" s="173"/>
      <c r="R643" s="173"/>
      <c r="S643" s="173"/>
      <c r="T643" s="173"/>
      <c r="U643" s="173"/>
      <c r="V643" s="173"/>
      <c r="W643" s="173"/>
      <c r="X643" s="173"/>
      <c r="Y643" s="173"/>
      <c r="Z643" s="173"/>
    </row>
    <row r="644">
      <c r="A644" s="173"/>
      <c r="B644" s="173"/>
      <c r="C644" s="173"/>
      <c r="D644" s="173"/>
      <c r="E644" s="173"/>
      <c r="F644" s="173"/>
      <c r="G644" s="173"/>
      <c r="H644" s="173"/>
      <c r="I644" s="173"/>
      <c r="J644" s="173"/>
      <c r="K644" s="173"/>
      <c r="L644" s="173"/>
      <c r="M644" s="173"/>
      <c r="N644" s="173"/>
      <c r="O644" s="173"/>
      <c r="P644" s="173"/>
      <c r="Q644" s="173"/>
      <c r="R644" s="173"/>
      <c r="S644" s="173"/>
      <c r="T644" s="173"/>
      <c r="U644" s="173"/>
      <c r="V644" s="173"/>
      <c r="W644" s="173"/>
      <c r="X644" s="173"/>
      <c r="Y644" s="173"/>
      <c r="Z644" s="173"/>
    </row>
    <row r="645">
      <c r="A645" s="173"/>
      <c r="B645" s="173"/>
      <c r="C645" s="173"/>
      <c r="D645" s="173"/>
      <c r="E645" s="173"/>
      <c r="F645" s="173"/>
      <c r="G645" s="173"/>
      <c r="H645" s="173"/>
      <c r="I645" s="173"/>
      <c r="J645" s="173"/>
      <c r="K645" s="173"/>
      <c r="L645" s="173"/>
      <c r="M645" s="173"/>
      <c r="N645" s="173"/>
      <c r="O645" s="173"/>
      <c r="P645" s="173"/>
      <c r="Q645" s="173"/>
      <c r="R645" s="173"/>
      <c r="S645" s="173"/>
      <c r="T645" s="173"/>
      <c r="U645" s="173"/>
      <c r="V645" s="173"/>
      <c r="W645" s="173"/>
      <c r="X645" s="173"/>
      <c r="Y645" s="173"/>
      <c r="Z645" s="173"/>
    </row>
    <row r="646">
      <c r="A646" s="173"/>
      <c r="B646" s="173"/>
      <c r="C646" s="173"/>
      <c r="D646" s="173"/>
      <c r="E646" s="173"/>
      <c r="F646" s="173"/>
      <c r="G646" s="173"/>
      <c r="H646" s="173"/>
      <c r="I646" s="173"/>
      <c r="J646" s="173"/>
      <c r="K646" s="173"/>
      <c r="L646" s="173"/>
      <c r="M646" s="173"/>
      <c r="N646" s="173"/>
      <c r="O646" s="173"/>
      <c r="P646" s="173"/>
      <c r="Q646" s="173"/>
      <c r="R646" s="173"/>
      <c r="S646" s="173"/>
      <c r="T646" s="173"/>
      <c r="U646" s="173"/>
      <c r="V646" s="173"/>
      <c r="W646" s="173"/>
      <c r="X646" s="173"/>
      <c r="Y646" s="173"/>
      <c r="Z646" s="173"/>
    </row>
    <row r="647">
      <c r="A647" s="173"/>
      <c r="B647" s="173"/>
      <c r="C647" s="173"/>
      <c r="D647" s="173"/>
      <c r="E647" s="173"/>
      <c r="F647" s="173"/>
      <c r="G647" s="173"/>
      <c r="H647" s="173"/>
      <c r="I647" s="173"/>
      <c r="J647" s="173"/>
      <c r="K647" s="173"/>
      <c r="L647" s="173"/>
      <c r="M647" s="173"/>
      <c r="N647" s="173"/>
      <c r="O647" s="173"/>
      <c r="P647" s="173"/>
      <c r="Q647" s="173"/>
      <c r="R647" s="173"/>
      <c r="S647" s="173"/>
      <c r="T647" s="173"/>
      <c r="U647" s="173"/>
      <c r="V647" s="173"/>
      <c r="W647" s="173"/>
      <c r="X647" s="173"/>
      <c r="Y647" s="173"/>
      <c r="Z647" s="173"/>
    </row>
    <row r="648">
      <c r="A648" s="173"/>
      <c r="B648" s="173"/>
      <c r="C648" s="173"/>
      <c r="D648" s="173"/>
      <c r="E648" s="173"/>
      <c r="F648" s="173"/>
      <c r="G648" s="173"/>
      <c r="H648" s="173"/>
      <c r="I648" s="173"/>
      <c r="J648" s="173"/>
      <c r="K648" s="173"/>
      <c r="L648" s="173"/>
      <c r="M648" s="173"/>
      <c r="N648" s="173"/>
      <c r="O648" s="173"/>
      <c r="P648" s="173"/>
      <c r="Q648" s="173"/>
      <c r="R648" s="173"/>
      <c r="S648" s="173"/>
      <c r="T648" s="173"/>
      <c r="U648" s="173"/>
      <c r="V648" s="173"/>
      <c r="W648" s="173"/>
      <c r="X648" s="173"/>
      <c r="Y648" s="173"/>
      <c r="Z648" s="173"/>
    </row>
    <row r="649">
      <c r="A649" s="173"/>
      <c r="B649" s="173"/>
      <c r="C649" s="173"/>
      <c r="D649" s="173"/>
      <c r="E649" s="173"/>
      <c r="F649" s="173"/>
      <c r="G649" s="173"/>
      <c r="H649" s="173"/>
      <c r="I649" s="173"/>
      <c r="J649" s="173"/>
      <c r="K649" s="173"/>
      <c r="L649" s="173"/>
      <c r="M649" s="173"/>
      <c r="N649" s="173"/>
      <c r="O649" s="173"/>
      <c r="P649" s="173"/>
      <c r="Q649" s="173"/>
      <c r="R649" s="173"/>
      <c r="S649" s="173"/>
      <c r="T649" s="173"/>
      <c r="U649" s="173"/>
      <c r="V649" s="173"/>
      <c r="W649" s="173"/>
      <c r="X649" s="173"/>
      <c r="Y649" s="173"/>
      <c r="Z649" s="173"/>
    </row>
    <row r="650">
      <c r="A650" s="173"/>
      <c r="B650" s="173"/>
      <c r="C650" s="173"/>
      <c r="D650" s="173"/>
      <c r="E650" s="173"/>
      <c r="F650" s="173"/>
      <c r="G650" s="173"/>
      <c r="H650" s="173"/>
      <c r="I650" s="173"/>
      <c r="J650" s="173"/>
      <c r="K650" s="173"/>
      <c r="L650" s="173"/>
      <c r="M650" s="173"/>
      <c r="N650" s="173"/>
      <c r="O650" s="173"/>
      <c r="P650" s="173"/>
      <c r="Q650" s="173"/>
      <c r="R650" s="173"/>
      <c r="S650" s="173"/>
      <c r="T650" s="173"/>
      <c r="U650" s="173"/>
      <c r="V650" s="173"/>
      <c r="W650" s="173"/>
      <c r="X650" s="173"/>
      <c r="Y650" s="173"/>
      <c r="Z650" s="173"/>
    </row>
    <row r="651">
      <c r="A651" s="173"/>
      <c r="B651" s="173"/>
      <c r="C651" s="173"/>
      <c r="D651" s="173"/>
      <c r="E651" s="173"/>
      <c r="F651" s="173"/>
      <c r="G651" s="173"/>
      <c r="H651" s="173"/>
      <c r="I651" s="173"/>
      <c r="J651" s="173"/>
      <c r="K651" s="173"/>
      <c r="L651" s="173"/>
      <c r="M651" s="173"/>
      <c r="N651" s="173"/>
      <c r="O651" s="173"/>
      <c r="P651" s="173"/>
      <c r="Q651" s="173"/>
      <c r="R651" s="173"/>
      <c r="S651" s="173"/>
      <c r="T651" s="173"/>
      <c r="U651" s="173"/>
      <c r="V651" s="173"/>
      <c r="W651" s="173"/>
      <c r="X651" s="173"/>
      <c r="Y651" s="173"/>
      <c r="Z651" s="173"/>
    </row>
    <row r="652">
      <c r="A652" s="173"/>
      <c r="B652" s="173"/>
      <c r="C652" s="173"/>
      <c r="D652" s="173"/>
      <c r="E652" s="173"/>
      <c r="F652" s="173"/>
      <c r="G652" s="173"/>
      <c r="H652" s="173"/>
      <c r="I652" s="173"/>
      <c r="J652" s="173"/>
      <c r="K652" s="173"/>
      <c r="L652" s="173"/>
      <c r="M652" s="173"/>
      <c r="N652" s="173"/>
      <c r="O652" s="173"/>
      <c r="P652" s="173"/>
      <c r="Q652" s="173"/>
      <c r="R652" s="173"/>
      <c r="S652" s="173"/>
      <c r="T652" s="173"/>
      <c r="U652" s="173"/>
      <c r="V652" s="173"/>
      <c r="W652" s="173"/>
      <c r="X652" s="173"/>
      <c r="Y652" s="173"/>
      <c r="Z652" s="173"/>
    </row>
    <row r="653">
      <c r="A653" s="173"/>
      <c r="B653" s="173"/>
      <c r="C653" s="173"/>
      <c r="D653" s="173"/>
      <c r="E653" s="173"/>
      <c r="F653" s="173"/>
      <c r="G653" s="173"/>
      <c r="H653" s="173"/>
      <c r="I653" s="173"/>
      <c r="J653" s="173"/>
      <c r="K653" s="173"/>
      <c r="L653" s="173"/>
      <c r="M653" s="173"/>
      <c r="N653" s="173"/>
      <c r="O653" s="173"/>
      <c r="P653" s="173"/>
      <c r="Q653" s="173"/>
      <c r="R653" s="173"/>
      <c r="S653" s="173"/>
      <c r="T653" s="173"/>
      <c r="U653" s="173"/>
      <c r="V653" s="173"/>
      <c r="W653" s="173"/>
      <c r="X653" s="173"/>
      <c r="Y653" s="173"/>
      <c r="Z653" s="173"/>
    </row>
    <row r="654">
      <c r="A654" s="173"/>
      <c r="B654" s="173"/>
      <c r="C654" s="173"/>
      <c r="D654" s="173"/>
      <c r="E654" s="173"/>
      <c r="F654" s="173"/>
      <c r="G654" s="173"/>
      <c r="H654" s="173"/>
      <c r="I654" s="173"/>
      <c r="J654" s="173"/>
      <c r="K654" s="173"/>
      <c r="L654" s="173"/>
      <c r="M654" s="173"/>
      <c r="N654" s="173"/>
      <c r="O654" s="173"/>
      <c r="P654" s="173"/>
      <c r="Q654" s="173"/>
      <c r="R654" s="173"/>
      <c r="S654" s="173"/>
      <c r="T654" s="173"/>
      <c r="U654" s="173"/>
      <c r="V654" s="173"/>
      <c r="W654" s="173"/>
      <c r="X654" s="173"/>
      <c r="Y654" s="173"/>
      <c r="Z654" s="173"/>
    </row>
    <row r="655">
      <c r="A655" s="173"/>
      <c r="B655" s="173"/>
      <c r="C655" s="173"/>
      <c r="D655" s="173"/>
      <c r="E655" s="173"/>
      <c r="F655" s="173"/>
      <c r="G655" s="173"/>
      <c r="H655" s="173"/>
      <c r="I655" s="173"/>
      <c r="J655" s="173"/>
      <c r="K655" s="173"/>
      <c r="L655" s="173"/>
      <c r="M655" s="173"/>
      <c r="N655" s="173"/>
      <c r="O655" s="173"/>
      <c r="P655" s="173"/>
      <c r="Q655" s="173"/>
      <c r="R655" s="173"/>
      <c r="S655" s="173"/>
      <c r="T655" s="173"/>
      <c r="U655" s="173"/>
      <c r="V655" s="173"/>
      <c r="W655" s="173"/>
      <c r="X655" s="173"/>
      <c r="Y655" s="173"/>
      <c r="Z655" s="173"/>
    </row>
    <row r="656">
      <c r="A656" s="173"/>
      <c r="B656" s="173"/>
      <c r="C656" s="173"/>
      <c r="D656" s="173"/>
      <c r="E656" s="173"/>
      <c r="F656" s="173"/>
      <c r="G656" s="173"/>
      <c r="H656" s="173"/>
      <c r="I656" s="173"/>
      <c r="J656" s="173"/>
      <c r="K656" s="173"/>
      <c r="L656" s="173"/>
      <c r="M656" s="173"/>
      <c r="N656" s="173"/>
      <c r="O656" s="173"/>
      <c r="P656" s="173"/>
      <c r="Q656" s="173"/>
      <c r="R656" s="173"/>
      <c r="S656" s="173"/>
      <c r="T656" s="173"/>
      <c r="U656" s="173"/>
      <c r="V656" s="173"/>
      <c r="W656" s="173"/>
      <c r="X656" s="173"/>
      <c r="Y656" s="173"/>
      <c r="Z656" s="173"/>
    </row>
    <row r="657">
      <c r="A657" s="173"/>
      <c r="B657" s="173"/>
      <c r="C657" s="173"/>
      <c r="D657" s="173"/>
      <c r="E657" s="173"/>
      <c r="F657" s="173"/>
      <c r="G657" s="173"/>
      <c r="H657" s="173"/>
      <c r="I657" s="173"/>
      <c r="J657" s="173"/>
      <c r="K657" s="173"/>
      <c r="L657" s="173"/>
      <c r="M657" s="173"/>
      <c r="N657" s="173"/>
      <c r="O657" s="173"/>
      <c r="P657" s="173"/>
      <c r="Q657" s="173"/>
      <c r="R657" s="173"/>
      <c r="S657" s="173"/>
      <c r="T657" s="173"/>
      <c r="U657" s="173"/>
      <c r="V657" s="173"/>
      <c r="W657" s="173"/>
      <c r="X657" s="173"/>
      <c r="Y657" s="173"/>
      <c r="Z657" s="173"/>
    </row>
    <row r="658">
      <c r="A658" s="173"/>
      <c r="B658" s="173"/>
      <c r="C658" s="173"/>
      <c r="D658" s="173"/>
      <c r="E658" s="173"/>
      <c r="F658" s="173"/>
      <c r="G658" s="173"/>
      <c r="H658" s="173"/>
      <c r="I658" s="173"/>
      <c r="J658" s="173"/>
      <c r="K658" s="173"/>
      <c r="L658" s="173"/>
      <c r="M658" s="173"/>
      <c r="N658" s="173"/>
      <c r="O658" s="173"/>
      <c r="P658" s="173"/>
      <c r="Q658" s="173"/>
      <c r="R658" s="173"/>
      <c r="S658" s="173"/>
      <c r="T658" s="173"/>
      <c r="U658" s="173"/>
      <c r="V658" s="173"/>
      <c r="W658" s="173"/>
      <c r="X658" s="173"/>
      <c r="Y658" s="173"/>
      <c r="Z658" s="173"/>
    </row>
    <row r="659">
      <c r="A659" s="173"/>
      <c r="B659" s="173"/>
      <c r="C659" s="173"/>
      <c r="D659" s="173"/>
      <c r="E659" s="173"/>
      <c r="F659" s="173"/>
      <c r="G659" s="173"/>
      <c r="H659" s="173"/>
      <c r="I659" s="173"/>
      <c r="J659" s="173"/>
      <c r="K659" s="173"/>
      <c r="L659" s="173"/>
      <c r="M659" s="173"/>
      <c r="N659" s="173"/>
      <c r="O659" s="173"/>
      <c r="P659" s="173"/>
      <c r="Q659" s="173"/>
      <c r="R659" s="173"/>
      <c r="S659" s="173"/>
      <c r="T659" s="173"/>
      <c r="U659" s="173"/>
      <c r="V659" s="173"/>
      <c r="W659" s="173"/>
      <c r="X659" s="173"/>
      <c r="Y659" s="173"/>
      <c r="Z659" s="173"/>
    </row>
    <row r="660">
      <c r="A660" s="173"/>
      <c r="B660" s="173"/>
      <c r="C660" s="173"/>
      <c r="D660" s="173"/>
      <c r="E660" s="173"/>
      <c r="F660" s="173"/>
      <c r="G660" s="173"/>
      <c r="H660" s="173"/>
      <c r="I660" s="173"/>
      <c r="J660" s="173"/>
      <c r="K660" s="173"/>
      <c r="L660" s="173"/>
      <c r="M660" s="173"/>
      <c r="N660" s="173"/>
      <c r="O660" s="173"/>
      <c r="P660" s="173"/>
      <c r="Q660" s="173"/>
      <c r="R660" s="173"/>
      <c r="S660" s="173"/>
      <c r="T660" s="173"/>
      <c r="U660" s="173"/>
      <c r="V660" s="173"/>
      <c r="W660" s="173"/>
      <c r="X660" s="173"/>
      <c r="Y660" s="173"/>
      <c r="Z660" s="173"/>
    </row>
    <row r="661">
      <c r="A661" s="173"/>
      <c r="B661" s="173"/>
      <c r="C661" s="173"/>
      <c r="D661" s="173"/>
      <c r="E661" s="173"/>
      <c r="F661" s="173"/>
      <c r="G661" s="173"/>
      <c r="H661" s="173"/>
      <c r="I661" s="173"/>
      <c r="J661" s="173"/>
      <c r="K661" s="173"/>
      <c r="L661" s="173"/>
      <c r="M661" s="173"/>
      <c r="N661" s="173"/>
      <c r="O661" s="173"/>
      <c r="P661" s="173"/>
      <c r="Q661" s="173"/>
      <c r="R661" s="173"/>
      <c r="S661" s="173"/>
      <c r="T661" s="173"/>
      <c r="U661" s="173"/>
      <c r="V661" s="173"/>
      <c r="W661" s="173"/>
      <c r="X661" s="173"/>
      <c r="Y661" s="173"/>
      <c r="Z661" s="173"/>
    </row>
    <row r="662">
      <c r="A662" s="173"/>
      <c r="B662" s="173"/>
      <c r="C662" s="173"/>
      <c r="D662" s="173"/>
      <c r="E662" s="173"/>
      <c r="F662" s="173"/>
      <c r="G662" s="173"/>
      <c r="H662" s="173"/>
      <c r="I662" s="173"/>
      <c r="J662" s="173"/>
      <c r="K662" s="173"/>
      <c r="L662" s="173"/>
      <c r="M662" s="173"/>
      <c r="N662" s="173"/>
      <c r="O662" s="173"/>
      <c r="P662" s="173"/>
      <c r="Q662" s="173"/>
      <c r="R662" s="173"/>
      <c r="S662" s="173"/>
      <c r="T662" s="173"/>
      <c r="U662" s="173"/>
      <c r="V662" s="173"/>
      <c r="W662" s="173"/>
      <c r="X662" s="173"/>
      <c r="Y662" s="173"/>
      <c r="Z662" s="173"/>
    </row>
    <row r="663">
      <c r="A663" s="173"/>
      <c r="B663" s="173"/>
      <c r="C663" s="173"/>
      <c r="D663" s="173"/>
      <c r="E663" s="173"/>
      <c r="F663" s="173"/>
      <c r="G663" s="173"/>
      <c r="H663" s="173"/>
      <c r="I663" s="173"/>
      <c r="J663" s="173"/>
      <c r="K663" s="173"/>
      <c r="L663" s="173"/>
      <c r="M663" s="173"/>
      <c r="N663" s="173"/>
      <c r="O663" s="173"/>
      <c r="P663" s="173"/>
      <c r="Q663" s="173"/>
      <c r="R663" s="173"/>
      <c r="S663" s="173"/>
      <c r="T663" s="173"/>
      <c r="U663" s="173"/>
      <c r="V663" s="173"/>
      <c r="W663" s="173"/>
      <c r="X663" s="173"/>
      <c r="Y663" s="173"/>
      <c r="Z663" s="173"/>
    </row>
    <row r="664">
      <c r="A664" s="173"/>
      <c r="B664" s="173"/>
      <c r="C664" s="173"/>
      <c r="D664" s="173"/>
      <c r="E664" s="173"/>
      <c r="F664" s="173"/>
      <c r="G664" s="173"/>
      <c r="H664" s="173"/>
      <c r="I664" s="173"/>
      <c r="J664" s="173"/>
      <c r="K664" s="173"/>
      <c r="L664" s="173"/>
      <c r="M664" s="173"/>
      <c r="N664" s="173"/>
      <c r="O664" s="173"/>
      <c r="P664" s="173"/>
      <c r="Q664" s="173"/>
      <c r="R664" s="173"/>
      <c r="S664" s="173"/>
      <c r="T664" s="173"/>
      <c r="U664" s="173"/>
      <c r="V664" s="173"/>
      <c r="W664" s="173"/>
      <c r="X664" s="173"/>
      <c r="Y664" s="173"/>
      <c r="Z664" s="173"/>
    </row>
    <row r="665">
      <c r="A665" s="173"/>
      <c r="B665" s="173"/>
      <c r="C665" s="173"/>
      <c r="D665" s="173"/>
      <c r="E665" s="173"/>
      <c r="F665" s="173"/>
      <c r="G665" s="173"/>
      <c r="H665" s="173"/>
      <c r="I665" s="173"/>
      <c r="J665" s="173"/>
      <c r="K665" s="173"/>
      <c r="L665" s="173"/>
      <c r="M665" s="173"/>
      <c r="N665" s="173"/>
      <c r="O665" s="173"/>
      <c r="P665" s="173"/>
      <c r="Q665" s="173"/>
      <c r="R665" s="173"/>
      <c r="S665" s="173"/>
      <c r="T665" s="173"/>
      <c r="U665" s="173"/>
      <c r="V665" s="173"/>
      <c r="W665" s="173"/>
      <c r="X665" s="173"/>
      <c r="Y665" s="173"/>
      <c r="Z665" s="173"/>
    </row>
    <row r="666">
      <c r="A666" s="173"/>
      <c r="B666" s="173"/>
      <c r="C666" s="173"/>
      <c r="D666" s="173"/>
      <c r="E666" s="173"/>
      <c r="F666" s="173"/>
      <c r="G666" s="173"/>
      <c r="H666" s="173"/>
      <c r="I666" s="173"/>
      <c r="J666" s="173"/>
      <c r="K666" s="173"/>
      <c r="L666" s="173"/>
      <c r="M666" s="173"/>
      <c r="N666" s="173"/>
      <c r="O666" s="173"/>
      <c r="P666" s="173"/>
      <c r="Q666" s="173"/>
      <c r="R666" s="173"/>
      <c r="S666" s="173"/>
      <c r="T666" s="173"/>
      <c r="U666" s="173"/>
      <c r="V666" s="173"/>
      <c r="W666" s="173"/>
      <c r="X666" s="173"/>
      <c r="Y666" s="173"/>
      <c r="Z666" s="173"/>
    </row>
    <row r="667">
      <c r="A667" s="173"/>
      <c r="B667" s="173"/>
      <c r="C667" s="173"/>
      <c r="D667" s="173"/>
      <c r="E667" s="173"/>
      <c r="F667" s="173"/>
      <c r="G667" s="173"/>
      <c r="H667" s="173"/>
      <c r="I667" s="173"/>
      <c r="J667" s="173"/>
      <c r="K667" s="173"/>
      <c r="L667" s="173"/>
      <c r="M667" s="173"/>
      <c r="N667" s="173"/>
      <c r="O667" s="173"/>
      <c r="P667" s="173"/>
      <c r="Q667" s="173"/>
      <c r="R667" s="173"/>
      <c r="S667" s="173"/>
      <c r="T667" s="173"/>
      <c r="U667" s="173"/>
      <c r="V667" s="173"/>
      <c r="W667" s="173"/>
      <c r="X667" s="173"/>
      <c r="Y667" s="173"/>
      <c r="Z667" s="173"/>
    </row>
    <row r="668">
      <c r="A668" s="173"/>
      <c r="B668" s="173"/>
      <c r="C668" s="173"/>
      <c r="D668" s="173"/>
      <c r="E668" s="173"/>
      <c r="F668" s="173"/>
      <c r="G668" s="173"/>
      <c r="H668" s="173"/>
      <c r="I668" s="173"/>
      <c r="J668" s="173"/>
      <c r="K668" s="173"/>
      <c r="L668" s="173"/>
      <c r="M668" s="173"/>
      <c r="N668" s="173"/>
      <c r="O668" s="173"/>
      <c r="P668" s="173"/>
      <c r="Q668" s="173"/>
      <c r="R668" s="173"/>
      <c r="S668" s="173"/>
      <c r="T668" s="173"/>
      <c r="U668" s="173"/>
      <c r="V668" s="173"/>
      <c r="W668" s="173"/>
      <c r="X668" s="173"/>
      <c r="Y668" s="173"/>
      <c r="Z668" s="173"/>
    </row>
    <row r="669">
      <c r="A669" s="173"/>
      <c r="B669" s="173"/>
      <c r="C669" s="173"/>
      <c r="D669" s="173"/>
      <c r="E669" s="173"/>
      <c r="F669" s="173"/>
      <c r="G669" s="173"/>
      <c r="H669" s="173"/>
      <c r="I669" s="173"/>
      <c r="J669" s="173"/>
      <c r="K669" s="173"/>
      <c r="L669" s="173"/>
      <c r="M669" s="173"/>
      <c r="N669" s="173"/>
      <c r="O669" s="173"/>
      <c r="P669" s="173"/>
      <c r="Q669" s="173"/>
      <c r="R669" s="173"/>
      <c r="S669" s="173"/>
      <c r="T669" s="173"/>
      <c r="U669" s="173"/>
      <c r="V669" s="173"/>
      <c r="W669" s="173"/>
      <c r="X669" s="173"/>
      <c r="Y669" s="173"/>
      <c r="Z669" s="173"/>
    </row>
    <row r="670">
      <c r="A670" s="173"/>
      <c r="B670" s="173"/>
      <c r="C670" s="173"/>
      <c r="D670" s="173"/>
      <c r="E670" s="173"/>
      <c r="F670" s="173"/>
      <c r="G670" s="173"/>
      <c r="H670" s="173"/>
      <c r="I670" s="173"/>
      <c r="J670" s="173"/>
      <c r="K670" s="173"/>
      <c r="L670" s="173"/>
      <c r="M670" s="173"/>
      <c r="N670" s="173"/>
      <c r="O670" s="173"/>
      <c r="P670" s="173"/>
      <c r="Q670" s="173"/>
      <c r="R670" s="173"/>
      <c r="S670" s="173"/>
      <c r="T670" s="173"/>
      <c r="U670" s="173"/>
      <c r="V670" s="173"/>
      <c r="W670" s="173"/>
      <c r="X670" s="173"/>
      <c r="Y670" s="173"/>
      <c r="Z670" s="173"/>
    </row>
    <row r="671">
      <c r="A671" s="173"/>
      <c r="B671" s="173"/>
      <c r="C671" s="173"/>
      <c r="D671" s="173"/>
      <c r="E671" s="173"/>
      <c r="F671" s="173"/>
      <c r="G671" s="173"/>
      <c r="H671" s="173"/>
      <c r="I671" s="173"/>
      <c r="J671" s="173"/>
      <c r="K671" s="173"/>
      <c r="L671" s="173"/>
      <c r="M671" s="173"/>
      <c r="N671" s="173"/>
      <c r="O671" s="173"/>
      <c r="P671" s="173"/>
      <c r="Q671" s="173"/>
      <c r="R671" s="173"/>
      <c r="S671" s="173"/>
      <c r="T671" s="173"/>
      <c r="U671" s="173"/>
      <c r="V671" s="173"/>
      <c r="W671" s="173"/>
      <c r="X671" s="173"/>
      <c r="Y671" s="173"/>
      <c r="Z671" s="173"/>
    </row>
    <row r="672">
      <c r="A672" s="173"/>
      <c r="B672" s="173"/>
      <c r="C672" s="173"/>
      <c r="D672" s="173"/>
      <c r="E672" s="173"/>
      <c r="F672" s="173"/>
      <c r="G672" s="173"/>
      <c r="H672" s="173"/>
      <c r="I672" s="173"/>
      <c r="J672" s="173"/>
      <c r="K672" s="173"/>
      <c r="L672" s="173"/>
      <c r="M672" s="173"/>
      <c r="N672" s="173"/>
      <c r="O672" s="173"/>
      <c r="P672" s="173"/>
      <c r="Q672" s="173"/>
      <c r="R672" s="173"/>
      <c r="S672" s="173"/>
      <c r="T672" s="173"/>
      <c r="U672" s="173"/>
      <c r="V672" s="173"/>
      <c r="W672" s="173"/>
      <c r="X672" s="173"/>
      <c r="Y672" s="173"/>
      <c r="Z672" s="173"/>
    </row>
    <row r="673">
      <c r="A673" s="173"/>
      <c r="B673" s="173"/>
      <c r="C673" s="173"/>
      <c r="D673" s="173"/>
      <c r="E673" s="173"/>
      <c r="F673" s="173"/>
      <c r="G673" s="173"/>
      <c r="H673" s="173"/>
      <c r="I673" s="173"/>
      <c r="J673" s="173"/>
      <c r="K673" s="173"/>
      <c r="L673" s="173"/>
      <c r="M673" s="173"/>
      <c r="N673" s="173"/>
      <c r="O673" s="173"/>
      <c r="P673" s="173"/>
      <c r="Q673" s="173"/>
      <c r="R673" s="173"/>
      <c r="S673" s="173"/>
      <c r="T673" s="173"/>
      <c r="U673" s="173"/>
      <c r="V673" s="173"/>
      <c r="W673" s="173"/>
      <c r="X673" s="173"/>
      <c r="Y673" s="173"/>
      <c r="Z673" s="173"/>
    </row>
    <row r="674">
      <c r="A674" s="173"/>
      <c r="B674" s="173"/>
      <c r="C674" s="173"/>
      <c r="D674" s="173"/>
      <c r="E674" s="173"/>
      <c r="F674" s="173"/>
      <c r="G674" s="173"/>
      <c r="H674" s="173"/>
      <c r="I674" s="173"/>
      <c r="J674" s="173"/>
      <c r="K674" s="173"/>
      <c r="L674" s="173"/>
      <c r="M674" s="173"/>
      <c r="N674" s="173"/>
      <c r="O674" s="173"/>
      <c r="P674" s="173"/>
      <c r="Q674" s="173"/>
      <c r="R674" s="173"/>
      <c r="S674" s="173"/>
      <c r="T674" s="173"/>
      <c r="U674" s="173"/>
      <c r="V674" s="173"/>
      <c r="W674" s="173"/>
      <c r="X674" s="173"/>
      <c r="Y674" s="173"/>
      <c r="Z674" s="173"/>
    </row>
    <row r="675">
      <c r="A675" s="173"/>
      <c r="B675" s="173"/>
      <c r="C675" s="173"/>
      <c r="D675" s="173"/>
      <c r="E675" s="173"/>
      <c r="F675" s="173"/>
      <c r="G675" s="173"/>
      <c r="H675" s="173"/>
      <c r="I675" s="173"/>
      <c r="J675" s="173"/>
      <c r="K675" s="173"/>
      <c r="L675" s="173"/>
      <c r="M675" s="173"/>
      <c r="N675" s="173"/>
      <c r="O675" s="173"/>
      <c r="P675" s="173"/>
      <c r="Q675" s="173"/>
      <c r="R675" s="173"/>
      <c r="S675" s="173"/>
      <c r="T675" s="173"/>
      <c r="U675" s="173"/>
      <c r="V675" s="173"/>
      <c r="W675" s="173"/>
      <c r="X675" s="173"/>
      <c r="Y675" s="173"/>
      <c r="Z675" s="173"/>
    </row>
    <row r="676">
      <c r="A676" s="173"/>
      <c r="B676" s="173"/>
      <c r="C676" s="173"/>
      <c r="D676" s="173"/>
      <c r="E676" s="173"/>
      <c r="F676" s="173"/>
      <c r="G676" s="173"/>
      <c r="H676" s="173"/>
      <c r="I676" s="173"/>
      <c r="J676" s="173"/>
      <c r="K676" s="173"/>
      <c r="L676" s="173"/>
      <c r="M676" s="173"/>
      <c r="N676" s="173"/>
      <c r="O676" s="173"/>
      <c r="P676" s="173"/>
      <c r="Q676" s="173"/>
      <c r="R676" s="173"/>
      <c r="S676" s="173"/>
      <c r="T676" s="173"/>
      <c r="U676" s="173"/>
      <c r="V676" s="173"/>
      <c r="W676" s="173"/>
      <c r="X676" s="173"/>
      <c r="Y676" s="173"/>
      <c r="Z676" s="173"/>
    </row>
    <row r="677">
      <c r="A677" s="173"/>
      <c r="B677" s="173"/>
      <c r="C677" s="173"/>
      <c r="D677" s="173"/>
      <c r="E677" s="173"/>
      <c r="F677" s="173"/>
      <c r="G677" s="173"/>
      <c r="H677" s="173"/>
      <c r="I677" s="173"/>
      <c r="J677" s="173"/>
      <c r="K677" s="173"/>
      <c r="L677" s="173"/>
      <c r="M677" s="173"/>
      <c r="N677" s="173"/>
      <c r="O677" s="173"/>
      <c r="P677" s="173"/>
      <c r="Q677" s="173"/>
      <c r="R677" s="173"/>
      <c r="S677" s="173"/>
      <c r="T677" s="173"/>
      <c r="U677" s="173"/>
      <c r="V677" s="173"/>
      <c r="W677" s="173"/>
      <c r="X677" s="173"/>
      <c r="Y677" s="173"/>
      <c r="Z677" s="173"/>
    </row>
    <row r="678">
      <c r="A678" s="173"/>
      <c r="B678" s="173"/>
      <c r="C678" s="173"/>
      <c r="D678" s="173"/>
      <c r="E678" s="173"/>
      <c r="F678" s="173"/>
      <c r="G678" s="173"/>
      <c r="H678" s="173"/>
      <c r="I678" s="173"/>
      <c r="J678" s="173"/>
      <c r="K678" s="173"/>
      <c r="L678" s="173"/>
      <c r="M678" s="173"/>
      <c r="N678" s="173"/>
      <c r="O678" s="173"/>
      <c r="P678" s="173"/>
      <c r="Q678" s="173"/>
      <c r="R678" s="173"/>
      <c r="S678" s="173"/>
      <c r="T678" s="173"/>
      <c r="U678" s="173"/>
      <c r="V678" s="173"/>
      <c r="W678" s="173"/>
      <c r="X678" s="173"/>
      <c r="Y678" s="173"/>
      <c r="Z678" s="173"/>
    </row>
    <row r="679">
      <c r="A679" s="173"/>
      <c r="B679" s="173"/>
      <c r="C679" s="173"/>
      <c r="D679" s="173"/>
      <c r="E679" s="173"/>
      <c r="F679" s="173"/>
      <c r="G679" s="173"/>
      <c r="H679" s="173"/>
      <c r="I679" s="173"/>
      <c r="J679" s="173"/>
      <c r="K679" s="173"/>
      <c r="L679" s="173"/>
      <c r="M679" s="173"/>
      <c r="N679" s="173"/>
      <c r="O679" s="173"/>
      <c r="P679" s="173"/>
      <c r="Q679" s="173"/>
      <c r="R679" s="173"/>
      <c r="S679" s="173"/>
      <c r="T679" s="173"/>
      <c r="U679" s="173"/>
      <c r="V679" s="173"/>
      <c r="W679" s="173"/>
      <c r="X679" s="173"/>
      <c r="Y679" s="173"/>
      <c r="Z679" s="173"/>
    </row>
    <row r="680">
      <c r="A680" s="173"/>
      <c r="B680" s="173"/>
      <c r="C680" s="173"/>
      <c r="D680" s="173"/>
      <c r="E680" s="173"/>
      <c r="F680" s="173"/>
      <c r="G680" s="173"/>
      <c r="H680" s="173"/>
      <c r="I680" s="173"/>
      <c r="J680" s="173"/>
      <c r="K680" s="173"/>
      <c r="L680" s="173"/>
      <c r="M680" s="173"/>
      <c r="N680" s="173"/>
      <c r="O680" s="173"/>
      <c r="P680" s="173"/>
      <c r="Q680" s="173"/>
      <c r="R680" s="173"/>
      <c r="S680" s="173"/>
      <c r="T680" s="173"/>
      <c r="U680" s="173"/>
      <c r="V680" s="173"/>
      <c r="W680" s="173"/>
      <c r="X680" s="173"/>
      <c r="Y680" s="173"/>
      <c r="Z680" s="173"/>
    </row>
    <row r="681">
      <c r="A681" s="173"/>
      <c r="B681" s="173"/>
      <c r="C681" s="173"/>
      <c r="D681" s="173"/>
      <c r="E681" s="173"/>
      <c r="F681" s="173"/>
      <c r="G681" s="173"/>
      <c r="H681" s="173"/>
      <c r="I681" s="173"/>
      <c r="J681" s="173"/>
      <c r="K681" s="173"/>
      <c r="L681" s="173"/>
      <c r="M681" s="173"/>
      <c r="N681" s="173"/>
      <c r="O681" s="173"/>
      <c r="P681" s="173"/>
      <c r="Q681" s="173"/>
      <c r="R681" s="173"/>
      <c r="S681" s="173"/>
      <c r="T681" s="173"/>
      <c r="U681" s="173"/>
      <c r="V681" s="173"/>
      <c r="W681" s="173"/>
      <c r="X681" s="173"/>
      <c r="Y681" s="173"/>
      <c r="Z681" s="173"/>
    </row>
    <row r="682">
      <c r="A682" s="173"/>
      <c r="B682" s="173"/>
      <c r="C682" s="173"/>
      <c r="D682" s="173"/>
      <c r="E682" s="173"/>
      <c r="F682" s="173"/>
      <c r="G682" s="173"/>
      <c r="H682" s="173"/>
      <c r="I682" s="173"/>
      <c r="J682" s="173"/>
      <c r="K682" s="173"/>
      <c r="L682" s="173"/>
      <c r="M682" s="173"/>
      <c r="N682" s="173"/>
      <c r="O682" s="173"/>
      <c r="P682" s="173"/>
      <c r="Q682" s="173"/>
      <c r="R682" s="173"/>
      <c r="S682" s="173"/>
      <c r="T682" s="173"/>
      <c r="U682" s="173"/>
      <c r="V682" s="173"/>
      <c r="W682" s="173"/>
      <c r="X682" s="173"/>
      <c r="Y682" s="173"/>
      <c r="Z682" s="173"/>
    </row>
    <row r="683">
      <c r="A683" s="173"/>
      <c r="B683" s="173"/>
      <c r="C683" s="173"/>
      <c r="D683" s="173"/>
      <c r="E683" s="173"/>
      <c r="F683" s="173"/>
      <c r="G683" s="173"/>
      <c r="H683" s="173"/>
      <c r="I683" s="173"/>
      <c r="J683" s="173"/>
      <c r="K683" s="173"/>
      <c r="L683" s="173"/>
      <c r="M683" s="173"/>
      <c r="N683" s="173"/>
      <c r="O683" s="173"/>
      <c r="P683" s="173"/>
      <c r="Q683" s="173"/>
      <c r="R683" s="173"/>
      <c r="S683" s="173"/>
      <c r="T683" s="173"/>
      <c r="U683" s="173"/>
      <c r="V683" s="173"/>
      <c r="W683" s="173"/>
      <c r="X683" s="173"/>
      <c r="Y683" s="173"/>
      <c r="Z683" s="173"/>
    </row>
    <row r="684">
      <c r="A684" s="173"/>
      <c r="B684" s="173"/>
      <c r="C684" s="173"/>
      <c r="D684" s="173"/>
      <c r="E684" s="173"/>
      <c r="F684" s="173"/>
      <c r="G684" s="173"/>
      <c r="H684" s="173"/>
      <c r="I684" s="173"/>
      <c r="J684" s="173"/>
      <c r="K684" s="173"/>
      <c r="L684" s="173"/>
      <c r="M684" s="173"/>
      <c r="N684" s="173"/>
      <c r="O684" s="173"/>
      <c r="P684" s="173"/>
      <c r="Q684" s="173"/>
      <c r="R684" s="173"/>
      <c r="S684" s="173"/>
      <c r="T684" s="173"/>
      <c r="U684" s="173"/>
      <c r="V684" s="173"/>
      <c r="W684" s="173"/>
      <c r="X684" s="173"/>
      <c r="Y684" s="173"/>
      <c r="Z684" s="173"/>
    </row>
    <row r="685">
      <c r="A685" s="173"/>
      <c r="B685" s="173"/>
      <c r="C685" s="173"/>
      <c r="D685" s="173"/>
      <c r="E685" s="173"/>
      <c r="F685" s="173"/>
      <c r="G685" s="173"/>
      <c r="H685" s="173"/>
      <c r="I685" s="173"/>
      <c r="J685" s="173"/>
      <c r="K685" s="173"/>
      <c r="L685" s="173"/>
      <c r="M685" s="173"/>
      <c r="N685" s="173"/>
      <c r="O685" s="173"/>
      <c r="P685" s="173"/>
      <c r="Q685" s="173"/>
      <c r="R685" s="173"/>
      <c r="S685" s="173"/>
      <c r="T685" s="173"/>
      <c r="U685" s="173"/>
      <c r="V685" s="173"/>
      <c r="W685" s="173"/>
      <c r="X685" s="173"/>
      <c r="Y685" s="173"/>
      <c r="Z685" s="173"/>
    </row>
    <row r="686">
      <c r="A686" s="173"/>
      <c r="B686" s="173"/>
      <c r="C686" s="173"/>
      <c r="D686" s="173"/>
      <c r="E686" s="173"/>
      <c r="F686" s="173"/>
      <c r="G686" s="173"/>
      <c r="H686" s="173"/>
      <c r="I686" s="173"/>
      <c r="J686" s="173"/>
      <c r="K686" s="173"/>
      <c r="L686" s="173"/>
      <c r="M686" s="173"/>
      <c r="N686" s="173"/>
      <c r="O686" s="173"/>
      <c r="P686" s="173"/>
      <c r="Q686" s="173"/>
      <c r="R686" s="173"/>
      <c r="S686" s="173"/>
      <c r="T686" s="173"/>
      <c r="U686" s="173"/>
      <c r="V686" s="173"/>
      <c r="W686" s="173"/>
      <c r="X686" s="173"/>
      <c r="Y686" s="173"/>
      <c r="Z686" s="173"/>
    </row>
    <row r="687">
      <c r="A687" s="173"/>
      <c r="B687" s="173"/>
      <c r="C687" s="173"/>
      <c r="D687" s="173"/>
      <c r="E687" s="173"/>
      <c r="F687" s="173"/>
      <c r="G687" s="173"/>
      <c r="H687" s="173"/>
      <c r="I687" s="173"/>
      <c r="J687" s="173"/>
      <c r="K687" s="173"/>
      <c r="L687" s="173"/>
      <c r="M687" s="173"/>
      <c r="N687" s="173"/>
      <c r="O687" s="173"/>
      <c r="P687" s="173"/>
      <c r="Q687" s="173"/>
      <c r="R687" s="173"/>
      <c r="S687" s="173"/>
      <c r="T687" s="173"/>
      <c r="U687" s="173"/>
      <c r="V687" s="173"/>
      <c r="W687" s="173"/>
      <c r="X687" s="173"/>
      <c r="Y687" s="173"/>
      <c r="Z687" s="173"/>
    </row>
    <row r="688">
      <c r="A688" s="173"/>
      <c r="B688" s="173"/>
      <c r="C688" s="173"/>
      <c r="D688" s="173"/>
      <c r="E688" s="173"/>
      <c r="F688" s="173"/>
      <c r="G688" s="173"/>
      <c r="H688" s="173"/>
      <c r="I688" s="173"/>
      <c r="J688" s="173"/>
      <c r="K688" s="173"/>
      <c r="L688" s="173"/>
      <c r="M688" s="173"/>
      <c r="N688" s="173"/>
      <c r="O688" s="173"/>
      <c r="P688" s="173"/>
      <c r="Q688" s="173"/>
      <c r="R688" s="173"/>
      <c r="S688" s="173"/>
      <c r="T688" s="173"/>
      <c r="U688" s="173"/>
      <c r="V688" s="173"/>
      <c r="W688" s="173"/>
      <c r="X688" s="173"/>
      <c r="Y688" s="173"/>
      <c r="Z688" s="173"/>
    </row>
    <row r="689">
      <c r="A689" s="173"/>
      <c r="B689" s="173"/>
      <c r="C689" s="173"/>
      <c r="D689" s="173"/>
      <c r="E689" s="173"/>
      <c r="F689" s="173"/>
      <c r="G689" s="173"/>
      <c r="H689" s="173"/>
      <c r="I689" s="173"/>
      <c r="J689" s="173"/>
      <c r="K689" s="173"/>
      <c r="L689" s="173"/>
      <c r="M689" s="173"/>
      <c r="N689" s="173"/>
      <c r="O689" s="173"/>
      <c r="P689" s="173"/>
      <c r="Q689" s="173"/>
      <c r="R689" s="173"/>
      <c r="S689" s="173"/>
      <c r="T689" s="173"/>
      <c r="U689" s="173"/>
      <c r="V689" s="173"/>
      <c r="W689" s="173"/>
      <c r="X689" s="173"/>
      <c r="Y689" s="173"/>
      <c r="Z689" s="173"/>
    </row>
    <row r="690">
      <c r="A690" s="173"/>
      <c r="B690" s="173"/>
      <c r="C690" s="173"/>
      <c r="D690" s="173"/>
      <c r="E690" s="173"/>
      <c r="F690" s="173"/>
      <c r="G690" s="173"/>
      <c r="H690" s="173"/>
      <c r="I690" s="173"/>
      <c r="J690" s="173"/>
      <c r="K690" s="173"/>
      <c r="L690" s="173"/>
      <c r="M690" s="173"/>
      <c r="N690" s="173"/>
      <c r="O690" s="173"/>
      <c r="P690" s="173"/>
      <c r="Q690" s="173"/>
      <c r="R690" s="173"/>
      <c r="S690" s="173"/>
      <c r="T690" s="173"/>
      <c r="U690" s="173"/>
      <c r="V690" s="173"/>
      <c r="W690" s="173"/>
      <c r="X690" s="173"/>
      <c r="Y690" s="173"/>
      <c r="Z690" s="173"/>
    </row>
    <row r="691">
      <c r="A691" s="173"/>
      <c r="B691" s="173"/>
      <c r="C691" s="173"/>
      <c r="D691" s="173"/>
      <c r="E691" s="173"/>
      <c r="F691" s="173"/>
      <c r="G691" s="173"/>
      <c r="H691" s="173"/>
      <c r="I691" s="173"/>
      <c r="J691" s="173"/>
      <c r="K691" s="173"/>
      <c r="L691" s="173"/>
      <c r="M691" s="173"/>
      <c r="N691" s="173"/>
      <c r="O691" s="173"/>
      <c r="P691" s="173"/>
      <c r="Q691" s="173"/>
      <c r="R691" s="173"/>
      <c r="S691" s="173"/>
      <c r="T691" s="173"/>
      <c r="U691" s="173"/>
      <c r="V691" s="173"/>
      <c r="W691" s="173"/>
      <c r="X691" s="173"/>
      <c r="Y691" s="173"/>
      <c r="Z691" s="173"/>
    </row>
    <row r="692">
      <c r="A692" s="173"/>
      <c r="B692" s="173"/>
      <c r="C692" s="173"/>
      <c r="D692" s="173"/>
      <c r="E692" s="173"/>
      <c r="F692" s="173"/>
      <c r="G692" s="173"/>
      <c r="H692" s="173"/>
      <c r="I692" s="173"/>
      <c r="J692" s="173"/>
      <c r="K692" s="173"/>
      <c r="L692" s="173"/>
      <c r="M692" s="173"/>
      <c r="N692" s="173"/>
      <c r="O692" s="173"/>
      <c r="P692" s="173"/>
      <c r="Q692" s="173"/>
      <c r="R692" s="173"/>
      <c r="S692" s="173"/>
      <c r="T692" s="173"/>
      <c r="U692" s="173"/>
      <c r="V692" s="173"/>
      <c r="W692" s="173"/>
      <c r="X692" s="173"/>
      <c r="Y692" s="173"/>
      <c r="Z692" s="173"/>
    </row>
    <row r="693">
      <c r="A693" s="173"/>
      <c r="B693" s="173"/>
      <c r="C693" s="173"/>
      <c r="D693" s="173"/>
      <c r="E693" s="173"/>
      <c r="F693" s="173"/>
      <c r="G693" s="173"/>
      <c r="H693" s="173"/>
      <c r="I693" s="173"/>
      <c r="J693" s="173"/>
      <c r="K693" s="173"/>
      <c r="L693" s="173"/>
      <c r="M693" s="173"/>
      <c r="N693" s="173"/>
      <c r="O693" s="173"/>
      <c r="P693" s="173"/>
      <c r="Q693" s="173"/>
      <c r="R693" s="173"/>
      <c r="S693" s="173"/>
      <c r="T693" s="173"/>
      <c r="U693" s="173"/>
      <c r="V693" s="173"/>
      <c r="W693" s="173"/>
      <c r="X693" s="173"/>
      <c r="Y693" s="173"/>
      <c r="Z693" s="173"/>
    </row>
    <row r="694">
      <c r="A694" s="173"/>
      <c r="B694" s="173"/>
      <c r="C694" s="173"/>
      <c r="D694" s="173"/>
      <c r="E694" s="173"/>
      <c r="F694" s="173"/>
      <c r="G694" s="173"/>
      <c r="H694" s="173"/>
      <c r="I694" s="173"/>
      <c r="J694" s="173"/>
      <c r="K694" s="173"/>
      <c r="L694" s="173"/>
      <c r="M694" s="173"/>
      <c r="N694" s="173"/>
      <c r="O694" s="173"/>
      <c r="P694" s="173"/>
      <c r="Q694" s="173"/>
      <c r="R694" s="173"/>
      <c r="S694" s="173"/>
      <c r="T694" s="173"/>
      <c r="U694" s="173"/>
      <c r="V694" s="173"/>
      <c r="W694" s="173"/>
      <c r="X694" s="173"/>
      <c r="Y694" s="173"/>
      <c r="Z694" s="173"/>
    </row>
    <row r="695">
      <c r="A695" s="173"/>
      <c r="B695" s="173"/>
      <c r="C695" s="173"/>
      <c r="D695" s="173"/>
      <c r="E695" s="173"/>
      <c r="F695" s="173"/>
      <c r="G695" s="173"/>
      <c r="H695" s="173"/>
      <c r="I695" s="173"/>
      <c r="J695" s="173"/>
      <c r="K695" s="173"/>
      <c r="L695" s="173"/>
      <c r="M695" s="173"/>
      <c r="N695" s="173"/>
      <c r="O695" s="173"/>
      <c r="P695" s="173"/>
      <c r="Q695" s="173"/>
      <c r="R695" s="173"/>
      <c r="S695" s="173"/>
      <c r="T695" s="173"/>
      <c r="U695" s="173"/>
      <c r="V695" s="173"/>
      <c r="W695" s="173"/>
      <c r="X695" s="173"/>
      <c r="Y695" s="173"/>
      <c r="Z695" s="173"/>
    </row>
    <row r="696">
      <c r="A696" s="173"/>
      <c r="B696" s="173"/>
      <c r="C696" s="173"/>
      <c r="D696" s="173"/>
      <c r="E696" s="173"/>
      <c r="F696" s="173"/>
      <c r="G696" s="173"/>
      <c r="H696" s="173"/>
      <c r="I696" s="173"/>
      <c r="J696" s="173"/>
      <c r="K696" s="173"/>
      <c r="L696" s="173"/>
      <c r="M696" s="173"/>
      <c r="N696" s="173"/>
      <c r="O696" s="173"/>
      <c r="P696" s="173"/>
      <c r="Q696" s="173"/>
      <c r="R696" s="173"/>
      <c r="S696" s="173"/>
      <c r="T696" s="173"/>
      <c r="U696" s="173"/>
      <c r="V696" s="173"/>
      <c r="W696" s="173"/>
      <c r="X696" s="173"/>
      <c r="Y696" s="173"/>
      <c r="Z696" s="173"/>
    </row>
    <row r="697">
      <c r="A697" s="173"/>
      <c r="B697" s="173"/>
      <c r="C697" s="173"/>
      <c r="D697" s="173"/>
      <c r="E697" s="173"/>
      <c r="F697" s="173"/>
      <c r="G697" s="173"/>
      <c r="H697" s="173"/>
      <c r="I697" s="173"/>
      <c r="J697" s="173"/>
      <c r="K697" s="173"/>
      <c r="L697" s="173"/>
      <c r="M697" s="173"/>
      <c r="N697" s="173"/>
      <c r="O697" s="173"/>
      <c r="P697" s="173"/>
      <c r="Q697" s="173"/>
      <c r="R697" s="173"/>
      <c r="S697" s="173"/>
      <c r="T697" s="173"/>
      <c r="U697" s="173"/>
      <c r="V697" s="173"/>
      <c r="W697" s="173"/>
      <c r="X697" s="173"/>
      <c r="Y697" s="173"/>
      <c r="Z697" s="173"/>
    </row>
    <row r="698">
      <c r="A698" s="173"/>
      <c r="B698" s="173"/>
      <c r="C698" s="173"/>
      <c r="D698" s="173"/>
      <c r="E698" s="173"/>
      <c r="F698" s="173"/>
      <c r="G698" s="173"/>
      <c r="H698" s="173"/>
      <c r="I698" s="173"/>
      <c r="J698" s="173"/>
      <c r="K698" s="173"/>
      <c r="L698" s="173"/>
      <c r="M698" s="173"/>
      <c r="N698" s="173"/>
      <c r="O698" s="173"/>
      <c r="P698" s="173"/>
      <c r="Q698" s="173"/>
      <c r="R698" s="173"/>
      <c r="S698" s="173"/>
      <c r="T698" s="173"/>
      <c r="U698" s="173"/>
      <c r="V698" s="173"/>
      <c r="W698" s="173"/>
      <c r="X698" s="173"/>
      <c r="Y698" s="173"/>
      <c r="Z698" s="173"/>
    </row>
    <row r="699">
      <c r="A699" s="173"/>
      <c r="B699" s="173"/>
      <c r="C699" s="173"/>
      <c r="D699" s="173"/>
      <c r="E699" s="173"/>
      <c r="F699" s="173"/>
      <c r="G699" s="173"/>
      <c r="H699" s="173"/>
      <c r="I699" s="173"/>
      <c r="J699" s="173"/>
      <c r="K699" s="173"/>
      <c r="L699" s="173"/>
      <c r="M699" s="173"/>
      <c r="N699" s="173"/>
      <c r="O699" s="173"/>
      <c r="P699" s="173"/>
      <c r="Q699" s="173"/>
      <c r="R699" s="173"/>
      <c r="S699" s="173"/>
      <c r="T699" s="173"/>
      <c r="U699" s="173"/>
      <c r="V699" s="173"/>
      <c r="W699" s="173"/>
      <c r="X699" s="173"/>
      <c r="Y699" s="173"/>
      <c r="Z699" s="173"/>
    </row>
    <row r="700">
      <c r="A700" s="173"/>
      <c r="B700" s="173"/>
      <c r="C700" s="173"/>
      <c r="D700" s="173"/>
      <c r="E700" s="173"/>
      <c r="F700" s="173"/>
      <c r="G700" s="173"/>
      <c r="H700" s="173"/>
      <c r="I700" s="173"/>
      <c r="J700" s="173"/>
      <c r="K700" s="173"/>
      <c r="L700" s="173"/>
      <c r="M700" s="173"/>
      <c r="N700" s="173"/>
      <c r="O700" s="173"/>
      <c r="P700" s="173"/>
      <c r="Q700" s="173"/>
      <c r="R700" s="173"/>
      <c r="S700" s="173"/>
      <c r="T700" s="173"/>
      <c r="U700" s="173"/>
      <c r="V700" s="173"/>
      <c r="W700" s="173"/>
      <c r="X700" s="173"/>
      <c r="Y700" s="173"/>
      <c r="Z700" s="173"/>
    </row>
    <row r="701">
      <c r="A701" s="173"/>
      <c r="B701" s="173"/>
      <c r="C701" s="173"/>
      <c r="D701" s="173"/>
      <c r="E701" s="173"/>
      <c r="F701" s="173"/>
      <c r="G701" s="173"/>
      <c r="H701" s="173"/>
      <c r="I701" s="173"/>
      <c r="J701" s="173"/>
      <c r="K701" s="173"/>
      <c r="L701" s="173"/>
      <c r="M701" s="173"/>
      <c r="N701" s="173"/>
      <c r="O701" s="173"/>
      <c r="P701" s="173"/>
      <c r="Q701" s="173"/>
      <c r="R701" s="173"/>
      <c r="S701" s="173"/>
      <c r="T701" s="173"/>
      <c r="U701" s="173"/>
      <c r="V701" s="173"/>
      <c r="W701" s="173"/>
      <c r="X701" s="173"/>
      <c r="Y701" s="173"/>
      <c r="Z701" s="173"/>
    </row>
    <row r="702">
      <c r="A702" s="173"/>
      <c r="B702" s="173"/>
      <c r="C702" s="173"/>
      <c r="D702" s="173"/>
      <c r="E702" s="173"/>
      <c r="F702" s="173"/>
      <c r="G702" s="173"/>
      <c r="H702" s="173"/>
      <c r="I702" s="173"/>
      <c r="J702" s="173"/>
      <c r="K702" s="173"/>
      <c r="L702" s="173"/>
      <c r="M702" s="173"/>
      <c r="N702" s="173"/>
      <c r="O702" s="173"/>
      <c r="P702" s="173"/>
      <c r="Q702" s="173"/>
      <c r="R702" s="173"/>
      <c r="S702" s="173"/>
      <c r="T702" s="173"/>
      <c r="U702" s="173"/>
      <c r="V702" s="173"/>
      <c r="W702" s="173"/>
      <c r="X702" s="173"/>
      <c r="Y702" s="173"/>
      <c r="Z702" s="173"/>
    </row>
    <row r="703">
      <c r="A703" s="173"/>
      <c r="B703" s="173"/>
      <c r="C703" s="173"/>
      <c r="D703" s="173"/>
      <c r="E703" s="173"/>
      <c r="F703" s="173"/>
      <c r="G703" s="173"/>
      <c r="H703" s="173"/>
      <c r="I703" s="173"/>
      <c r="J703" s="173"/>
      <c r="K703" s="173"/>
      <c r="L703" s="173"/>
      <c r="M703" s="173"/>
      <c r="N703" s="173"/>
      <c r="O703" s="173"/>
      <c r="P703" s="173"/>
      <c r="Q703" s="173"/>
      <c r="R703" s="173"/>
      <c r="S703" s="173"/>
      <c r="T703" s="173"/>
      <c r="U703" s="173"/>
      <c r="V703" s="173"/>
      <c r="W703" s="173"/>
      <c r="X703" s="173"/>
      <c r="Y703" s="173"/>
      <c r="Z703" s="173"/>
    </row>
    <row r="704">
      <c r="A704" s="173"/>
      <c r="B704" s="173"/>
      <c r="C704" s="173"/>
      <c r="D704" s="173"/>
      <c r="E704" s="173"/>
      <c r="F704" s="173"/>
      <c r="G704" s="173"/>
      <c r="H704" s="173"/>
      <c r="I704" s="173"/>
      <c r="J704" s="173"/>
      <c r="K704" s="173"/>
      <c r="L704" s="173"/>
      <c r="M704" s="173"/>
      <c r="N704" s="173"/>
      <c r="O704" s="173"/>
      <c r="P704" s="173"/>
      <c r="Q704" s="173"/>
      <c r="R704" s="173"/>
      <c r="S704" s="173"/>
      <c r="T704" s="173"/>
      <c r="U704" s="173"/>
      <c r="V704" s="173"/>
      <c r="W704" s="173"/>
      <c r="X704" s="173"/>
      <c r="Y704" s="173"/>
      <c r="Z704" s="173"/>
    </row>
    <row r="705">
      <c r="A705" s="173"/>
      <c r="B705" s="173"/>
      <c r="C705" s="173"/>
      <c r="D705" s="173"/>
      <c r="E705" s="173"/>
      <c r="F705" s="173"/>
      <c r="G705" s="173"/>
      <c r="H705" s="173"/>
      <c r="I705" s="173"/>
      <c r="J705" s="173"/>
      <c r="K705" s="173"/>
      <c r="L705" s="173"/>
      <c r="M705" s="173"/>
      <c r="N705" s="173"/>
      <c r="O705" s="173"/>
      <c r="P705" s="173"/>
      <c r="Q705" s="173"/>
      <c r="R705" s="173"/>
      <c r="S705" s="173"/>
      <c r="T705" s="173"/>
      <c r="U705" s="173"/>
      <c r="V705" s="173"/>
      <c r="W705" s="173"/>
      <c r="X705" s="173"/>
      <c r="Y705" s="173"/>
      <c r="Z705" s="173"/>
    </row>
    <row r="706">
      <c r="A706" s="173"/>
      <c r="B706" s="173"/>
      <c r="C706" s="173"/>
      <c r="D706" s="173"/>
      <c r="E706" s="173"/>
      <c r="F706" s="173"/>
      <c r="G706" s="173"/>
      <c r="H706" s="173"/>
      <c r="I706" s="173"/>
      <c r="J706" s="173"/>
      <c r="K706" s="173"/>
      <c r="L706" s="173"/>
      <c r="M706" s="173"/>
      <c r="N706" s="173"/>
      <c r="O706" s="173"/>
      <c r="P706" s="173"/>
      <c r="Q706" s="173"/>
      <c r="R706" s="173"/>
      <c r="S706" s="173"/>
      <c r="T706" s="173"/>
      <c r="U706" s="173"/>
      <c r="V706" s="173"/>
      <c r="W706" s="173"/>
      <c r="X706" s="173"/>
      <c r="Y706" s="173"/>
      <c r="Z706" s="173"/>
    </row>
    <row r="707">
      <c r="A707" s="173"/>
      <c r="B707" s="173"/>
      <c r="C707" s="173"/>
      <c r="D707" s="173"/>
      <c r="E707" s="173"/>
      <c r="F707" s="173"/>
      <c r="G707" s="173"/>
      <c r="H707" s="173"/>
      <c r="I707" s="173"/>
      <c r="J707" s="173"/>
      <c r="K707" s="173"/>
      <c r="L707" s="173"/>
      <c r="M707" s="173"/>
      <c r="N707" s="173"/>
      <c r="O707" s="173"/>
      <c r="P707" s="173"/>
      <c r="Q707" s="173"/>
      <c r="R707" s="173"/>
      <c r="S707" s="173"/>
      <c r="T707" s="173"/>
      <c r="U707" s="173"/>
      <c r="V707" s="173"/>
      <c r="W707" s="173"/>
      <c r="X707" s="173"/>
      <c r="Y707" s="173"/>
      <c r="Z707" s="173"/>
    </row>
    <row r="708">
      <c r="A708" s="173"/>
      <c r="B708" s="173"/>
      <c r="C708" s="173"/>
      <c r="D708" s="173"/>
      <c r="E708" s="173"/>
      <c r="F708" s="173"/>
      <c r="G708" s="173"/>
      <c r="H708" s="173"/>
      <c r="I708" s="173"/>
      <c r="J708" s="173"/>
      <c r="K708" s="173"/>
      <c r="L708" s="173"/>
      <c r="M708" s="173"/>
      <c r="N708" s="173"/>
      <c r="O708" s="173"/>
      <c r="P708" s="173"/>
      <c r="Q708" s="173"/>
      <c r="R708" s="173"/>
      <c r="S708" s="173"/>
      <c r="T708" s="173"/>
      <c r="U708" s="173"/>
      <c r="V708" s="173"/>
      <c r="W708" s="173"/>
      <c r="X708" s="173"/>
      <c r="Y708" s="173"/>
      <c r="Z708" s="173"/>
    </row>
    <row r="709">
      <c r="A709" s="173"/>
      <c r="B709" s="173"/>
      <c r="C709" s="173"/>
      <c r="D709" s="173"/>
      <c r="E709" s="173"/>
      <c r="F709" s="173"/>
      <c r="G709" s="173"/>
      <c r="H709" s="173"/>
      <c r="I709" s="173"/>
      <c r="J709" s="173"/>
      <c r="K709" s="173"/>
      <c r="L709" s="173"/>
      <c r="M709" s="173"/>
      <c r="N709" s="173"/>
      <c r="O709" s="173"/>
      <c r="P709" s="173"/>
      <c r="Q709" s="173"/>
      <c r="R709" s="173"/>
      <c r="S709" s="173"/>
      <c r="T709" s="173"/>
      <c r="U709" s="173"/>
      <c r="V709" s="173"/>
      <c r="W709" s="173"/>
      <c r="X709" s="173"/>
      <c r="Y709" s="173"/>
      <c r="Z709" s="173"/>
    </row>
    <row r="710">
      <c r="A710" s="173"/>
      <c r="B710" s="173"/>
      <c r="C710" s="173"/>
      <c r="D710" s="173"/>
      <c r="E710" s="173"/>
      <c r="F710" s="173"/>
      <c r="G710" s="173"/>
      <c r="H710" s="173"/>
      <c r="I710" s="173"/>
      <c r="J710" s="173"/>
      <c r="K710" s="173"/>
      <c r="L710" s="173"/>
      <c r="M710" s="173"/>
      <c r="N710" s="173"/>
      <c r="O710" s="173"/>
      <c r="P710" s="173"/>
      <c r="Q710" s="173"/>
      <c r="R710" s="173"/>
      <c r="S710" s="173"/>
      <c r="T710" s="173"/>
      <c r="U710" s="173"/>
      <c r="V710" s="173"/>
      <c r="W710" s="173"/>
      <c r="X710" s="173"/>
      <c r="Y710" s="173"/>
      <c r="Z710" s="173"/>
    </row>
    <row r="711">
      <c r="A711" s="173"/>
      <c r="B711" s="173"/>
      <c r="C711" s="173"/>
      <c r="D711" s="173"/>
      <c r="E711" s="173"/>
      <c r="F711" s="173"/>
      <c r="G711" s="173"/>
      <c r="H711" s="173"/>
      <c r="I711" s="173"/>
      <c r="J711" s="173"/>
      <c r="K711" s="173"/>
      <c r="L711" s="173"/>
      <c r="M711" s="173"/>
      <c r="N711" s="173"/>
      <c r="O711" s="173"/>
      <c r="P711" s="173"/>
      <c r="Q711" s="173"/>
      <c r="R711" s="173"/>
      <c r="S711" s="173"/>
      <c r="T711" s="173"/>
      <c r="U711" s="173"/>
      <c r="V711" s="173"/>
      <c r="W711" s="173"/>
      <c r="X711" s="173"/>
      <c r="Y711" s="173"/>
      <c r="Z711" s="173"/>
    </row>
    <row r="712">
      <c r="A712" s="173"/>
      <c r="B712" s="173"/>
      <c r="C712" s="173"/>
      <c r="D712" s="173"/>
      <c r="E712" s="173"/>
      <c r="F712" s="173"/>
      <c r="G712" s="173"/>
      <c r="H712" s="173"/>
      <c r="I712" s="173"/>
      <c r="J712" s="173"/>
      <c r="K712" s="173"/>
      <c r="L712" s="173"/>
      <c r="M712" s="173"/>
      <c r="N712" s="173"/>
      <c r="O712" s="173"/>
      <c r="P712" s="173"/>
      <c r="Q712" s="173"/>
      <c r="R712" s="173"/>
      <c r="S712" s="173"/>
      <c r="T712" s="173"/>
      <c r="U712" s="173"/>
      <c r="V712" s="173"/>
      <c r="W712" s="173"/>
      <c r="X712" s="173"/>
      <c r="Y712" s="173"/>
      <c r="Z712" s="173"/>
    </row>
    <row r="713">
      <c r="A713" s="173"/>
      <c r="B713" s="173"/>
      <c r="C713" s="173"/>
      <c r="D713" s="173"/>
      <c r="E713" s="173"/>
      <c r="F713" s="173"/>
      <c r="G713" s="173"/>
      <c r="H713" s="173"/>
      <c r="I713" s="173"/>
      <c r="J713" s="173"/>
      <c r="K713" s="173"/>
      <c r="L713" s="173"/>
      <c r="M713" s="173"/>
      <c r="N713" s="173"/>
      <c r="O713" s="173"/>
      <c r="P713" s="173"/>
      <c r="Q713" s="173"/>
      <c r="R713" s="173"/>
      <c r="S713" s="173"/>
      <c r="T713" s="173"/>
      <c r="U713" s="173"/>
      <c r="V713" s="173"/>
      <c r="W713" s="173"/>
      <c r="X713" s="173"/>
      <c r="Y713" s="173"/>
      <c r="Z713" s="173"/>
    </row>
    <row r="714">
      <c r="A714" s="173"/>
      <c r="B714" s="173"/>
      <c r="C714" s="173"/>
      <c r="D714" s="173"/>
      <c r="E714" s="173"/>
      <c r="F714" s="173"/>
      <c r="G714" s="173"/>
      <c r="H714" s="173"/>
      <c r="I714" s="173"/>
      <c r="J714" s="173"/>
      <c r="K714" s="173"/>
      <c r="L714" s="173"/>
      <c r="M714" s="173"/>
      <c r="N714" s="173"/>
      <c r="O714" s="173"/>
      <c r="P714" s="173"/>
      <c r="Q714" s="173"/>
      <c r="R714" s="173"/>
      <c r="S714" s="173"/>
      <c r="T714" s="173"/>
      <c r="U714" s="173"/>
      <c r="V714" s="173"/>
      <c r="W714" s="173"/>
      <c r="X714" s="173"/>
      <c r="Y714" s="173"/>
      <c r="Z714" s="173"/>
    </row>
    <row r="715">
      <c r="A715" s="173"/>
      <c r="B715" s="173"/>
      <c r="C715" s="173"/>
      <c r="D715" s="173"/>
      <c r="E715" s="173"/>
      <c r="F715" s="173"/>
      <c r="G715" s="173"/>
      <c r="H715" s="173"/>
      <c r="I715" s="173"/>
      <c r="J715" s="173"/>
      <c r="K715" s="173"/>
      <c r="L715" s="173"/>
      <c r="M715" s="173"/>
      <c r="N715" s="173"/>
      <c r="O715" s="173"/>
      <c r="P715" s="173"/>
      <c r="Q715" s="173"/>
      <c r="R715" s="173"/>
      <c r="S715" s="173"/>
      <c r="T715" s="173"/>
      <c r="U715" s="173"/>
      <c r="V715" s="173"/>
      <c r="W715" s="173"/>
      <c r="X715" s="173"/>
      <c r="Y715" s="173"/>
      <c r="Z715" s="173"/>
    </row>
    <row r="716">
      <c r="A716" s="173"/>
      <c r="B716" s="173"/>
      <c r="C716" s="173"/>
      <c r="D716" s="173"/>
      <c r="E716" s="173"/>
      <c r="F716" s="173"/>
      <c r="G716" s="173"/>
      <c r="H716" s="173"/>
      <c r="I716" s="173"/>
      <c r="J716" s="173"/>
      <c r="K716" s="173"/>
      <c r="L716" s="173"/>
      <c r="M716" s="173"/>
      <c r="N716" s="173"/>
      <c r="O716" s="173"/>
      <c r="P716" s="173"/>
      <c r="Q716" s="173"/>
      <c r="R716" s="173"/>
      <c r="S716" s="173"/>
      <c r="T716" s="173"/>
      <c r="U716" s="173"/>
      <c r="V716" s="173"/>
      <c r="W716" s="173"/>
      <c r="X716" s="173"/>
      <c r="Y716" s="173"/>
      <c r="Z716" s="173"/>
    </row>
    <row r="717">
      <c r="A717" s="173"/>
      <c r="B717" s="173"/>
      <c r="C717" s="173"/>
      <c r="D717" s="173"/>
      <c r="E717" s="173"/>
      <c r="F717" s="173"/>
      <c r="G717" s="173"/>
      <c r="H717" s="173"/>
      <c r="I717" s="173"/>
      <c r="J717" s="173"/>
      <c r="K717" s="173"/>
      <c r="L717" s="173"/>
      <c r="M717" s="173"/>
      <c r="N717" s="173"/>
      <c r="O717" s="173"/>
      <c r="P717" s="173"/>
      <c r="Q717" s="173"/>
      <c r="R717" s="173"/>
      <c r="S717" s="173"/>
      <c r="T717" s="173"/>
      <c r="U717" s="173"/>
      <c r="V717" s="173"/>
      <c r="W717" s="173"/>
      <c r="X717" s="173"/>
      <c r="Y717" s="173"/>
      <c r="Z717" s="173"/>
    </row>
    <row r="718">
      <c r="A718" s="173"/>
      <c r="B718" s="173"/>
      <c r="C718" s="173"/>
      <c r="D718" s="173"/>
      <c r="E718" s="173"/>
      <c r="F718" s="173"/>
      <c r="G718" s="173"/>
      <c r="H718" s="173"/>
      <c r="I718" s="173"/>
      <c r="J718" s="173"/>
      <c r="K718" s="173"/>
      <c r="L718" s="173"/>
      <c r="M718" s="173"/>
      <c r="N718" s="173"/>
      <c r="O718" s="173"/>
      <c r="P718" s="173"/>
      <c r="Q718" s="173"/>
      <c r="R718" s="173"/>
      <c r="S718" s="173"/>
      <c r="T718" s="173"/>
      <c r="U718" s="173"/>
      <c r="V718" s="173"/>
      <c r="W718" s="173"/>
      <c r="X718" s="173"/>
      <c r="Y718" s="173"/>
      <c r="Z718" s="173"/>
    </row>
    <row r="719">
      <c r="A719" s="173"/>
      <c r="B719" s="173"/>
      <c r="C719" s="173"/>
      <c r="D719" s="173"/>
      <c r="E719" s="173"/>
      <c r="F719" s="173"/>
      <c r="G719" s="173"/>
      <c r="H719" s="173"/>
      <c r="I719" s="173"/>
      <c r="J719" s="173"/>
      <c r="K719" s="173"/>
      <c r="L719" s="173"/>
      <c r="M719" s="173"/>
      <c r="N719" s="173"/>
      <c r="O719" s="173"/>
      <c r="P719" s="173"/>
      <c r="Q719" s="173"/>
      <c r="R719" s="173"/>
      <c r="S719" s="173"/>
      <c r="T719" s="173"/>
      <c r="U719" s="173"/>
      <c r="V719" s="173"/>
      <c r="W719" s="173"/>
      <c r="X719" s="173"/>
      <c r="Y719" s="173"/>
      <c r="Z719" s="173"/>
    </row>
    <row r="720">
      <c r="A720" s="173"/>
      <c r="B720" s="173"/>
      <c r="C720" s="173"/>
      <c r="D720" s="173"/>
      <c r="E720" s="173"/>
      <c r="F720" s="173"/>
      <c r="G720" s="173"/>
      <c r="H720" s="173"/>
      <c r="I720" s="173"/>
      <c r="J720" s="173"/>
      <c r="K720" s="173"/>
      <c r="L720" s="173"/>
      <c r="M720" s="173"/>
      <c r="N720" s="173"/>
      <c r="O720" s="173"/>
      <c r="P720" s="173"/>
      <c r="Q720" s="173"/>
      <c r="R720" s="173"/>
      <c r="S720" s="173"/>
      <c r="T720" s="173"/>
      <c r="U720" s="173"/>
      <c r="V720" s="173"/>
      <c r="W720" s="173"/>
      <c r="X720" s="173"/>
      <c r="Y720" s="173"/>
      <c r="Z720" s="173"/>
    </row>
    <row r="721">
      <c r="A721" s="173"/>
      <c r="B721" s="173"/>
      <c r="C721" s="173"/>
      <c r="D721" s="173"/>
      <c r="E721" s="173"/>
      <c r="F721" s="173"/>
      <c r="G721" s="173"/>
      <c r="H721" s="173"/>
      <c r="I721" s="173"/>
      <c r="J721" s="173"/>
      <c r="K721" s="173"/>
      <c r="L721" s="173"/>
      <c r="M721" s="173"/>
      <c r="N721" s="173"/>
      <c r="O721" s="173"/>
      <c r="P721" s="173"/>
      <c r="Q721" s="173"/>
      <c r="R721" s="173"/>
      <c r="S721" s="173"/>
      <c r="T721" s="173"/>
      <c r="U721" s="173"/>
      <c r="V721" s="173"/>
      <c r="W721" s="173"/>
      <c r="X721" s="173"/>
      <c r="Y721" s="173"/>
      <c r="Z721" s="173"/>
    </row>
    <row r="722">
      <c r="A722" s="173"/>
      <c r="B722" s="173"/>
      <c r="C722" s="173"/>
      <c r="D722" s="173"/>
      <c r="E722" s="173"/>
      <c r="F722" s="173"/>
      <c r="G722" s="173"/>
      <c r="H722" s="173"/>
      <c r="I722" s="173"/>
      <c r="J722" s="173"/>
      <c r="K722" s="173"/>
      <c r="L722" s="173"/>
      <c r="M722" s="173"/>
      <c r="N722" s="173"/>
      <c r="O722" s="173"/>
      <c r="P722" s="173"/>
      <c r="Q722" s="173"/>
      <c r="R722" s="173"/>
      <c r="S722" s="173"/>
      <c r="T722" s="173"/>
      <c r="U722" s="173"/>
      <c r="V722" s="173"/>
      <c r="W722" s="173"/>
      <c r="X722" s="173"/>
      <c r="Y722" s="173"/>
      <c r="Z722" s="173"/>
    </row>
    <row r="723">
      <c r="A723" s="173"/>
      <c r="B723" s="173"/>
      <c r="C723" s="173"/>
      <c r="D723" s="173"/>
      <c r="E723" s="173"/>
      <c r="F723" s="173"/>
      <c r="G723" s="173"/>
      <c r="H723" s="173"/>
      <c r="I723" s="173"/>
      <c r="J723" s="173"/>
      <c r="K723" s="173"/>
      <c r="L723" s="173"/>
      <c r="M723" s="173"/>
      <c r="N723" s="173"/>
      <c r="O723" s="173"/>
      <c r="P723" s="173"/>
      <c r="Q723" s="173"/>
      <c r="R723" s="173"/>
      <c r="S723" s="173"/>
      <c r="T723" s="173"/>
      <c r="U723" s="173"/>
      <c r="V723" s="173"/>
      <c r="W723" s="173"/>
      <c r="X723" s="173"/>
      <c r="Y723" s="173"/>
      <c r="Z723" s="173"/>
    </row>
    <row r="724">
      <c r="A724" s="173"/>
      <c r="B724" s="173"/>
      <c r="C724" s="173"/>
      <c r="D724" s="173"/>
      <c r="E724" s="173"/>
      <c r="F724" s="173"/>
      <c r="G724" s="173"/>
      <c r="H724" s="173"/>
      <c r="I724" s="173"/>
      <c r="J724" s="173"/>
      <c r="K724" s="173"/>
      <c r="L724" s="173"/>
      <c r="M724" s="173"/>
      <c r="N724" s="173"/>
      <c r="O724" s="173"/>
      <c r="P724" s="173"/>
      <c r="Q724" s="173"/>
      <c r="R724" s="173"/>
      <c r="S724" s="173"/>
      <c r="T724" s="173"/>
      <c r="U724" s="173"/>
      <c r="V724" s="173"/>
      <c r="W724" s="173"/>
      <c r="X724" s="173"/>
      <c r="Y724" s="173"/>
      <c r="Z724" s="173"/>
    </row>
    <row r="725">
      <c r="A725" s="173"/>
      <c r="B725" s="173"/>
      <c r="C725" s="173"/>
      <c r="D725" s="173"/>
      <c r="E725" s="173"/>
      <c r="F725" s="173"/>
      <c r="G725" s="173"/>
      <c r="H725" s="173"/>
      <c r="I725" s="173"/>
      <c r="J725" s="173"/>
      <c r="K725" s="173"/>
      <c r="L725" s="173"/>
      <c r="M725" s="173"/>
      <c r="N725" s="173"/>
      <c r="O725" s="173"/>
      <c r="P725" s="173"/>
      <c r="Q725" s="173"/>
      <c r="R725" s="173"/>
      <c r="S725" s="173"/>
      <c r="T725" s="173"/>
      <c r="U725" s="173"/>
      <c r="V725" s="173"/>
      <c r="W725" s="173"/>
      <c r="X725" s="173"/>
      <c r="Y725" s="173"/>
      <c r="Z725" s="173"/>
    </row>
    <row r="726">
      <c r="A726" s="173"/>
      <c r="B726" s="173"/>
      <c r="C726" s="173"/>
      <c r="D726" s="173"/>
      <c r="E726" s="173"/>
      <c r="F726" s="173"/>
      <c r="G726" s="173"/>
      <c r="H726" s="173"/>
      <c r="I726" s="173"/>
      <c r="J726" s="173"/>
      <c r="K726" s="173"/>
      <c r="L726" s="173"/>
      <c r="M726" s="173"/>
      <c r="N726" s="173"/>
      <c r="O726" s="173"/>
      <c r="P726" s="173"/>
      <c r="Q726" s="173"/>
      <c r="R726" s="173"/>
      <c r="S726" s="173"/>
      <c r="T726" s="173"/>
      <c r="U726" s="173"/>
      <c r="V726" s="173"/>
      <c r="W726" s="173"/>
      <c r="X726" s="173"/>
      <c r="Y726" s="173"/>
      <c r="Z726" s="173"/>
    </row>
    <row r="727">
      <c r="A727" s="173"/>
      <c r="B727" s="173"/>
      <c r="C727" s="173"/>
      <c r="D727" s="173"/>
      <c r="E727" s="173"/>
      <c r="F727" s="173"/>
      <c r="G727" s="173"/>
      <c r="H727" s="173"/>
      <c r="I727" s="173"/>
      <c r="J727" s="173"/>
      <c r="K727" s="173"/>
      <c r="L727" s="173"/>
      <c r="M727" s="173"/>
      <c r="N727" s="173"/>
      <c r="O727" s="173"/>
      <c r="P727" s="173"/>
      <c r="Q727" s="173"/>
      <c r="R727" s="173"/>
      <c r="S727" s="173"/>
      <c r="T727" s="173"/>
      <c r="U727" s="173"/>
      <c r="V727" s="173"/>
      <c r="W727" s="173"/>
      <c r="X727" s="173"/>
      <c r="Y727" s="173"/>
      <c r="Z727" s="173"/>
    </row>
    <row r="728">
      <c r="A728" s="173"/>
      <c r="B728" s="173"/>
      <c r="C728" s="173"/>
      <c r="D728" s="173"/>
      <c r="E728" s="173"/>
      <c r="F728" s="173"/>
      <c r="G728" s="173"/>
      <c r="H728" s="173"/>
      <c r="I728" s="173"/>
      <c r="J728" s="173"/>
      <c r="K728" s="173"/>
      <c r="L728" s="173"/>
      <c r="M728" s="173"/>
      <c r="N728" s="173"/>
      <c r="O728" s="173"/>
      <c r="P728" s="173"/>
      <c r="Q728" s="173"/>
      <c r="R728" s="173"/>
      <c r="S728" s="173"/>
      <c r="T728" s="173"/>
      <c r="U728" s="173"/>
      <c r="V728" s="173"/>
      <c r="W728" s="173"/>
      <c r="X728" s="173"/>
      <c r="Y728" s="173"/>
      <c r="Z728" s="173"/>
    </row>
    <row r="729">
      <c r="A729" s="173"/>
      <c r="B729" s="173"/>
      <c r="C729" s="173"/>
      <c r="D729" s="173"/>
      <c r="E729" s="173"/>
      <c r="F729" s="173"/>
      <c r="G729" s="173"/>
      <c r="H729" s="173"/>
      <c r="I729" s="173"/>
      <c r="J729" s="173"/>
      <c r="K729" s="173"/>
      <c r="L729" s="173"/>
      <c r="M729" s="173"/>
      <c r="N729" s="173"/>
      <c r="O729" s="173"/>
      <c r="P729" s="173"/>
      <c r="Q729" s="173"/>
      <c r="R729" s="173"/>
      <c r="S729" s="173"/>
      <c r="T729" s="173"/>
      <c r="U729" s="173"/>
      <c r="V729" s="173"/>
      <c r="W729" s="173"/>
      <c r="X729" s="173"/>
      <c r="Y729" s="173"/>
      <c r="Z729" s="173"/>
    </row>
    <row r="730">
      <c r="A730" s="173"/>
      <c r="B730" s="173"/>
      <c r="C730" s="173"/>
      <c r="D730" s="173"/>
      <c r="E730" s="173"/>
      <c r="F730" s="173"/>
      <c r="G730" s="173"/>
      <c r="H730" s="173"/>
      <c r="I730" s="173"/>
      <c r="J730" s="173"/>
      <c r="K730" s="173"/>
      <c r="L730" s="173"/>
      <c r="M730" s="173"/>
      <c r="N730" s="173"/>
      <c r="O730" s="173"/>
      <c r="P730" s="173"/>
      <c r="Q730" s="173"/>
      <c r="R730" s="173"/>
      <c r="S730" s="173"/>
      <c r="T730" s="173"/>
      <c r="U730" s="173"/>
      <c r="V730" s="173"/>
      <c r="W730" s="173"/>
      <c r="X730" s="173"/>
      <c r="Y730" s="173"/>
      <c r="Z730" s="173"/>
    </row>
    <row r="731">
      <c r="A731" s="173"/>
      <c r="B731" s="173"/>
      <c r="C731" s="173"/>
      <c r="D731" s="173"/>
      <c r="E731" s="173"/>
      <c r="F731" s="173"/>
      <c r="G731" s="173"/>
      <c r="H731" s="173"/>
      <c r="I731" s="173"/>
      <c r="J731" s="173"/>
      <c r="K731" s="173"/>
      <c r="L731" s="173"/>
      <c r="M731" s="173"/>
      <c r="N731" s="173"/>
      <c r="O731" s="173"/>
      <c r="P731" s="173"/>
      <c r="Q731" s="173"/>
      <c r="R731" s="173"/>
      <c r="S731" s="173"/>
      <c r="T731" s="173"/>
      <c r="U731" s="173"/>
      <c r="V731" s="173"/>
      <c r="W731" s="173"/>
      <c r="X731" s="173"/>
      <c r="Y731" s="173"/>
      <c r="Z731" s="173"/>
    </row>
    <row r="732">
      <c r="A732" s="173"/>
      <c r="B732" s="173"/>
      <c r="C732" s="173"/>
      <c r="D732" s="173"/>
      <c r="E732" s="173"/>
      <c r="F732" s="173"/>
      <c r="G732" s="173"/>
      <c r="H732" s="173"/>
      <c r="I732" s="173"/>
      <c r="J732" s="173"/>
      <c r="K732" s="173"/>
      <c r="L732" s="173"/>
      <c r="M732" s="173"/>
      <c r="N732" s="173"/>
      <c r="O732" s="173"/>
      <c r="P732" s="173"/>
      <c r="Q732" s="173"/>
      <c r="R732" s="173"/>
      <c r="S732" s="173"/>
      <c r="T732" s="173"/>
      <c r="U732" s="173"/>
      <c r="V732" s="173"/>
      <c r="W732" s="173"/>
      <c r="X732" s="173"/>
      <c r="Y732" s="173"/>
      <c r="Z732" s="173"/>
    </row>
    <row r="733">
      <c r="A733" s="173"/>
      <c r="B733" s="173"/>
      <c r="C733" s="173"/>
      <c r="D733" s="173"/>
      <c r="E733" s="173"/>
      <c r="F733" s="173"/>
      <c r="G733" s="173"/>
      <c r="H733" s="173"/>
      <c r="I733" s="173"/>
      <c r="J733" s="173"/>
      <c r="K733" s="173"/>
      <c r="L733" s="173"/>
      <c r="M733" s="173"/>
      <c r="N733" s="173"/>
      <c r="O733" s="173"/>
      <c r="P733" s="173"/>
      <c r="Q733" s="173"/>
      <c r="R733" s="173"/>
      <c r="S733" s="173"/>
      <c r="T733" s="173"/>
      <c r="U733" s="173"/>
      <c r="V733" s="173"/>
      <c r="W733" s="173"/>
      <c r="X733" s="173"/>
      <c r="Y733" s="173"/>
      <c r="Z733" s="173"/>
    </row>
    <row r="734">
      <c r="A734" s="173"/>
      <c r="B734" s="173"/>
      <c r="C734" s="173"/>
      <c r="D734" s="173"/>
      <c r="E734" s="173"/>
      <c r="F734" s="173"/>
      <c r="G734" s="173"/>
      <c r="H734" s="173"/>
      <c r="I734" s="173"/>
      <c r="J734" s="173"/>
      <c r="K734" s="173"/>
      <c r="L734" s="173"/>
      <c r="M734" s="173"/>
      <c r="N734" s="173"/>
      <c r="O734" s="173"/>
      <c r="P734" s="173"/>
      <c r="Q734" s="173"/>
      <c r="R734" s="173"/>
      <c r="S734" s="173"/>
      <c r="T734" s="173"/>
      <c r="U734" s="173"/>
      <c r="V734" s="173"/>
      <c r="W734" s="173"/>
      <c r="X734" s="173"/>
      <c r="Y734" s="173"/>
      <c r="Z734" s="173"/>
    </row>
    <row r="735">
      <c r="A735" s="173"/>
      <c r="B735" s="173"/>
      <c r="C735" s="173"/>
      <c r="D735" s="173"/>
      <c r="E735" s="173"/>
      <c r="F735" s="173"/>
      <c r="G735" s="173"/>
      <c r="H735" s="173"/>
      <c r="I735" s="173"/>
      <c r="J735" s="173"/>
      <c r="K735" s="173"/>
      <c r="L735" s="173"/>
      <c r="M735" s="173"/>
      <c r="N735" s="173"/>
      <c r="O735" s="173"/>
      <c r="P735" s="173"/>
      <c r="Q735" s="173"/>
      <c r="R735" s="173"/>
      <c r="S735" s="173"/>
      <c r="T735" s="173"/>
      <c r="U735" s="173"/>
      <c r="V735" s="173"/>
      <c r="W735" s="173"/>
      <c r="X735" s="173"/>
      <c r="Y735" s="173"/>
      <c r="Z735" s="173"/>
    </row>
    <row r="736">
      <c r="A736" s="173"/>
      <c r="B736" s="173"/>
      <c r="C736" s="173"/>
      <c r="D736" s="173"/>
      <c r="E736" s="173"/>
      <c r="F736" s="173"/>
      <c r="G736" s="173"/>
      <c r="H736" s="173"/>
      <c r="I736" s="173"/>
      <c r="J736" s="173"/>
      <c r="K736" s="173"/>
      <c r="L736" s="173"/>
      <c r="M736" s="173"/>
      <c r="N736" s="173"/>
      <c r="O736" s="173"/>
      <c r="P736" s="173"/>
      <c r="Q736" s="173"/>
      <c r="R736" s="173"/>
      <c r="S736" s="173"/>
      <c r="T736" s="173"/>
      <c r="U736" s="173"/>
      <c r="V736" s="173"/>
      <c r="W736" s="173"/>
      <c r="X736" s="173"/>
      <c r="Y736" s="173"/>
      <c r="Z736" s="173"/>
    </row>
    <row r="737">
      <c r="A737" s="173"/>
      <c r="B737" s="173"/>
      <c r="C737" s="173"/>
      <c r="D737" s="173"/>
      <c r="E737" s="173"/>
      <c r="F737" s="173"/>
      <c r="G737" s="173"/>
      <c r="H737" s="173"/>
      <c r="I737" s="173"/>
      <c r="J737" s="173"/>
      <c r="K737" s="173"/>
      <c r="L737" s="173"/>
      <c r="M737" s="173"/>
      <c r="N737" s="173"/>
      <c r="O737" s="173"/>
      <c r="P737" s="173"/>
      <c r="Q737" s="173"/>
      <c r="R737" s="173"/>
      <c r="S737" s="173"/>
      <c r="T737" s="173"/>
      <c r="U737" s="173"/>
      <c r="V737" s="173"/>
      <c r="W737" s="173"/>
      <c r="X737" s="173"/>
      <c r="Y737" s="173"/>
      <c r="Z737" s="173"/>
    </row>
    <row r="738">
      <c r="A738" s="173"/>
      <c r="B738" s="173"/>
      <c r="C738" s="173"/>
      <c r="D738" s="173"/>
      <c r="E738" s="173"/>
      <c r="F738" s="173"/>
      <c r="G738" s="173"/>
      <c r="H738" s="173"/>
      <c r="I738" s="173"/>
      <c r="J738" s="173"/>
      <c r="K738" s="173"/>
      <c r="L738" s="173"/>
      <c r="M738" s="173"/>
      <c r="N738" s="173"/>
      <c r="O738" s="173"/>
      <c r="P738" s="173"/>
      <c r="Q738" s="173"/>
      <c r="R738" s="173"/>
      <c r="S738" s="173"/>
      <c r="T738" s="173"/>
      <c r="U738" s="173"/>
      <c r="V738" s="173"/>
      <c r="W738" s="173"/>
      <c r="X738" s="173"/>
      <c r="Y738" s="173"/>
      <c r="Z738" s="173"/>
    </row>
    <row r="739">
      <c r="A739" s="173"/>
      <c r="B739" s="173"/>
      <c r="C739" s="173"/>
      <c r="D739" s="173"/>
      <c r="E739" s="173"/>
      <c r="F739" s="173"/>
      <c r="G739" s="173"/>
      <c r="H739" s="173"/>
      <c r="I739" s="173"/>
      <c r="J739" s="173"/>
      <c r="K739" s="173"/>
      <c r="L739" s="173"/>
      <c r="M739" s="173"/>
      <c r="N739" s="173"/>
      <c r="O739" s="173"/>
      <c r="P739" s="173"/>
      <c r="Q739" s="173"/>
      <c r="R739" s="173"/>
      <c r="S739" s="173"/>
      <c r="T739" s="173"/>
      <c r="U739" s="173"/>
      <c r="V739" s="173"/>
      <c r="W739" s="173"/>
      <c r="X739" s="173"/>
      <c r="Y739" s="173"/>
      <c r="Z739" s="173"/>
    </row>
    <row r="740">
      <c r="A740" s="173"/>
      <c r="B740" s="173"/>
      <c r="C740" s="173"/>
      <c r="D740" s="173"/>
      <c r="E740" s="173"/>
      <c r="F740" s="173"/>
      <c r="G740" s="173"/>
      <c r="H740" s="173"/>
      <c r="I740" s="173"/>
      <c r="J740" s="173"/>
      <c r="K740" s="173"/>
      <c r="L740" s="173"/>
      <c r="M740" s="173"/>
      <c r="N740" s="173"/>
      <c r="O740" s="173"/>
      <c r="P740" s="173"/>
      <c r="Q740" s="173"/>
      <c r="R740" s="173"/>
      <c r="S740" s="173"/>
      <c r="T740" s="173"/>
      <c r="U740" s="173"/>
      <c r="V740" s="173"/>
      <c r="W740" s="173"/>
      <c r="X740" s="173"/>
      <c r="Y740" s="173"/>
      <c r="Z740" s="173"/>
    </row>
    <row r="741">
      <c r="A741" s="173"/>
      <c r="B741" s="173"/>
      <c r="C741" s="173"/>
      <c r="D741" s="173"/>
      <c r="E741" s="173"/>
      <c r="F741" s="173"/>
      <c r="G741" s="173"/>
      <c r="H741" s="173"/>
      <c r="I741" s="173"/>
      <c r="J741" s="173"/>
      <c r="K741" s="173"/>
      <c r="L741" s="173"/>
      <c r="M741" s="173"/>
      <c r="N741" s="173"/>
      <c r="O741" s="173"/>
      <c r="P741" s="173"/>
      <c r="Q741" s="173"/>
      <c r="R741" s="173"/>
      <c r="S741" s="173"/>
      <c r="T741" s="173"/>
      <c r="U741" s="173"/>
      <c r="V741" s="173"/>
      <c r="W741" s="173"/>
      <c r="X741" s="173"/>
      <c r="Y741" s="173"/>
      <c r="Z741" s="173"/>
    </row>
    <row r="742">
      <c r="A742" s="173"/>
      <c r="B742" s="173"/>
      <c r="C742" s="173"/>
      <c r="D742" s="173"/>
      <c r="E742" s="173"/>
      <c r="F742" s="173"/>
      <c r="G742" s="173"/>
      <c r="H742" s="173"/>
      <c r="I742" s="173"/>
      <c r="J742" s="173"/>
      <c r="K742" s="173"/>
      <c r="L742" s="173"/>
      <c r="M742" s="173"/>
      <c r="N742" s="173"/>
      <c r="O742" s="173"/>
      <c r="P742" s="173"/>
      <c r="Q742" s="173"/>
      <c r="R742" s="173"/>
      <c r="S742" s="173"/>
      <c r="T742" s="173"/>
      <c r="U742" s="173"/>
      <c r="V742" s="173"/>
      <c r="W742" s="173"/>
      <c r="X742" s="173"/>
      <c r="Y742" s="173"/>
      <c r="Z742" s="173"/>
    </row>
    <row r="743">
      <c r="A743" s="173"/>
      <c r="B743" s="173"/>
      <c r="C743" s="173"/>
      <c r="D743" s="173"/>
      <c r="E743" s="173"/>
      <c r="F743" s="173"/>
      <c r="G743" s="173"/>
      <c r="H743" s="173"/>
      <c r="I743" s="173"/>
      <c r="J743" s="173"/>
      <c r="K743" s="173"/>
      <c r="L743" s="173"/>
      <c r="M743" s="173"/>
      <c r="N743" s="173"/>
      <c r="O743" s="173"/>
      <c r="P743" s="173"/>
      <c r="Q743" s="173"/>
      <c r="R743" s="173"/>
      <c r="S743" s="173"/>
      <c r="T743" s="173"/>
      <c r="U743" s="173"/>
      <c r="V743" s="173"/>
      <c r="W743" s="173"/>
      <c r="X743" s="173"/>
      <c r="Y743" s="173"/>
      <c r="Z743" s="173"/>
    </row>
    <row r="744">
      <c r="A744" s="173"/>
      <c r="B744" s="173"/>
      <c r="C744" s="173"/>
      <c r="D744" s="173"/>
      <c r="E744" s="173"/>
      <c r="F744" s="173"/>
      <c r="G744" s="173"/>
      <c r="H744" s="173"/>
      <c r="I744" s="173"/>
      <c r="J744" s="173"/>
      <c r="K744" s="173"/>
      <c r="L744" s="173"/>
      <c r="M744" s="173"/>
      <c r="N744" s="173"/>
      <c r="O744" s="173"/>
      <c r="P744" s="173"/>
      <c r="Q744" s="173"/>
      <c r="R744" s="173"/>
      <c r="S744" s="173"/>
      <c r="T744" s="173"/>
      <c r="U744" s="173"/>
      <c r="V744" s="173"/>
      <c r="W744" s="173"/>
      <c r="X744" s="173"/>
      <c r="Y744" s="173"/>
      <c r="Z744" s="173"/>
    </row>
    <row r="745">
      <c r="A745" s="173"/>
      <c r="B745" s="173"/>
      <c r="C745" s="173"/>
      <c r="D745" s="173"/>
      <c r="E745" s="173"/>
      <c r="F745" s="173"/>
      <c r="G745" s="173"/>
      <c r="H745" s="173"/>
      <c r="I745" s="173"/>
      <c r="J745" s="173"/>
      <c r="K745" s="173"/>
      <c r="L745" s="173"/>
      <c r="M745" s="173"/>
      <c r="N745" s="173"/>
      <c r="O745" s="173"/>
      <c r="P745" s="173"/>
      <c r="Q745" s="173"/>
      <c r="R745" s="173"/>
      <c r="S745" s="173"/>
      <c r="T745" s="173"/>
      <c r="U745" s="173"/>
      <c r="V745" s="173"/>
      <c r="W745" s="173"/>
      <c r="X745" s="173"/>
      <c r="Y745" s="173"/>
      <c r="Z745" s="173"/>
    </row>
    <row r="746">
      <c r="A746" s="173"/>
      <c r="B746" s="173"/>
      <c r="C746" s="173"/>
      <c r="D746" s="173"/>
      <c r="E746" s="173"/>
      <c r="F746" s="173"/>
      <c r="G746" s="173"/>
      <c r="H746" s="173"/>
      <c r="I746" s="173"/>
      <c r="J746" s="173"/>
      <c r="K746" s="173"/>
      <c r="L746" s="173"/>
      <c r="M746" s="173"/>
      <c r="N746" s="173"/>
      <c r="O746" s="173"/>
      <c r="P746" s="173"/>
      <c r="Q746" s="173"/>
      <c r="R746" s="173"/>
      <c r="S746" s="173"/>
      <c r="T746" s="173"/>
      <c r="U746" s="173"/>
      <c r="V746" s="173"/>
      <c r="W746" s="173"/>
      <c r="X746" s="173"/>
      <c r="Y746" s="173"/>
      <c r="Z746" s="173"/>
    </row>
    <row r="747">
      <c r="A747" s="173"/>
      <c r="B747" s="173"/>
      <c r="C747" s="173"/>
      <c r="D747" s="173"/>
      <c r="E747" s="173"/>
      <c r="F747" s="173"/>
      <c r="G747" s="173"/>
      <c r="H747" s="173"/>
      <c r="I747" s="173"/>
      <c r="J747" s="173"/>
      <c r="K747" s="173"/>
      <c r="L747" s="173"/>
      <c r="M747" s="173"/>
      <c r="N747" s="173"/>
      <c r="O747" s="173"/>
      <c r="P747" s="173"/>
      <c r="Q747" s="173"/>
      <c r="R747" s="173"/>
      <c r="S747" s="173"/>
      <c r="T747" s="173"/>
      <c r="U747" s="173"/>
      <c r="V747" s="173"/>
      <c r="W747" s="173"/>
      <c r="X747" s="173"/>
      <c r="Y747" s="173"/>
      <c r="Z747" s="173"/>
    </row>
    <row r="748">
      <c r="A748" s="173"/>
      <c r="B748" s="173"/>
      <c r="C748" s="173"/>
      <c r="D748" s="173"/>
      <c r="E748" s="173"/>
      <c r="F748" s="173"/>
      <c r="G748" s="173"/>
      <c r="H748" s="173"/>
      <c r="I748" s="173"/>
      <c r="J748" s="173"/>
      <c r="K748" s="173"/>
      <c r="L748" s="173"/>
      <c r="M748" s="173"/>
      <c r="N748" s="173"/>
      <c r="O748" s="173"/>
      <c r="P748" s="173"/>
      <c r="Q748" s="173"/>
      <c r="R748" s="173"/>
      <c r="S748" s="173"/>
      <c r="T748" s="173"/>
      <c r="U748" s="173"/>
      <c r="V748" s="173"/>
      <c r="W748" s="173"/>
      <c r="X748" s="173"/>
      <c r="Y748" s="173"/>
      <c r="Z748" s="173"/>
    </row>
    <row r="749">
      <c r="A749" s="173"/>
      <c r="B749" s="173"/>
      <c r="C749" s="173"/>
      <c r="D749" s="173"/>
      <c r="E749" s="173"/>
      <c r="F749" s="173"/>
      <c r="G749" s="173"/>
      <c r="H749" s="173"/>
      <c r="I749" s="173"/>
      <c r="J749" s="173"/>
      <c r="K749" s="173"/>
      <c r="L749" s="173"/>
      <c r="M749" s="173"/>
      <c r="N749" s="173"/>
      <c r="O749" s="173"/>
      <c r="P749" s="173"/>
      <c r="Q749" s="173"/>
      <c r="R749" s="173"/>
      <c r="S749" s="173"/>
      <c r="T749" s="173"/>
      <c r="U749" s="173"/>
      <c r="V749" s="173"/>
      <c r="W749" s="173"/>
      <c r="X749" s="173"/>
      <c r="Y749" s="173"/>
      <c r="Z749" s="173"/>
    </row>
    <row r="750">
      <c r="A750" s="173"/>
      <c r="B750" s="173"/>
      <c r="C750" s="173"/>
      <c r="D750" s="173"/>
      <c r="E750" s="173"/>
      <c r="F750" s="173"/>
      <c r="G750" s="173"/>
      <c r="H750" s="173"/>
      <c r="I750" s="173"/>
      <c r="J750" s="173"/>
      <c r="K750" s="173"/>
      <c r="L750" s="173"/>
      <c r="M750" s="173"/>
      <c r="N750" s="173"/>
      <c r="O750" s="173"/>
      <c r="P750" s="173"/>
      <c r="Q750" s="173"/>
      <c r="R750" s="173"/>
      <c r="S750" s="173"/>
      <c r="T750" s="173"/>
      <c r="U750" s="173"/>
      <c r="V750" s="173"/>
      <c r="W750" s="173"/>
      <c r="X750" s="173"/>
      <c r="Y750" s="173"/>
      <c r="Z750" s="173"/>
    </row>
    <row r="751">
      <c r="A751" s="173"/>
      <c r="B751" s="173"/>
      <c r="C751" s="173"/>
      <c r="D751" s="173"/>
      <c r="E751" s="173"/>
      <c r="F751" s="173"/>
      <c r="G751" s="173"/>
      <c r="H751" s="173"/>
      <c r="I751" s="173"/>
      <c r="J751" s="173"/>
      <c r="K751" s="173"/>
      <c r="L751" s="173"/>
      <c r="M751" s="173"/>
      <c r="N751" s="173"/>
      <c r="O751" s="173"/>
      <c r="P751" s="173"/>
      <c r="Q751" s="173"/>
      <c r="R751" s="173"/>
      <c r="S751" s="173"/>
      <c r="T751" s="173"/>
      <c r="U751" s="173"/>
      <c r="V751" s="173"/>
      <c r="W751" s="173"/>
      <c r="X751" s="173"/>
      <c r="Y751" s="173"/>
      <c r="Z751" s="173"/>
    </row>
    <row r="752">
      <c r="A752" s="173"/>
      <c r="B752" s="173"/>
      <c r="C752" s="173"/>
      <c r="D752" s="173"/>
      <c r="E752" s="173"/>
      <c r="F752" s="173"/>
      <c r="G752" s="173"/>
      <c r="H752" s="173"/>
      <c r="I752" s="173"/>
      <c r="J752" s="173"/>
      <c r="K752" s="173"/>
      <c r="L752" s="173"/>
      <c r="M752" s="173"/>
      <c r="N752" s="173"/>
      <c r="O752" s="173"/>
      <c r="P752" s="173"/>
      <c r="Q752" s="173"/>
      <c r="R752" s="173"/>
      <c r="S752" s="173"/>
      <c r="T752" s="173"/>
      <c r="U752" s="173"/>
      <c r="V752" s="173"/>
      <c r="W752" s="173"/>
      <c r="X752" s="173"/>
      <c r="Y752" s="173"/>
      <c r="Z752" s="173"/>
    </row>
    <row r="753">
      <c r="A753" s="173"/>
      <c r="B753" s="173"/>
      <c r="C753" s="173"/>
      <c r="D753" s="173"/>
      <c r="E753" s="173"/>
      <c r="F753" s="173"/>
      <c r="G753" s="173"/>
      <c r="H753" s="173"/>
      <c r="I753" s="173"/>
      <c r="J753" s="173"/>
      <c r="K753" s="173"/>
      <c r="L753" s="173"/>
      <c r="M753" s="173"/>
      <c r="N753" s="173"/>
      <c r="O753" s="173"/>
      <c r="P753" s="173"/>
      <c r="Q753" s="173"/>
      <c r="R753" s="173"/>
      <c r="S753" s="173"/>
      <c r="T753" s="173"/>
      <c r="U753" s="173"/>
      <c r="V753" s="173"/>
      <c r="W753" s="173"/>
      <c r="X753" s="173"/>
      <c r="Y753" s="173"/>
      <c r="Z753" s="173"/>
    </row>
    <row r="754">
      <c r="A754" s="173"/>
      <c r="B754" s="173"/>
      <c r="C754" s="173"/>
      <c r="D754" s="173"/>
      <c r="E754" s="173"/>
      <c r="F754" s="173"/>
      <c r="G754" s="173"/>
      <c r="H754" s="173"/>
      <c r="I754" s="173"/>
      <c r="J754" s="173"/>
      <c r="K754" s="173"/>
      <c r="L754" s="173"/>
      <c r="M754" s="173"/>
      <c r="N754" s="173"/>
      <c r="O754" s="173"/>
      <c r="P754" s="173"/>
      <c r="Q754" s="173"/>
      <c r="R754" s="173"/>
      <c r="S754" s="173"/>
      <c r="T754" s="173"/>
      <c r="U754" s="173"/>
      <c r="V754" s="173"/>
      <c r="W754" s="173"/>
      <c r="X754" s="173"/>
      <c r="Y754" s="173"/>
      <c r="Z754" s="173"/>
    </row>
    <row r="755">
      <c r="A755" s="173"/>
      <c r="B755" s="173"/>
      <c r="C755" s="173"/>
      <c r="D755" s="173"/>
      <c r="E755" s="173"/>
      <c r="F755" s="173"/>
      <c r="G755" s="173"/>
      <c r="H755" s="173"/>
      <c r="I755" s="173"/>
      <c r="J755" s="173"/>
      <c r="K755" s="173"/>
      <c r="L755" s="173"/>
      <c r="M755" s="173"/>
      <c r="N755" s="173"/>
      <c r="O755" s="173"/>
      <c r="P755" s="173"/>
      <c r="Q755" s="173"/>
      <c r="R755" s="173"/>
      <c r="S755" s="173"/>
      <c r="T755" s="173"/>
      <c r="U755" s="173"/>
      <c r="V755" s="173"/>
      <c r="W755" s="173"/>
      <c r="X755" s="173"/>
      <c r="Y755" s="173"/>
      <c r="Z755" s="173"/>
    </row>
    <row r="756">
      <c r="A756" s="173"/>
      <c r="B756" s="173"/>
      <c r="C756" s="173"/>
      <c r="D756" s="173"/>
      <c r="E756" s="173"/>
      <c r="F756" s="173"/>
      <c r="G756" s="173"/>
      <c r="H756" s="173"/>
      <c r="I756" s="173"/>
      <c r="J756" s="173"/>
      <c r="K756" s="173"/>
      <c r="L756" s="173"/>
      <c r="M756" s="173"/>
      <c r="N756" s="173"/>
      <c r="O756" s="173"/>
      <c r="P756" s="173"/>
      <c r="Q756" s="173"/>
      <c r="R756" s="173"/>
      <c r="S756" s="173"/>
      <c r="T756" s="173"/>
      <c r="U756" s="173"/>
      <c r="V756" s="173"/>
      <c r="W756" s="173"/>
      <c r="X756" s="173"/>
      <c r="Y756" s="173"/>
      <c r="Z756" s="173"/>
    </row>
    <row r="757">
      <c r="A757" s="173"/>
      <c r="B757" s="173"/>
      <c r="C757" s="173"/>
      <c r="D757" s="173"/>
      <c r="E757" s="173"/>
      <c r="F757" s="173"/>
      <c r="G757" s="173"/>
      <c r="H757" s="173"/>
      <c r="I757" s="173"/>
      <c r="J757" s="173"/>
      <c r="K757" s="173"/>
      <c r="L757" s="173"/>
      <c r="M757" s="173"/>
      <c r="N757" s="173"/>
      <c r="O757" s="173"/>
      <c r="P757" s="173"/>
      <c r="Q757" s="173"/>
      <c r="R757" s="173"/>
      <c r="S757" s="173"/>
      <c r="T757" s="173"/>
      <c r="U757" s="173"/>
      <c r="V757" s="173"/>
      <c r="W757" s="173"/>
      <c r="X757" s="173"/>
      <c r="Y757" s="173"/>
      <c r="Z757" s="173"/>
    </row>
    <row r="758">
      <c r="A758" s="173"/>
      <c r="B758" s="173"/>
      <c r="C758" s="173"/>
      <c r="D758" s="173"/>
      <c r="E758" s="173"/>
      <c r="F758" s="173"/>
      <c r="G758" s="173"/>
      <c r="H758" s="173"/>
      <c r="I758" s="173"/>
      <c r="J758" s="173"/>
      <c r="K758" s="173"/>
      <c r="L758" s="173"/>
      <c r="M758" s="173"/>
      <c r="N758" s="173"/>
      <c r="O758" s="173"/>
      <c r="P758" s="173"/>
      <c r="Q758" s="173"/>
      <c r="R758" s="173"/>
      <c r="S758" s="173"/>
      <c r="T758" s="173"/>
      <c r="U758" s="173"/>
      <c r="V758" s="173"/>
      <c r="W758" s="173"/>
      <c r="X758" s="173"/>
      <c r="Y758" s="173"/>
      <c r="Z758" s="173"/>
    </row>
    <row r="759">
      <c r="A759" s="173"/>
      <c r="B759" s="173"/>
      <c r="C759" s="173"/>
      <c r="D759" s="173"/>
      <c r="E759" s="173"/>
      <c r="F759" s="173"/>
      <c r="G759" s="173"/>
      <c r="H759" s="173"/>
      <c r="I759" s="173"/>
      <c r="J759" s="173"/>
      <c r="K759" s="173"/>
      <c r="L759" s="173"/>
      <c r="M759" s="173"/>
      <c r="N759" s="173"/>
      <c r="O759" s="173"/>
      <c r="P759" s="173"/>
      <c r="Q759" s="173"/>
      <c r="R759" s="173"/>
      <c r="S759" s="173"/>
      <c r="T759" s="173"/>
      <c r="U759" s="173"/>
      <c r="V759" s="173"/>
      <c r="W759" s="173"/>
      <c r="X759" s="173"/>
      <c r="Y759" s="173"/>
      <c r="Z759" s="173"/>
    </row>
    <row r="760">
      <c r="A760" s="173"/>
      <c r="B760" s="173"/>
      <c r="C760" s="173"/>
      <c r="D760" s="173"/>
      <c r="E760" s="173"/>
      <c r="F760" s="173"/>
      <c r="G760" s="173"/>
      <c r="H760" s="173"/>
      <c r="I760" s="173"/>
      <c r="J760" s="173"/>
      <c r="K760" s="173"/>
      <c r="L760" s="173"/>
      <c r="M760" s="173"/>
      <c r="N760" s="173"/>
      <c r="O760" s="173"/>
      <c r="P760" s="173"/>
      <c r="Q760" s="173"/>
      <c r="R760" s="173"/>
      <c r="S760" s="173"/>
      <c r="T760" s="173"/>
      <c r="U760" s="173"/>
      <c r="V760" s="173"/>
      <c r="W760" s="173"/>
      <c r="X760" s="173"/>
      <c r="Y760" s="173"/>
      <c r="Z760" s="173"/>
    </row>
    <row r="761">
      <c r="A761" s="173"/>
      <c r="B761" s="173"/>
      <c r="C761" s="173"/>
      <c r="D761" s="173"/>
      <c r="E761" s="173"/>
      <c r="F761" s="173"/>
      <c r="G761" s="173"/>
      <c r="H761" s="173"/>
      <c r="I761" s="173"/>
      <c r="J761" s="173"/>
      <c r="K761" s="173"/>
      <c r="L761" s="173"/>
      <c r="M761" s="173"/>
      <c r="N761" s="173"/>
      <c r="O761" s="173"/>
      <c r="P761" s="173"/>
      <c r="Q761" s="173"/>
      <c r="R761" s="173"/>
      <c r="S761" s="173"/>
      <c r="T761" s="173"/>
      <c r="U761" s="173"/>
      <c r="V761" s="173"/>
      <c r="W761" s="173"/>
      <c r="X761" s="173"/>
      <c r="Y761" s="173"/>
      <c r="Z761" s="173"/>
    </row>
    <row r="762">
      <c r="A762" s="173"/>
      <c r="B762" s="173"/>
      <c r="C762" s="173"/>
      <c r="D762" s="173"/>
      <c r="E762" s="173"/>
      <c r="F762" s="173"/>
      <c r="G762" s="173"/>
      <c r="H762" s="173"/>
      <c r="I762" s="173"/>
      <c r="J762" s="173"/>
      <c r="K762" s="173"/>
      <c r="L762" s="173"/>
      <c r="M762" s="173"/>
      <c r="N762" s="173"/>
      <c r="O762" s="173"/>
      <c r="P762" s="173"/>
      <c r="Q762" s="173"/>
      <c r="R762" s="173"/>
      <c r="S762" s="173"/>
      <c r="T762" s="173"/>
      <c r="U762" s="173"/>
      <c r="V762" s="173"/>
      <c r="W762" s="173"/>
      <c r="X762" s="173"/>
      <c r="Y762" s="173"/>
      <c r="Z762" s="173"/>
    </row>
    <row r="763">
      <c r="A763" s="173"/>
      <c r="B763" s="173"/>
      <c r="C763" s="173"/>
      <c r="D763" s="173"/>
      <c r="E763" s="173"/>
      <c r="F763" s="173"/>
      <c r="G763" s="173"/>
      <c r="H763" s="173"/>
      <c r="I763" s="173"/>
      <c r="J763" s="173"/>
      <c r="K763" s="173"/>
      <c r="L763" s="173"/>
      <c r="M763" s="173"/>
      <c r="N763" s="173"/>
      <c r="O763" s="173"/>
      <c r="P763" s="173"/>
      <c r="Q763" s="173"/>
      <c r="R763" s="173"/>
      <c r="S763" s="173"/>
      <c r="T763" s="173"/>
      <c r="U763" s="173"/>
      <c r="V763" s="173"/>
      <c r="W763" s="173"/>
      <c r="X763" s="173"/>
      <c r="Y763" s="173"/>
      <c r="Z763" s="173"/>
    </row>
    <row r="764">
      <c r="A764" s="173"/>
      <c r="B764" s="173"/>
      <c r="C764" s="173"/>
      <c r="D764" s="173"/>
      <c r="E764" s="173"/>
      <c r="F764" s="173"/>
      <c r="G764" s="173"/>
      <c r="H764" s="173"/>
      <c r="I764" s="173"/>
      <c r="J764" s="173"/>
      <c r="K764" s="173"/>
      <c r="L764" s="173"/>
      <c r="M764" s="173"/>
      <c r="N764" s="173"/>
      <c r="O764" s="173"/>
      <c r="P764" s="173"/>
      <c r="Q764" s="173"/>
      <c r="R764" s="173"/>
      <c r="S764" s="173"/>
      <c r="T764" s="173"/>
      <c r="U764" s="173"/>
      <c r="V764" s="173"/>
      <c r="W764" s="173"/>
      <c r="X764" s="173"/>
      <c r="Y764" s="173"/>
      <c r="Z764" s="173"/>
    </row>
    <row r="765">
      <c r="A765" s="173"/>
      <c r="B765" s="173"/>
      <c r="C765" s="173"/>
      <c r="D765" s="173"/>
      <c r="E765" s="173"/>
      <c r="F765" s="173"/>
      <c r="G765" s="173"/>
      <c r="H765" s="173"/>
      <c r="I765" s="173"/>
      <c r="J765" s="173"/>
      <c r="K765" s="173"/>
      <c r="L765" s="173"/>
      <c r="M765" s="173"/>
      <c r="N765" s="173"/>
      <c r="O765" s="173"/>
      <c r="P765" s="173"/>
      <c r="Q765" s="173"/>
      <c r="R765" s="173"/>
      <c r="S765" s="173"/>
      <c r="T765" s="173"/>
      <c r="U765" s="173"/>
      <c r="V765" s="173"/>
      <c r="W765" s="173"/>
      <c r="X765" s="173"/>
      <c r="Y765" s="173"/>
      <c r="Z765" s="173"/>
    </row>
    <row r="766">
      <c r="A766" s="173"/>
      <c r="B766" s="173"/>
      <c r="C766" s="173"/>
      <c r="D766" s="173"/>
      <c r="E766" s="173"/>
      <c r="F766" s="173"/>
      <c r="G766" s="173"/>
      <c r="H766" s="173"/>
      <c r="I766" s="173"/>
      <c r="J766" s="173"/>
      <c r="K766" s="173"/>
      <c r="L766" s="173"/>
      <c r="M766" s="173"/>
      <c r="N766" s="173"/>
      <c r="O766" s="173"/>
      <c r="P766" s="173"/>
      <c r="Q766" s="173"/>
      <c r="R766" s="173"/>
      <c r="S766" s="173"/>
      <c r="T766" s="173"/>
      <c r="U766" s="173"/>
      <c r="V766" s="173"/>
      <c r="W766" s="173"/>
      <c r="X766" s="173"/>
      <c r="Y766" s="173"/>
      <c r="Z766" s="173"/>
    </row>
    <row r="767">
      <c r="A767" s="173"/>
      <c r="B767" s="173"/>
      <c r="C767" s="173"/>
      <c r="D767" s="173"/>
      <c r="E767" s="173"/>
      <c r="F767" s="173"/>
      <c r="G767" s="173"/>
      <c r="H767" s="173"/>
      <c r="I767" s="173"/>
      <c r="J767" s="173"/>
      <c r="K767" s="173"/>
      <c r="L767" s="173"/>
      <c r="M767" s="173"/>
      <c r="N767" s="173"/>
      <c r="O767" s="173"/>
      <c r="P767" s="173"/>
      <c r="Q767" s="173"/>
      <c r="R767" s="173"/>
      <c r="S767" s="173"/>
      <c r="T767" s="173"/>
      <c r="U767" s="173"/>
      <c r="V767" s="173"/>
      <c r="W767" s="173"/>
      <c r="X767" s="173"/>
      <c r="Y767" s="173"/>
      <c r="Z767" s="173"/>
    </row>
    <row r="768">
      <c r="A768" s="173"/>
      <c r="B768" s="173"/>
      <c r="C768" s="173"/>
      <c r="D768" s="173"/>
      <c r="E768" s="173"/>
      <c r="F768" s="173"/>
      <c r="G768" s="173"/>
      <c r="H768" s="173"/>
      <c r="I768" s="173"/>
      <c r="J768" s="173"/>
      <c r="K768" s="173"/>
      <c r="L768" s="173"/>
      <c r="M768" s="173"/>
      <c r="N768" s="173"/>
      <c r="O768" s="173"/>
      <c r="P768" s="173"/>
      <c r="Q768" s="173"/>
      <c r="R768" s="173"/>
      <c r="S768" s="173"/>
      <c r="T768" s="173"/>
      <c r="U768" s="173"/>
      <c r="V768" s="173"/>
      <c r="W768" s="173"/>
      <c r="X768" s="173"/>
      <c r="Y768" s="173"/>
      <c r="Z768" s="173"/>
    </row>
    <row r="769">
      <c r="A769" s="173"/>
      <c r="B769" s="173"/>
      <c r="C769" s="173"/>
      <c r="D769" s="173"/>
      <c r="E769" s="173"/>
      <c r="F769" s="173"/>
      <c r="G769" s="173"/>
      <c r="H769" s="173"/>
      <c r="I769" s="173"/>
      <c r="J769" s="173"/>
      <c r="K769" s="173"/>
      <c r="L769" s="173"/>
      <c r="M769" s="173"/>
      <c r="N769" s="173"/>
      <c r="O769" s="173"/>
      <c r="P769" s="173"/>
      <c r="Q769" s="173"/>
      <c r="R769" s="173"/>
      <c r="S769" s="173"/>
      <c r="T769" s="173"/>
      <c r="U769" s="173"/>
      <c r="V769" s="173"/>
      <c r="W769" s="173"/>
      <c r="X769" s="173"/>
      <c r="Y769" s="173"/>
      <c r="Z769" s="173"/>
    </row>
    <row r="770">
      <c r="A770" s="173"/>
      <c r="B770" s="173"/>
      <c r="C770" s="173"/>
      <c r="D770" s="173"/>
      <c r="E770" s="173"/>
      <c r="F770" s="173"/>
      <c r="G770" s="173"/>
      <c r="H770" s="173"/>
      <c r="I770" s="173"/>
      <c r="J770" s="173"/>
      <c r="K770" s="173"/>
      <c r="L770" s="173"/>
      <c r="M770" s="173"/>
      <c r="N770" s="173"/>
      <c r="O770" s="173"/>
      <c r="P770" s="173"/>
      <c r="Q770" s="173"/>
      <c r="R770" s="173"/>
      <c r="S770" s="173"/>
      <c r="T770" s="173"/>
      <c r="U770" s="173"/>
      <c r="V770" s="173"/>
      <c r="W770" s="173"/>
      <c r="X770" s="173"/>
      <c r="Y770" s="173"/>
      <c r="Z770" s="173"/>
    </row>
    <row r="771">
      <c r="A771" s="173"/>
      <c r="B771" s="173"/>
      <c r="C771" s="173"/>
      <c r="D771" s="173"/>
      <c r="E771" s="173"/>
      <c r="F771" s="173"/>
      <c r="G771" s="173"/>
      <c r="H771" s="173"/>
      <c r="I771" s="173"/>
      <c r="J771" s="173"/>
      <c r="K771" s="173"/>
      <c r="L771" s="173"/>
      <c r="M771" s="173"/>
      <c r="N771" s="173"/>
      <c r="O771" s="173"/>
      <c r="P771" s="173"/>
      <c r="Q771" s="173"/>
      <c r="R771" s="173"/>
      <c r="S771" s="173"/>
      <c r="T771" s="173"/>
      <c r="U771" s="173"/>
      <c r="V771" s="173"/>
      <c r="W771" s="173"/>
      <c r="X771" s="173"/>
      <c r="Y771" s="173"/>
      <c r="Z771" s="173"/>
    </row>
    <row r="772">
      <c r="A772" s="173"/>
      <c r="B772" s="173"/>
      <c r="C772" s="173"/>
      <c r="D772" s="173"/>
      <c r="E772" s="173"/>
      <c r="F772" s="173"/>
      <c r="G772" s="173"/>
      <c r="H772" s="173"/>
      <c r="I772" s="173"/>
      <c r="J772" s="173"/>
      <c r="K772" s="173"/>
      <c r="L772" s="173"/>
      <c r="M772" s="173"/>
      <c r="N772" s="173"/>
      <c r="O772" s="173"/>
      <c r="P772" s="173"/>
      <c r="Q772" s="173"/>
      <c r="R772" s="173"/>
      <c r="S772" s="173"/>
      <c r="T772" s="173"/>
      <c r="U772" s="173"/>
      <c r="V772" s="173"/>
      <c r="W772" s="173"/>
      <c r="X772" s="173"/>
      <c r="Y772" s="173"/>
      <c r="Z772" s="173"/>
    </row>
    <row r="773">
      <c r="A773" s="173"/>
      <c r="B773" s="173"/>
      <c r="C773" s="173"/>
      <c r="D773" s="173"/>
      <c r="E773" s="173"/>
      <c r="F773" s="173"/>
      <c r="G773" s="173"/>
      <c r="H773" s="173"/>
      <c r="I773" s="173"/>
      <c r="J773" s="173"/>
      <c r="K773" s="173"/>
      <c r="L773" s="173"/>
      <c r="M773" s="173"/>
      <c r="N773" s="173"/>
      <c r="O773" s="173"/>
      <c r="P773" s="173"/>
      <c r="Q773" s="173"/>
      <c r="R773" s="173"/>
      <c r="S773" s="173"/>
      <c r="T773" s="173"/>
      <c r="U773" s="173"/>
      <c r="V773" s="173"/>
      <c r="W773" s="173"/>
      <c r="X773" s="173"/>
      <c r="Y773" s="173"/>
      <c r="Z773" s="173"/>
    </row>
    <row r="774">
      <c r="A774" s="173"/>
      <c r="B774" s="173"/>
      <c r="C774" s="173"/>
      <c r="D774" s="173"/>
      <c r="E774" s="173"/>
      <c r="F774" s="173"/>
      <c r="G774" s="173"/>
      <c r="H774" s="173"/>
      <c r="I774" s="173"/>
      <c r="J774" s="173"/>
      <c r="K774" s="173"/>
      <c r="L774" s="173"/>
      <c r="M774" s="173"/>
      <c r="N774" s="173"/>
      <c r="O774" s="173"/>
      <c r="P774" s="173"/>
      <c r="Q774" s="173"/>
      <c r="R774" s="173"/>
      <c r="S774" s="173"/>
      <c r="T774" s="173"/>
      <c r="U774" s="173"/>
      <c r="V774" s="173"/>
      <c r="W774" s="173"/>
      <c r="X774" s="173"/>
      <c r="Y774" s="173"/>
      <c r="Z774" s="173"/>
    </row>
    <row r="775">
      <c r="A775" s="173"/>
      <c r="B775" s="173"/>
      <c r="C775" s="173"/>
      <c r="D775" s="173"/>
      <c r="E775" s="173"/>
      <c r="F775" s="173"/>
      <c r="G775" s="173"/>
      <c r="H775" s="173"/>
      <c r="I775" s="173"/>
      <c r="J775" s="173"/>
      <c r="K775" s="173"/>
      <c r="L775" s="173"/>
      <c r="M775" s="173"/>
      <c r="N775" s="173"/>
      <c r="O775" s="173"/>
      <c r="P775" s="173"/>
      <c r="Q775" s="173"/>
      <c r="R775" s="173"/>
      <c r="S775" s="173"/>
      <c r="T775" s="173"/>
      <c r="U775" s="173"/>
      <c r="V775" s="173"/>
      <c r="W775" s="173"/>
      <c r="X775" s="173"/>
      <c r="Y775" s="173"/>
      <c r="Z775" s="173"/>
    </row>
    <row r="776">
      <c r="A776" s="173"/>
      <c r="B776" s="173"/>
      <c r="C776" s="173"/>
      <c r="D776" s="173"/>
      <c r="E776" s="173"/>
      <c r="F776" s="173"/>
      <c r="G776" s="173"/>
      <c r="H776" s="173"/>
      <c r="I776" s="173"/>
      <c r="J776" s="173"/>
      <c r="K776" s="173"/>
      <c r="L776" s="173"/>
      <c r="M776" s="173"/>
      <c r="N776" s="173"/>
      <c r="O776" s="173"/>
      <c r="P776" s="173"/>
      <c r="Q776" s="173"/>
      <c r="R776" s="173"/>
      <c r="S776" s="173"/>
      <c r="T776" s="173"/>
      <c r="U776" s="173"/>
      <c r="V776" s="173"/>
      <c r="W776" s="173"/>
      <c r="X776" s="173"/>
      <c r="Y776" s="173"/>
      <c r="Z776" s="173"/>
    </row>
    <row r="777">
      <c r="A777" s="173"/>
      <c r="B777" s="173"/>
      <c r="C777" s="173"/>
      <c r="D777" s="173"/>
      <c r="E777" s="173"/>
      <c r="F777" s="173"/>
      <c r="G777" s="173"/>
      <c r="H777" s="173"/>
      <c r="I777" s="173"/>
      <c r="J777" s="173"/>
      <c r="K777" s="173"/>
      <c r="L777" s="173"/>
      <c r="M777" s="173"/>
      <c r="N777" s="173"/>
      <c r="O777" s="173"/>
      <c r="P777" s="173"/>
      <c r="Q777" s="173"/>
      <c r="R777" s="173"/>
      <c r="S777" s="173"/>
      <c r="T777" s="173"/>
      <c r="U777" s="173"/>
      <c r="V777" s="173"/>
      <c r="W777" s="173"/>
      <c r="X777" s="173"/>
      <c r="Y777" s="173"/>
      <c r="Z777" s="173"/>
    </row>
    <row r="778">
      <c r="A778" s="173"/>
      <c r="B778" s="173"/>
      <c r="C778" s="173"/>
      <c r="D778" s="173"/>
      <c r="E778" s="173"/>
      <c r="F778" s="173"/>
      <c r="G778" s="173"/>
      <c r="H778" s="173"/>
      <c r="I778" s="173"/>
      <c r="J778" s="173"/>
      <c r="K778" s="173"/>
      <c r="L778" s="173"/>
      <c r="M778" s="173"/>
      <c r="N778" s="173"/>
      <c r="O778" s="173"/>
      <c r="P778" s="173"/>
      <c r="Q778" s="173"/>
      <c r="R778" s="173"/>
      <c r="S778" s="173"/>
      <c r="T778" s="173"/>
      <c r="U778" s="173"/>
      <c r="V778" s="173"/>
      <c r="W778" s="173"/>
      <c r="X778" s="173"/>
      <c r="Y778" s="173"/>
      <c r="Z778" s="173"/>
    </row>
    <row r="779">
      <c r="A779" s="173"/>
      <c r="B779" s="173"/>
      <c r="C779" s="173"/>
      <c r="D779" s="173"/>
      <c r="E779" s="173"/>
      <c r="F779" s="173"/>
      <c r="G779" s="173"/>
      <c r="H779" s="173"/>
      <c r="I779" s="173"/>
      <c r="J779" s="173"/>
      <c r="K779" s="173"/>
      <c r="L779" s="173"/>
      <c r="M779" s="173"/>
      <c r="N779" s="173"/>
      <c r="O779" s="173"/>
      <c r="P779" s="173"/>
      <c r="Q779" s="173"/>
      <c r="R779" s="173"/>
      <c r="S779" s="173"/>
      <c r="T779" s="173"/>
      <c r="U779" s="173"/>
      <c r="V779" s="173"/>
      <c r="W779" s="173"/>
      <c r="X779" s="173"/>
      <c r="Y779" s="173"/>
      <c r="Z779" s="173"/>
    </row>
    <row r="780">
      <c r="A780" s="173"/>
      <c r="B780" s="173"/>
      <c r="C780" s="173"/>
      <c r="D780" s="173"/>
      <c r="E780" s="173"/>
      <c r="F780" s="173"/>
      <c r="G780" s="173"/>
      <c r="H780" s="173"/>
      <c r="I780" s="173"/>
      <c r="J780" s="173"/>
      <c r="K780" s="173"/>
      <c r="L780" s="173"/>
      <c r="M780" s="173"/>
      <c r="N780" s="173"/>
      <c r="O780" s="173"/>
      <c r="P780" s="173"/>
      <c r="Q780" s="173"/>
      <c r="R780" s="173"/>
      <c r="S780" s="173"/>
      <c r="T780" s="173"/>
      <c r="U780" s="173"/>
      <c r="V780" s="173"/>
      <c r="W780" s="173"/>
      <c r="X780" s="173"/>
      <c r="Y780" s="173"/>
      <c r="Z780" s="173"/>
    </row>
    <row r="781">
      <c r="A781" s="173"/>
      <c r="B781" s="173"/>
      <c r="C781" s="173"/>
      <c r="D781" s="173"/>
      <c r="E781" s="173"/>
      <c r="F781" s="173"/>
      <c r="G781" s="173"/>
      <c r="H781" s="173"/>
      <c r="I781" s="173"/>
      <c r="J781" s="173"/>
      <c r="K781" s="173"/>
      <c r="L781" s="173"/>
      <c r="M781" s="173"/>
      <c r="N781" s="173"/>
      <c r="O781" s="173"/>
      <c r="P781" s="173"/>
      <c r="Q781" s="173"/>
      <c r="R781" s="173"/>
      <c r="S781" s="173"/>
      <c r="T781" s="173"/>
      <c r="U781" s="173"/>
      <c r="V781" s="173"/>
      <c r="W781" s="173"/>
      <c r="X781" s="173"/>
      <c r="Y781" s="173"/>
      <c r="Z781" s="173"/>
    </row>
    <row r="782">
      <c r="A782" s="173"/>
      <c r="B782" s="173"/>
      <c r="C782" s="173"/>
      <c r="D782" s="173"/>
      <c r="E782" s="173"/>
      <c r="F782" s="173"/>
      <c r="G782" s="173"/>
      <c r="H782" s="173"/>
      <c r="I782" s="173"/>
      <c r="J782" s="173"/>
      <c r="K782" s="173"/>
      <c r="L782" s="173"/>
      <c r="M782" s="173"/>
      <c r="N782" s="173"/>
      <c r="O782" s="173"/>
      <c r="P782" s="173"/>
      <c r="Q782" s="173"/>
      <c r="R782" s="173"/>
      <c r="S782" s="173"/>
      <c r="T782" s="173"/>
      <c r="U782" s="173"/>
      <c r="V782" s="173"/>
      <c r="W782" s="173"/>
      <c r="X782" s="173"/>
      <c r="Y782" s="173"/>
      <c r="Z782" s="173"/>
    </row>
    <row r="783">
      <c r="A783" s="173"/>
      <c r="B783" s="173"/>
      <c r="C783" s="173"/>
      <c r="D783" s="173"/>
      <c r="E783" s="173"/>
      <c r="F783" s="173"/>
      <c r="G783" s="173"/>
      <c r="H783" s="173"/>
      <c r="I783" s="173"/>
      <c r="J783" s="173"/>
      <c r="K783" s="173"/>
      <c r="L783" s="173"/>
      <c r="M783" s="173"/>
      <c r="N783" s="173"/>
      <c r="O783" s="173"/>
      <c r="P783" s="173"/>
      <c r="Q783" s="173"/>
      <c r="R783" s="173"/>
      <c r="S783" s="173"/>
      <c r="T783" s="173"/>
      <c r="U783" s="173"/>
      <c r="V783" s="173"/>
      <c r="W783" s="173"/>
      <c r="X783" s="173"/>
      <c r="Y783" s="173"/>
      <c r="Z783" s="173"/>
    </row>
    <row r="784">
      <c r="A784" s="173"/>
      <c r="B784" s="173"/>
      <c r="C784" s="173"/>
      <c r="D784" s="173"/>
      <c r="E784" s="173"/>
      <c r="F784" s="173"/>
      <c r="G784" s="173"/>
      <c r="H784" s="173"/>
      <c r="I784" s="173"/>
      <c r="J784" s="173"/>
      <c r="K784" s="173"/>
      <c r="L784" s="173"/>
      <c r="M784" s="173"/>
      <c r="N784" s="173"/>
      <c r="O784" s="173"/>
      <c r="P784" s="173"/>
      <c r="Q784" s="173"/>
      <c r="R784" s="173"/>
      <c r="S784" s="173"/>
      <c r="T784" s="173"/>
      <c r="U784" s="173"/>
      <c r="V784" s="173"/>
      <c r="W784" s="173"/>
      <c r="X784" s="173"/>
      <c r="Y784" s="173"/>
      <c r="Z784" s="173"/>
    </row>
    <row r="785">
      <c r="A785" s="173"/>
      <c r="B785" s="173"/>
      <c r="C785" s="173"/>
      <c r="D785" s="173"/>
      <c r="E785" s="173"/>
      <c r="F785" s="173"/>
      <c r="G785" s="173"/>
      <c r="H785" s="173"/>
      <c r="I785" s="173"/>
      <c r="J785" s="173"/>
      <c r="K785" s="173"/>
      <c r="L785" s="173"/>
      <c r="M785" s="173"/>
      <c r="N785" s="173"/>
      <c r="O785" s="173"/>
      <c r="P785" s="173"/>
      <c r="Q785" s="173"/>
      <c r="R785" s="173"/>
      <c r="S785" s="173"/>
      <c r="T785" s="173"/>
      <c r="U785" s="173"/>
      <c r="V785" s="173"/>
      <c r="W785" s="173"/>
      <c r="X785" s="173"/>
      <c r="Y785" s="173"/>
      <c r="Z785" s="173"/>
    </row>
    <row r="786">
      <c r="A786" s="173"/>
      <c r="B786" s="173"/>
      <c r="C786" s="173"/>
      <c r="D786" s="173"/>
      <c r="E786" s="173"/>
      <c r="F786" s="173"/>
      <c r="G786" s="173"/>
      <c r="H786" s="173"/>
      <c r="I786" s="173"/>
      <c r="J786" s="173"/>
      <c r="K786" s="173"/>
      <c r="L786" s="173"/>
      <c r="M786" s="173"/>
      <c r="N786" s="173"/>
      <c r="O786" s="173"/>
      <c r="P786" s="173"/>
      <c r="Q786" s="173"/>
      <c r="R786" s="173"/>
      <c r="S786" s="173"/>
      <c r="T786" s="173"/>
      <c r="U786" s="173"/>
      <c r="V786" s="173"/>
      <c r="W786" s="173"/>
      <c r="X786" s="173"/>
      <c r="Y786" s="173"/>
      <c r="Z786" s="173"/>
    </row>
    <row r="787">
      <c r="A787" s="173"/>
      <c r="B787" s="173"/>
      <c r="C787" s="173"/>
      <c r="D787" s="173"/>
      <c r="E787" s="173"/>
      <c r="F787" s="173"/>
      <c r="G787" s="173"/>
      <c r="H787" s="173"/>
      <c r="I787" s="173"/>
      <c r="J787" s="173"/>
      <c r="K787" s="173"/>
      <c r="L787" s="173"/>
      <c r="M787" s="173"/>
      <c r="N787" s="173"/>
      <c r="O787" s="173"/>
      <c r="P787" s="173"/>
      <c r="Q787" s="173"/>
      <c r="R787" s="173"/>
      <c r="S787" s="173"/>
      <c r="T787" s="173"/>
      <c r="U787" s="173"/>
      <c r="V787" s="173"/>
      <c r="W787" s="173"/>
      <c r="X787" s="173"/>
      <c r="Y787" s="173"/>
      <c r="Z787" s="173"/>
    </row>
    <row r="788">
      <c r="A788" s="173"/>
      <c r="B788" s="173"/>
      <c r="C788" s="173"/>
      <c r="D788" s="173"/>
      <c r="E788" s="173"/>
      <c r="F788" s="173"/>
      <c r="G788" s="173"/>
      <c r="H788" s="173"/>
      <c r="I788" s="173"/>
      <c r="J788" s="173"/>
      <c r="K788" s="173"/>
      <c r="L788" s="173"/>
      <c r="M788" s="173"/>
      <c r="N788" s="173"/>
      <c r="O788" s="173"/>
      <c r="P788" s="173"/>
      <c r="Q788" s="173"/>
      <c r="R788" s="173"/>
      <c r="S788" s="173"/>
      <c r="T788" s="173"/>
      <c r="U788" s="173"/>
      <c r="V788" s="173"/>
      <c r="W788" s="173"/>
      <c r="X788" s="173"/>
      <c r="Y788" s="173"/>
      <c r="Z788" s="173"/>
    </row>
    <row r="789">
      <c r="A789" s="173"/>
      <c r="B789" s="173"/>
      <c r="C789" s="173"/>
      <c r="D789" s="173"/>
      <c r="E789" s="173"/>
      <c r="F789" s="173"/>
      <c r="G789" s="173"/>
      <c r="H789" s="173"/>
      <c r="I789" s="173"/>
      <c r="J789" s="173"/>
      <c r="K789" s="173"/>
      <c r="L789" s="173"/>
      <c r="M789" s="173"/>
      <c r="N789" s="173"/>
      <c r="O789" s="173"/>
      <c r="P789" s="173"/>
      <c r="Q789" s="173"/>
      <c r="R789" s="173"/>
      <c r="S789" s="173"/>
      <c r="T789" s="173"/>
      <c r="U789" s="173"/>
      <c r="V789" s="173"/>
      <c r="W789" s="173"/>
      <c r="X789" s="173"/>
      <c r="Y789" s="173"/>
      <c r="Z789" s="173"/>
    </row>
    <row r="790">
      <c r="A790" s="173"/>
      <c r="B790" s="173"/>
      <c r="C790" s="173"/>
      <c r="D790" s="173"/>
      <c r="E790" s="173"/>
      <c r="F790" s="173"/>
      <c r="G790" s="173"/>
      <c r="H790" s="173"/>
      <c r="I790" s="173"/>
      <c r="J790" s="173"/>
      <c r="K790" s="173"/>
      <c r="L790" s="173"/>
      <c r="M790" s="173"/>
      <c r="N790" s="173"/>
      <c r="O790" s="173"/>
      <c r="P790" s="173"/>
      <c r="Q790" s="173"/>
      <c r="R790" s="173"/>
      <c r="S790" s="173"/>
      <c r="T790" s="173"/>
      <c r="U790" s="173"/>
      <c r="V790" s="173"/>
      <c r="W790" s="173"/>
      <c r="X790" s="173"/>
      <c r="Y790" s="173"/>
      <c r="Z790" s="173"/>
    </row>
    <row r="791">
      <c r="A791" s="173"/>
      <c r="B791" s="173"/>
      <c r="C791" s="173"/>
      <c r="D791" s="173"/>
      <c r="E791" s="173"/>
      <c r="F791" s="173"/>
      <c r="G791" s="173"/>
      <c r="H791" s="173"/>
      <c r="I791" s="173"/>
      <c r="J791" s="173"/>
      <c r="K791" s="173"/>
      <c r="L791" s="173"/>
      <c r="M791" s="173"/>
      <c r="N791" s="173"/>
      <c r="O791" s="173"/>
      <c r="P791" s="173"/>
      <c r="Q791" s="173"/>
      <c r="R791" s="173"/>
      <c r="S791" s="173"/>
      <c r="T791" s="173"/>
      <c r="U791" s="173"/>
      <c r="V791" s="173"/>
      <c r="W791" s="173"/>
      <c r="X791" s="173"/>
      <c r="Y791" s="173"/>
      <c r="Z791" s="173"/>
    </row>
    <row r="792">
      <c r="A792" s="173"/>
      <c r="B792" s="173"/>
      <c r="C792" s="173"/>
      <c r="D792" s="173"/>
      <c r="E792" s="173"/>
      <c r="F792" s="173"/>
      <c r="G792" s="173"/>
      <c r="H792" s="173"/>
      <c r="I792" s="173"/>
      <c r="J792" s="173"/>
      <c r="K792" s="173"/>
      <c r="L792" s="173"/>
      <c r="M792" s="173"/>
      <c r="N792" s="173"/>
      <c r="O792" s="173"/>
      <c r="P792" s="173"/>
      <c r="Q792" s="173"/>
      <c r="R792" s="173"/>
      <c r="S792" s="173"/>
      <c r="T792" s="173"/>
      <c r="U792" s="173"/>
      <c r="V792" s="173"/>
      <c r="W792" s="173"/>
      <c r="X792" s="173"/>
      <c r="Y792" s="173"/>
      <c r="Z792" s="173"/>
    </row>
    <row r="793">
      <c r="A793" s="173"/>
      <c r="B793" s="173"/>
      <c r="C793" s="173"/>
      <c r="D793" s="173"/>
      <c r="E793" s="173"/>
      <c r="F793" s="173"/>
      <c r="G793" s="173"/>
      <c r="H793" s="173"/>
      <c r="I793" s="173"/>
      <c r="J793" s="173"/>
      <c r="K793" s="173"/>
      <c r="L793" s="173"/>
      <c r="M793" s="173"/>
      <c r="N793" s="173"/>
      <c r="O793" s="173"/>
      <c r="P793" s="173"/>
      <c r="Q793" s="173"/>
      <c r="R793" s="173"/>
      <c r="S793" s="173"/>
      <c r="T793" s="173"/>
      <c r="U793" s="173"/>
      <c r="V793" s="173"/>
      <c r="W793" s="173"/>
      <c r="X793" s="173"/>
      <c r="Y793" s="173"/>
      <c r="Z793" s="173"/>
    </row>
    <row r="794">
      <c r="A794" s="173"/>
      <c r="B794" s="173"/>
      <c r="C794" s="173"/>
      <c r="D794" s="173"/>
      <c r="E794" s="173"/>
      <c r="F794" s="173"/>
      <c r="G794" s="173"/>
      <c r="H794" s="173"/>
      <c r="I794" s="173"/>
      <c r="J794" s="173"/>
      <c r="K794" s="173"/>
      <c r="L794" s="173"/>
      <c r="M794" s="173"/>
      <c r="N794" s="173"/>
      <c r="O794" s="173"/>
      <c r="P794" s="173"/>
      <c r="Q794" s="173"/>
      <c r="R794" s="173"/>
      <c r="S794" s="173"/>
      <c r="T794" s="173"/>
      <c r="U794" s="173"/>
      <c r="V794" s="173"/>
      <c r="W794" s="173"/>
      <c r="X794" s="173"/>
      <c r="Y794" s="173"/>
      <c r="Z794" s="173"/>
    </row>
    <row r="795">
      <c r="A795" s="173"/>
      <c r="B795" s="173"/>
      <c r="C795" s="173"/>
      <c r="D795" s="173"/>
      <c r="E795" s="173"/>
      <c r="F795" s="173"/>
      <c r="G795" s="173"/>
      <c r="H795" s="173"/>
      <c r="I795" s="173"/>
      <c r="J795" s="173"/>
      <c r="K795" s="173"/>
      <c r="L795" s="173"/>
      <c r="M795" s="173"/>
      <c r="N795" s="173"/>
      <c r="O795" s="173"/>
      <c r="P795" s="173"/>
      <c r="Q795" s="173"/>
      <c r="R795" s="173"/>
      <c r="S795" s="173"/>
      <c r="T795" s="173"/>
      <c r="U795" s="173"/>
      <c r="V795" s="173"/>
      <c r="W795" s="173"/>
      <c r="X795" s="173"/>
      <c r="Y795" s="173"/>
      <c r="Z795" s="173"/>
    </row>
    <row r="796">
      <c r="A796" s="173"/>
      <c r="B796" s="173"/>
      <c r="C796" s="173"/>
      <c r="D796" s="173"/>
      <c r="E796" s="173"/>
      <c r="F796" s="173"/>
      <c r="G796" s="173"/>
      <c r="H796" s="173"/>
      <c r="I796" s="173"/>
      <c r="J796" s="173"/>
      <c r="K796" s="173"/>
      <c r="L796" s="173"/>
      <c r="M796" s="173"/>
      <c r="N796" s="173"/>
      <c r="O796" s="173"/>
      <c r="P796" s="173"/>
      <c r="Q796" s="173"/>
      <c r="R796" s="173"/>
      <c r="S796" s="173"/>
      <c r="T796" s="173"/>
      <c r="U796" s="173"/>
      <c r="V796" s="173"/>
      <c r="W796" s="173"/>
      <c r="X796" s="173"/>
      <c r="Y796" s="173"/>
      <c r="Z796" s="173"/>
    </row>
    <row r="797">
      <c r="A797" s="173"/>
      <c r="B797" s="173"/>
      <c r="C797" s="173"/>
      <c r="D797" s="173"/>
      <c r="E797" s="173"/>
      <c r="F797" s="173"/>
      <c r="G797" s="173"/>
      <c r="H797" s="173"/>
      <c r="I797" s="173"/>
      <c r="J797" s="173"/>
      <c r="K797" s="173"/>
      <c r="L797" s="173"/>
      <c r="M797" s="173"/>
      <c r="N797" s="173"/>
      <c r="O797" s="173"/>
      <c r="P797" s="173"/>
      <c r="Q797" s="173"/>
      <c r="R797" s="173"/>
      <c r="S797" s="173"/>
      <c r="T797" s="173"/>
      <c r="U797" s="173"/>
      <c r="V797" s="173"/>
      <c r="W797" s="173"/>
      <c r="X797" s="173"/>
      <c r="Y797" s="173"/>
      <c r="Z797" s="173"/>
    </row>
    <row r="798">
      <c r="A798" s="173"/>
      <c r="B798" s="173"/>
      <c r="C798" s="173"/>
      <c r="D798" s="173"/>
      <c r="E798" s="173"/>
      <c r="F798" s="173"/>
      <c r="G798" s="173"/>
      <c r="H798" s="173"/>
      <c r="I798" s="173"/>
      <c r="J798" s="173"/>
      <c r="K798" s="173"/>
      <c r="L798" s="173"/>
      <c r="M798" s="173"/>
      <c r="N798" s="173"/>
      <c r="O798" s="173"/>
      <c r="P798" s="173"/>
      <c r="Q798" s="173"/>
      <c r="R798" s="173"/>
      <c r="S798" s="173"/>
      <c r="T798" s="173"/>
      <c r="U798" s="173"/>
      <c r="V798" s="173"/>
      <c r="W798" s="173"/>
      <c r="X798" s="173"/>
      <c r="Y798" s="173"/>
      <c r="Z798" s="173"/>
    </row>
    <row r="799">
      <c r="A799" s="173"/>
      <c r="B799" s="173"/>
      <c r="C799" s="173"/>
      <c r="D799" s="173"/>
      <c r="E799" s="173"/>
      <c r="F799" s="173"/>
      <c r="G799" s="173"/>
      <c r="H799" s="173"/>
      <c r="I799" s="173"/>
      <c r="J799" s="173"/>
      <c r="K799" s="173"/>
      <c r="L799" s="173"/>
      <c r="M799" s="173"/>
      <c r="N799" s="173"/>
      <c r="O799" s="173"/>
      <c r="P799" s="173"/>
      <c r="Q799" s="173"/>
      <c r="R799" s="173"/>
      <c r="S799" s="173"/>
      <c r="T799" s="173"/>
      <c r="U799" s="173"/>
      <c r="V799" s="173"/>
      <c r="W799" s="173"/>
      <c r="X799" s="173"/>
      <c r="Y799" s="173"/>
      <c r="Z799" s="173"/>
    </row>
    <row r="800">
      <c r="A800" s="173"/>
      <c r="B800" s="173"/>
      <c r="C800" s="173"/>
      <c r="D800" s="173"/>
      <c r="E800" s="173"/>
      <c r="F800" s="173"/>
      <c r="G800" s="173"/>
      <c r="H800" s="173"/>
      <c r="I800" s="173"/>
      <c r="J800" s="173"/>
      <c r="K800" s="173"/>
      <c r="L800" s="173"/>
      <c r="M800" s="173"/>
      <c r="N800" s="173"/>
      <c r="O800" s="173"/>
      <c r="P800" s="173"/>
      <c r="Q800" s="173"/>
      <c r="R800" s="173"/>
      <c r="S800" s="173"/>
      <c r="T800" s="173"/>
      <c r="U800" s="173"/>
      <c r="V800" s="173"/>
      <c r="W800" s="173"/>
      <c r="X800" s="173"/>
      <c r="Y800" s="173"/>
      <c r="Z800" s="173"/>
    </row>
    <row r="801">
      <c r="A801" s="173"/>
      <c r="B801" s="173"/>
      <c r="C801" s="173"/>
      <c r="D801" s="173"/>
      <c r="E801" s="173"/>
      <c r="F801" s="173"/>
      <c r="G801" s="173"/>
      <c r="H801" s="173"/>
      <c r="I801" s="173"/>
      <c r="J801" s="173"/>
      <c r="K801" s="173"/>
      <c r="L801" s="173"/>
      <c r="M801" s="173"/>
      <c r="N801" s="173"/>
      <c r="O801" s="173"/>
      <c r="P801" s="173"/>
      <c r="Q801" s="173"/>
      <c r="R801" s="173"/>
      <c r="S801" s="173"/>
      <c r="T801" s="173"/>
      <c r="U801" s="173"/>
      <c r="V801" s="173"/>
      <c r="W801" s="173"/>
      <c r="X801" s="173"/>
      <c r="Y801" s="173"/>
      <c r="Z801" s="173"/>
    </row>
    <row r="802">
      <c r="A802" s="173"/>
      <c r="B802" s="173"/>
      <c r="C802" s="173"/>
      <c r="D802" s="173"/>
      <c r="E802" s="173"/>
      <c r="F802" s="173"/>
      <c r="G802" s="173"/>
      <c r="H802" s="173"/>
      <c r="I802" s="173"/>
      <c r="J802" s="173"/>
      <c r="K802" s="173"/>
      <c r="L802" s="173"/>
      <c r="M802" s="173"/>
      <c r="N802" s="173"/>
      <c r="O802" s="173"/>
      <c r="P802" s="173"/>
      <c r="Q802" s="173"/>
      <c r="R802" s="173"/>
      <c r="S802" s="173"/>
      <c r="T802" s="173"/>
      <c r="U802" s="173"/>
      <c r="V802" s="173"/>
      <c r="W802" s="173"/>
      <c r="X802" s="173"/>
      <c r="Y802" s="173"/>
      <c r="Z802" s="173"/>
    </row>
    <row r="803">
      <c r="A803" s="173"/>
      <c r="B803" s="173"/>
      <c r="C803" s="173"/>
      <c r="D803" s="173"/>
      <c r="E803" s="173"/>
      <c r="F803" s="173"/>
      <c r="G803" s="173"/>
      <c r="H803" s="173"/>
      <c r="I803" s="173"/>
      <c r="J803" s="173"/>
      <c r="K803" s="173"/>
      <c r="L803" s="173"/>
      <c r="M803" s="173"/>
      <c r="N803" s="173"/>
      <c r="O803" s="173"/>
      <c r="P803" s="173"/>
      <c r="Q803" s="173"/>
      <c r="R803" s="173"/>
      <c r="S803" s="173"/>
      <c r="T803" s="173"/>
      <c r="U803" s="173"/>
      <c r="V803" s="173"/>
      <c r="W803" s="173"/>
      <c r="X803" s="173"/>
      <c r="Y803" s="173"/>
      <c r="Z803" s="173"/>
    </row>
    <row r="804">
      <c r="A804" s="173"/>
      <c r="B804" s="173"/>
      <c r="C804" s="173"/>
      <c r="D804" s="173"/>
      <c r="E804" s="173"/>
      <c r="F804" s="173"/>
      <c r="G804" s="173"/>
      <c r="H804" s="173"/>
      <c r="I804" s="173"/>
      <c r="J804" s="173"/>
      <c r="K804" s="173"/>
      <c r="L804" s="173"/>
      <c r="M804" s="173"/>
      <c r="N804" s="173"/>
      <c r="O804" s="173"/>
      <c r="P804" s="173"/>
      <c r="Q804" s="173"/>
      <c r="R804" s="173"/>
      <c r="S804" s="173"/>
      <c r="T804" s="173"/>
      <c r="U804" s="173"/>
      <c r="V804" s="173"/>
      <c r="W804" s="173"/>
      <c r="X804" s="173"/>
      <c r="Y804" s="173"/>
      <c r="Z804" s="173"/>
    </row>
    <row r="805">
      <c r="A805" s="173"/>
      <c r="B805" s="173"/>
      <c r="C805" s="173"/>
      <c r="D805" s="173"/>
      <c r="E805" s="173"/>
      <c r="F805" s="173"/>
      <c r="G805" s="173"/>
      <c r="H805" s="173"/>
      <c r="I805" s="173"/>
      <c r="J805" s="173"/>
      <c r="K805" s="173"/>
      <c r="L805" s="173"/>
      <c r="M805" s="173"/>
      <c r="N805" s="173"/>
      <c r="O805" s="173"/>
      <c r="P805" s="173"/>
      <c r="Q805" s="173"/>
      <c r="R805" s="173"/>
      <c r="S805" s="173"/>
      <c r="T805" s="173"/>
      <c r="U805" s="173"/>
      <c r="V805" s="173"/>
      <c r="W805" s="173"/>
      <c r="X805" s="173"/>
      <c r="Y805" s="173"/>
      <c r="Z805" s="173"/>
    </row>
    <row r="806">
      <c r="A806" s="173"/>
      <c r="B806" s="173"/>
      <c r="C806" s="173"/>
      <c r="D806" s="173"/>
      <c r="E806" s="173"/>
      <c r="F806" s="173"/>
      <c r="G806" s="173"/>
      <c r="H806" s="173"/>
      <c r="I806" s="173"/>
      <c r="J806" s="173"/>
      <c r="K806" s="173"/>
      <c r="L806" s="173"/>
      <c r="M806" s="173"/>
      <c r="N806" s="173"/>
      <c r="O806" s="173"/>
      <c r="P806" s="173"/>
      <c r="Q806" s="173"/>
      <c r="R806" s="173"/>
      <c r="S806" s="173"/>
      <c r="T806" s="173"/>
      <c r="U806" s="173"/>
      <c r="V806" s="173"/>
      <c r="W806" s="173"/>
      <c r="X806" s="173"/>
      <c r="Y806" s="173"/>
      <c r="Z806" s="173"/>
    </row>
    <row r="807">
      <c r="A807" s="173"/>
      <c r="B807" s="173"/>
      <c r="C807" s="173"/>
      <c r="D807" s="173"/>
      <c r="E807" s="173"/>
      <c r="F807" s="173"/>
      <c r="G807" s="173"/>
      <c r="H807" s="173"/>
      <c r="I807" s="173"/>
      <c r="J807" s="173"/>
      <c r="K807" s="173"/>
      <c r="L807" s="173"/>
      <c r="M807" s="173"/>
      <c r="N807" s="173"/>
      <c r="O807" s="173"/>
      <c r="P807" s="173"/>
      <c r="Q807" s="173"/>
      <c r="R807" s="173"/>
      <c r="S807" s="173"/>
      <c r="T807" s="173"/>
      <c r="U807" s="173"/>
      <c r="V807" s="173"/>
      <c r="W807" s="173"/>
      <c r="X807" s="173"/>
      <c r="Y807" s="173"/>
      <c r="Z807" s="173"/>
    </row>
    <row r="808">
      <c r="A808" s="173"/>
      <c r="B808" s="173"/>
      <c r="C808" s="173"/>
      <c r="D808" s="173"/>
      <c r="E808" s="173"/>
      <c r="F808" s="173"/>
      <c r="G808" s="173"/>
      <c r="H808" s="173"/>
      <c r="I808" s="173"/>
      <c r="J808" s="173"/>
      <c r="K808" s="173"/>
      <c r="L808" s="173"/>
      <c r="M808" s="173"/>
      <c r="N808" s="173"/>
      <c r="O808" s="173"/>
      <c r="P808" s="173"/>
      <c r="Q808" s="173"/>
      <c r="R808" s="173"/>
      <c r="S808" s="173"/>
      <c r="T808" s="173"/>
      <c r="U808" s="173"/>
      <c r="V808" s="173"/>
      <c r="W808" s="173"/>
      <c r="X808" s="173"/>
      <c r="Y808" s="173"/>
      <c r="Z808" s="173"/>
    </row>
    <row r="809">
      <c r="A809" s="173"/>
      <c r="B809" s="173"/>
      <c r="C809" s="173"/>
      <c r="D809" s="173"/>
      <c r="E809" s="173"/>
      <c r="F809" s="173"/>
      <c r="G809" s="173"/>
      <c r="H809" s="173"/>
      <c r="I809" s="173"/>
      <c r="J809" s="173"/>
      <c r="K809" s="173"/>
      <c r="L809" s="173"/>
      <c r="M809" s="173"/>
      <c r="N809" s="173"/>
      <c r="O809" s="173"/>
      <c r="P809" s="173"/>
      <c r="Q809" s="173"/>
      <c r="R809" s="173"/>
      <c r="S809" s="173"/>
      <c r="T809" s="173"/>
      <c r="U809" s="173"/>
      <c r="V809" s="173"/>
      <c r="W809" s="173"/>
      <c r="X809" s="173"/>
      <c r="Y809" s="173"/>
      <c r="Z809" s="173"/>
    </row>
    <row r="810">
      <c r="A810" s="173"/>
      <c r="B810" s="173"/>
      <c r="C810" s="173"/>
      <c r="D810" s="173"/>
      <c r="E810" s="173"/>
      <c r="F810" s="173"/>
      <c r="G810" s="173"/>
      <c r="H810" s="173"/>
      <c r="I810" s="173"/>
      <c r="J810" s="173"/>
      <c r="K810" s="173"/>
      <c r="L810" s="173"/>
      <c r="M810" s="173"/>
      <c r="N810" s="173"/>
      <c r="O810" s="173"/>
      <c r="P810" s="173"/>
      <c r="Q810" s="173"/>
      <c r="R810" s="173"/>
      <c r="S810" s="173"/>
      <c r="T810" s="173"/>
      <c r="U810" s="173"/>
      <c r="V810" s="173"/>
      <c r="W810" s="173"/>
      <c r="X810" s="173"/>
      <c r="Y810" s="173"/>
      <c r="Z810" s="173"/>
    </row>
    <row r="811">
      <c r="A811" s="173"/>
      <c r="B811" s="173"/>
      <c r="C811" s="173"/>
      <c r="D811" s="173"/>
      <c r="E811" s="173"/>
      <c r="F811" s="173"/>
      <c r="G811" s="173"/>
      <c r="H811" s="173"/>
      <c r="I811" s="173"/>
      <c r="J811" s="173"/>
      <c r="K811" s="173"/>
      <c r="L811" s="173"/>
      <c r="M811" s="173"/>
      <c r="N811" s="173"/>
      <c r="O811" s="173"/>
      <c r="P811" s="173"/>
      <c r="Q811" s="173"/>
      <c r="R811" s="173"/>
      <c r="S811" s="173"/>
      <c r="T811" s="173"/>
      <c r="U811" s="173"/>
      <c r="V811" s="173"/>
      <c r="W811" s="173"/>
      <c r="X811" s="173"/>
      <c r="Y811" s="173"/>
      <c r="Z811" s="173"/>
    </row>
    <row r="812">
      <c r="A812" s="173"/>
      <c r="B812" s="173"/>
      <c r="C812" s="173"/>
      <c r="D812" s="173"/>
      <c r="E812" s="173"/>
      <c r="F812" s="173"/>
      <c r="G812" s="173"/>
      <c r="H812" s="173"/>
      <c r="I812" s="173"/>
      <c r="J812" s="173"/>
      <c r="K812" s="173"/>
      <c r="L812" s="173"/>
      <c r="M812" s="173"/>
      <c r="N812" s="173"/>
      <c r="O812" s="173"/>
      <c r="P812" s="173"/>
      <c r="Q812" s="173"/>
      <c r="R812" s="173"/>
      <c r="S812" s="173"/>
      <c r="T812" s="173"/>
      <c r="U812" s="173"/>
      <c r="V812" s="173"/>
      <c r="W812" s="173"/>
      <c r="X812" s="173"/>
      <c r="Y812" s="173"/>
      <c r="Z812" s="173"/>
    </row>
    <row r="813">
      <c r="A813" s="173"/>
      <c r="B813" s="173"/>
      <c r="C813" s="173"/>
      <c r="D813" s="173"/>
      <c r="E813" s="173"/>
      <c r="F813" s="173"/>
      <c r="G813" s="173"/>
      <c r="H813" s="173"/>
      <c r="I813" s="173"/>
      <c r="J813" s="173"/>
      <c r="K813" s="173"/>
      <c r="L813" s="173"/>
      <c r="M813" s="173"/>
      <c r="N813" s="173"/>
      <c r="O813" s="173"/>
      <c r="P813" s="173"/>
      <c r="Q813" s="173"/>
      <c r="R813" s="173"/>
      <c r="S813" s="173"/>
      <c r="T813" s="173"/>
      <c r="U813" s="173"/>
      <c r="V813" s="173"/>
      <c r="W813" s="173"/>
      <c r="X813" s="173"/>
      <c r="Y813" s="173"/>
      <c r="Z813" s="173"/>
    </row>
    <row r="814">
      <c r="A814" s="173"/>
      <c r="B814" s="173"/>
      <c r="C814" s="173"/>
      <c r="D814" s="173"/>
      <c r="E814" s="173"/>
      <c r="F814" s="173"/>
      <c r="G814" s="173"/>
      <c r="H814" s="173"/>
      <c r="I814" s="173"/>
      <c r="J814" s="173"/>
      <c r="K814" s="173"/>
      <c r="L814" s="173"/>
      <c r="M814" s="173"/>
      <c r="N814" s="173"/>
      <c r="O814" s="173"/>
      <c r="P814" s="173"/>
      <c r="Q814" s="173"/>
      <c r="R814" s="173"/>
      <c r="S814" s="173"/>
      <c r="T814" s="173"/>
      <c r="U814" s="173"/>
      <c r="V814" s="173"/>
      <c r="W814" s="173"/>
      <c r="X814" s="173"/>
      <c r="Y814" s="173"/>
      <c r="Z814" s="173"/>
    </row>
    <row r="815">
      <c r="A815" s="173"/>
      <c r="B815" s="173"/>
      <c r="C815" s="173"/>
      <c r="D815" s="173"/>
      <c r="E815" s="173"/>
      <c r="F815" s="173"/>
      <c r="G815" s="173"/>
      <c r="H815" s="173"/>
      <c r="I815" s="173"/>
      <c r="J815" s="173"/>
      <c r="K815" s="173"/>
      <c r="L815" s="173"/>
      <c r="M815" s="173"/>
      <c r="N815" s="173"/>
      <c r="O815" s="173"/>
      <c r="P815" s="173"/>
      <c r="Q815" s="173"/>
      <c r="R815" s="173"/>
      <c r="S815" s="173"/>
      <c r="T815" s="173"/>
      <c r="U815" s="173"/>
      <c r="V815" s="173"/>
      <c r="W815" s="173"/>
      <c r="X815" s="173"/>
      <c r="Y815" s="173"/>
      <c r="Z815" s="173"/>
    </row>
    <row r="816">
      <c r="A816" s="173"/>
      <c r="B816" s="173"/>
      <c r="C816" s="173"/>
      <c r="D816" s="173"/>
      <c r="E816" s="173"/>
      <c r="F816" s="173"/>
      <c r="G816" s="173"/>
      <c r="H816" s="173"/>
      <c r="I816" s="173"/>
      <c r="J816" s="173"/>
      <c r="K816" s="173"/>
      <c r="L816" s="173"/>
      <c r="M816" s="173"/>
      <c r="N816" s="173"/>
      <c r="O816" s="173"/>
      <c r="P816" s="173"/>
      <c r="Q816" s="173"/>
      <c r="R816" s="173"/>
      <c r="S816" s="173"/>
      <c r="T816" s="173"/>
      <c r="U816" s="173"/>
      <c r="V816" s="173"/>
      <c r="W816" s="173"/>
      <c r="X816" s="173"/>
      <c r="Y816" s="173"/>
      <c r="Z816" s="173"/>
    </row>
    <row r="817">
      <c r="A817" s="173"/>
      <c r="B817" s="173"/>
      <c r="C817" s="173"/>
      <c r="D817" s="173"/>
      <c r="E817" s="173"/>
      <c r="F817" s="173"/>
      <c r="G817" s="173"/>
      <c r="H817" s="173"/>
      <c r="I817" s="173"/>
      <c r="J817" s="173"/>
      <c r="K817" s="173"/>
      <c r="L817" s="173"/>
      <c r="M817" s="173"/>
      <c r="N817" s="173"/>
      <c r="O817" s="173"/>
      <c r="P817" s="173"/>
      <c r="Q817" s="173"/>
      <c r="R817" s="173"/>
      <c r="S817" s="173"/>
      <c r="T817" s="173"/>
      <c r="U817" s="173"/>
      <c r="V817" s="173"/>
      <c r="W817" s="173"/>
      <c r="X817" s="173"/>
      <c r="Y817" s="173"/>
      <c r="Z817" s="173"/>
    </row>
    <row r="818">
      <c r="A818" s="173"/>
      <c r="B818" s="173"/>
      <c r="C818" s="173"/>
      <c r="D818" s="173"/>
      <c r="E818" s="173"/>
      <c r="F818" s="173"/>
      <c r="G818" s="173"/>
      <c r="H818" s="173"/>
      <c r="I818" s="173"/>
      <c r="J818" s="173"/>
      <c r="K818" s="173"/>
      <c r="L818" s="173"/>
      <c r="M818" s="173"/>
      <c r="N818" s="173"/>
      <c r="O818" s="173"/>
      <c r="P818" s="173"/>
      <c r="Q818" s="173"/>
      <c r="R818" s="173"/>
      <c r="S818" s="173"/>
      <c r="T818" s="173"/>
      <c r="U818" s="173"/>
      <c r="V818" s="173"/>
      <c r="W818" s="173"/>
      <c r="X818" s="173"/>
      <c r="Y818" s="173"/>
      <c r="Z818" s="173"/>
    </row>
    <row r="819">
      <c r="A819" s="173"/>
      <c r="B819" s="173"/>
      <c r="C819" s="173"/>
      <c r="D819" s="173"/>
      <c r="E819" s="173"/>
      <c r="F819" s="173"/>
      <c r="G819" s="173"/>
      <c r="H819" s="173"/>
      <c r="I819" s="173"/>
      <c r="J819" s="173"/>
      <c r="K819" s="173"/>
      <c r="L819" s="173"/>
      <c r="M819" s="173"/>
      <c r="N819" s="173"/>
      <c r="O819" s="173"/>
      <c r="P819" s="173"/>
      <c r="Q819" s="173"/>
      <c r="R819" s="173"/>
      <c r="S819" s="173"/>
      <c r="T819" s="173"/>
      <c r="U819" s="173"/>
      <c r="V819" s="173"/>
      <c r="W819" s="173"/>
      <c r="X819" s="173"/>
      <c r="Y819" s="173"/>
      <c r="Z819" s="173"/>
    </row>
    <row r="820">
      <c r="A820" s="173"/>
      <c r="B820" s="173"/>
      <c r="C820" s="173"/>
      <c r="D820" s="173"/>
      <c r="E820" s="173"/>
      <c r="F820" s="173"/>
      <c r="G820" s="173"/>
      <c r="H820" s="173"/>
      <c r="I820" s="173"/>
      <c r="J820" s="173"/>
      <c r="K820" s="173"/>
      <c r="L820" s="173"/>
      <c r="M820" s="173"/>
      <c r="N820" s="173"/>
      <c r="O820" s="173"/>
      <c r="P820" s="173"/>
      <c r="Q820" s="173"/>
      <c r="R820" s="173"/>
      <c r="S820" s="173"/>
      <c r="T820" s="173"/>
      <c r="U820" s="173"/>
      <c r="V820" s="173"/>
      <c r="W820" s="173"/>
      <c r="X820" s="173"/>
      <c r="Y820" s="173"/>
      <c r="Z820" s="173"/>
    </row>
    <row r="821">
      <c r="A821" s="173"/>
      <c r="B821" s="173"/>
      <c r="C821" s="173"/>
      <c r="D821" s="173"/>
      <c r="E821" s="173"/>
      <c r="F821" s="173"/>
      <c r="G821" s="173"/>
      <c r="H821" s="173"/>
      <c r="I821" s="173"/>
      <c r="J821" s="173"/>
      <c r="K821" s="173"/>
      <c r="L821" s="173"/>
      <c r="M821" s="173"/>
      <c r="N821" s="173"/>
      <c r="O821" s="173"/>
      <c r="P821" s="173"/>
      <c r="Q821" s="173"/>
      <c r="R821" s="173"/>
      <c r="S821" s="173"/>
      <c r="T821" s="173"/>
      <c r="U821" s="173"/>
      <c r="V821" s="173"/>
      <c r="W821" s="173"/>
      <c r="X821" s="173"/>
      <c r="Y821" s="173"/>
      <c r="Z821" s="173"/>
    </row>
    <row r="822">
      <c r="A822" s="173"/>
      <c r="B822" s="173"/>
      <c r="C822" s="173"/>
      <c r="D822" s="173"/>
      <c r="E822" s="173"/>
      <c r="F822" s="173"/>
      <c r="G822" s="173"/>
      <c r="H822" s="173"/>
      <c r="I822" s="173"/>
      <c r="J822" s="173"/>
      <c r="K822" s="173"/>
      <c r="L822" s="173"/>
      <c r="M822" s="173"/>
      <c r="N822" s="173"/>
      <c r="O822" s="173"/>
      <c r="P822" s="173"/>
      <c r="Q822" s="173"/>
      <c r="R822" s="173"/>
      <c r="S822" s="173"/>
      <c r="T822" s="173"/>
      <c r="U822" s="173"/>
      <c r="V822" s="173"/>
      <c r="W822" s="173"/>
      <c r="X822" s="173"/>
      <c r="Y822" s="173"/>
      <c r="Z822" s="173"/>
    </row>
    <row r="823">
      <c r="A823" s="173"/>
      <c r="B823" s="173"/>
      <c r="C823" s="173"/>
      <c r="D823" s="173"/>
      <c r="E823" s="173"/>
      <c r="F823" s="173"/>
      <c r="G823" s="173"/>
      <c r="H823" s="173"/>
      <c r="I823" s="173"/>
      <c r="J823" s="173"/>
      <c r="K823" s="173"/>
      <c r="L823" s="173"/>
      <c r="M823" s="173"/>
      <c r="N823" s="173"/>
      <c r="O823" s="173"/>
      <c r="P823" s="173"/>
      <c r="Q823" s="173"/>
      <c r="R823" s="173"/>
      <c r="S823" s="173"/>
      <c r="T823" s="173"/>
      <c r="U823" s="173"/>
      <c r="V823" s="173"/>
      <c r="W823" s="173"/>
      <c r="X823" s="173"/>
      <c r="Y823" s="173"/>
      <c r="Z823" s="173"/>
    </row>
    <row r="824">
      <c r="A824" s="173"/>
      <c r="B824" s="173"/>
      <c r="C824" s="173"/>
      <c r="D824" s="173"/>
      <c r="E824" s="173"/>
      <c r="F824" s="173"/>
      <c r="G824" s="173"/>
      <c r="H824" s="173"/>
      <c r="I824" s="173"/>
      <c r="J824" s="173"/>
      <c r="K824" s="173"/>
      <c r="L824" s="173"/>
      <c r="M824" s="173"/>
      <c r="N824" s="173"/>
      <c r="O824" s="173"/>
      <c r="P824" s="173"/>
      <c r="Q824" s="173"/>
      <c r="R824" s="173"/>
      <c r="S824" s="173"/>
      <c r="T824" s="173"/>
      <c r="U824" s="173"/>
      <c r="V824" s="173"/>
      <c r="W824" s="173"/>
      <c r="X824" s="173"/>
      <c r="Y824" s="173"/>
      <c r="Z824" s="173"/>
    </row>
    <row r="825">
      <c r="A825" s="173"/>
      <c r="B825" s="173"/>
      <c r="C825" s="173"/>
      <c r="D825" s="173"/>
      <c r="E825" s="173"/>
      <c r="F825" s="173"/>
      <c r="G825" s="173"/>
      <c r="H825" s="173"/>
      <c r="I825" s="173"/>
      <c r="J825" s="173"/>
      <c r="K825" s="173"/>
      <c r="L825" s="173"/>
      <c r="M825" s="173"/>
      <c r="N825" s="173"/>
      <c r="O825" s="173"/>
      <c r="P825" s="173"/>
      <c r="Q825" s="173"/>
      <c r="R825" s="173"/>
      <c r="S825" s="173"/>
      <c r="T825" s="173"/>
      <c r="U825" s="173"/>
      <c r="V825" s="173"/>
      <c r="W825" s="173"/>
      <c r="X825" s="173"/>
      <c r="Y825" s="173"/>
      <c r="Z825" s="173"/>
    </row>
    <row r="826">
      <c r="A826" s="173"/>
      <c r="B826" s="173"/>
      <c r="C826" s="173"/>
      <c r="D826" s="173"/>
      <c r="E826" s="173"/>
      <c r="F826" s="173"/>
      <c r="G826" s="173"/>
      <c r="H826" s="173"/>
      <c r="I826" s="173"/>
      <c r="J826" s="173"/>
      <c r="K826" s="173"/>
      <c r="L826" s="173"/>
      <c r="M826" s="173"/>
      <c r="N826" s="173"/>
      <c r="O826" s="173"/>
      <c r="P826" s="173"/>
      <c r="Q826" s="173"/>
      <c r="R826" s="173"/>
      <c r="S826" s="173"/>
      <c r="T826" s="173"/>
      <c r="U826" s="173"/>
      <c r="V826" s="173"/>
      <c r="W826" s="173"/>
      <c r="X826" s="173"/>
      <c r="Y826" s="173"/>
      <c r="Z826" s="173"/>
    </row>
    <row r="827">
      <c r="A827" s="173"/>
      <c r="B827" s="173"/>
      <c r="C827" s="173"/>
      <c r="D827" s="173"/>
      <c r="E827" s="173"/>
      <c r="F827" s="173"/>
      <c r="G827" s="173"/>
      <c r="H827" s="173"/>
      <c r="I827" s="173"/>
      <c r="J827" s="173"/>
      <c r="K827" s="173"/>
      <c r="L827" s="173"/>
      <c r="M827" s="173"/>
      <c r="N827" s="173"/>
      <c r="O827" s="173"/>
      <c r="P827" s="173"/>
      <c r="Q827" s="173"/>
      <c r="R827" s="173"/>
      <c r="S827" s="173"/>
      <c r="T827" s="173"/>
      <c r="U827" s="173"/>
      <c r="V827" s="173"/>
      <c r="W827" s="173"/>
      <c r="X827" s="173"/>
      <c r="Y827" s="173"/>
      <c r="Z827" s="173"/>
    </row>
    <row r="828">
      <c r="A828" s="173"/>
      <c r="B828" s="173"/>
      <c r="C828" s="173"/>
      <c r="D828" s="173"/>
      <c r="E828" s="173"/>
      <c r="F828" s="173"/>
      <c r="G828" s="173"/>
      <c r="H828" s="173"/>
      <c r="I828" s="173"/>
      <c r="J828" s="173"/>
      <c r="K828" s="173"/>
      <c r="L828" s="173"/>
      <c r="M828" s="173"/>
      <c r="N828" s="173"/>
      <c r="O828" s="173"/>
      <c r="P828" s="173"/>
      <c r="Q828" s="173"/>
      <c r="R828" s="173"/>
      <c r="S828" s="173"/>
      <c r="T828" s="173"/>
      <c r="U828" s="173"/>
      <c r="V828" s="173"/>
      <c r="W828" s="173"/>
      <c r="X828" s="173"/>
      <c r="Y828" s="173"/>
      <c r="Z828" s="173"/>
    </row>
    <row r="829">
      <c r="A829" s="173"/>
      <c r="B829" s="173"/>
      <c r="C829" s="173"/>
      <c r="D829" s="173"/>
      <c r="E829" s="173"/>
      <c r="F829" s="173"/>
      <c r="G829" s="173"/>
      <c r="H829" s="173"/>
      <c r="I829" s="173"/>
      <c r="J829" s="173"/>
      <c r="K829" s="173"/>
      <c r="L829" s="173"/>
      <c r="M829" s="173"/>
      <c r="N829" s="173"/>
      <c r="O829" s="173"/>
      <c r="P829" s="173"/>
      <c r="Q829" s="173"/>
      <c r="R829" s="173"/>
      <c r="S829" s="173"/>
      <c r="T829" s="173"/>
      <c r="U829" s="173"/>
      <c r="V829" s="173"/>
      <c r="W829" s="173"/>
      <c r="X829" s="173"/>
      <c r="Y829" s="173"/>
      <c r="Z829" s="173"/>
    </row>
    <row r="830">
      <c r="A830" s="173"/>
      <c r="B830" s="173"/>
      <c r="C830" s="173"/>
      <c r="D830" s="173"/>
      <c r="E830" s="173"/>
      <c r="F830" s="173"/>
      <c r="G830" s="173"/>
      <c r="H830" s="173"/>
      <c r="I830" s="173"/>
      <c r="J830" s="173"/>
      <c r="K830" s="173"/>
      <c r="L830" s="173"/>
      <c r="M830" s="173"/>
      <c r="N830" s="173"/>
      <c r="O830" s="173"/>
      <c r="P830" s="173"/>
      <c r="Q830" s="173"/>
      <c r="R830" s="173"/>
      <c r="S830" s="173"/>
      <c r="T830" s="173"/>
      <c r="U830" s="173"/>
      <c r="V830" s="173"/>
      <c r="W830" s="173"/>
      <c r="X830" s="173"/>
      <c r="Y830" s="173"/>
      <c r="Z830" s="173"/>
    </row>
    <row r="831">
      <c r="A831" s="173"/>
      <c r="B831" s="173"/>
      <c r="C831" s="173"/>
      <c r="D831" s="173"/>
      <c r="E831" s="173"/>
      <c r="F831" s="173"/>
      <c r="G831" s="173"/>
      <c r="H831" s="173"/>
      <c r="I831" s="173"/>
      <c r="J831" s="173"/>
      <c r="K831" s="173"/>
      <c r="L831" s="173"/>
      <c r="M831" s="173"/>
      <c r="N831" s="173"/>
      <c r="O831" s="173"/>
      <c r="P831" s="173"/>
      <c r="Q831" s="173"/>
      <c r="R831" s="173"/>
      <c r="S831" s="173"/>
      <c r="T831" s="173"/>
      <c r="U831" s="173"/>
      <c r="V831" s="173"/>
      <c r="W831" s="173"/>
      <c r="X831" s="173"/>
      <c r="Y831" s="173"/>
      <c r="Z831" s="173"/>
    </row>
    <row r="832">
      <c r="A832" s="173"/>
      <c r="B832" s="173"/>
      <c r="C832" s="173"/>
      <c r="D832" s="173"/>
      <c r="E832" s="173"/>
      <c r="F832" s="173"/>
      <c r="G832" s="173"/>
      <c r="H832" s="173"/>
      <c r="I832" s="173"/>
      <c r="J832" s="173"/>
      <c r="K832" s="173"/>
      <c r="L832" s="173"/>
      <c r="M832" s="173"/>
      <c r="N832" s="173"/>
      <c r="O832" s="173"/>
      <c r="P832" s="173"/>
      <c r="Q832" s="173"/>
      <c r="R832" s="173"/>
      <c r="S832" s="173"/>
      <c r="T832" s="173"/>
      <c r="U832" s="173"/>
      <c r="V832" s="173"/>
      <c r="W832" s="173"/>
      <c r="X832" s="173"/>
      <c r="Y832" s="173"/>
      <c r="Z832" s="173"/>
    </row>
    <row r="833">
      <c r="A833" s="173"/>
      <c r="B833" s="173"/>
      <c r="C833" s="173"/>
      <c r="D833" s="173"/>
      <c r="E833" s="173"/>
      <c r="F833" s="173"/>
      <c r="G833" s="173"/>
      <c r="H833" s="173"/>
      <c r="I833" s="173"/>
      <c r="J833" s="173"/>
      <c r="K833" s="173"/>
      <c r="L833" s="173"/>
      <c r="M833" s="173"/>
      <c r="N833" s="173"/>
      <c r="O833" s="173"/>
      <c r="P833" s="173"/>
      <c r="Q833" s="173"/>
      <c r="R833" s="173"/>
      <c r="S833" s="173"/>
      <c r="T833" s="173"/>
      <c r="U833" s="173"/>
      <c r="V833" s="173"/>
      <c r="W833" s="173"/>
      <c r="X833" s="173"/>
      <c r="Y833" s="173"/>
      <c r="Z833" s="173"/>
    </row>
    <row r="834">
      <c r="A834" s="173"/>
      <c r="B834" s="173"/>
      <c r="C834" s="173"/>
      <c r="D834" s="173"/>
      <c r="E834" s="173"/>
      <c r="F834" s="173"/>
      <c r="G834" s="173"/>
      <c r="H834" s="173"/>
      <c r="I834" s="173"/>
      <c r="J834" s="173"/>
      <c r="K834" s="173"/>
      <c r="L834" s="173"/>
      <c r="M834" s="173"/>
      <c r="N834" s="173"/>
      <c r="O834" s="173"/>
      <c r="P834" s="173"/>
      <c r="Q834" s="173"/>
      <c r="R834" s="173"/>
      <c r="S834" s="173"/>
      <c r="T834" s="173"/>
      <c r="U834" s="173"/>
      <c r="V834" s="173"/>
      <c r="W834" s="173"/>
      <c r="X834" s="173"/>
      <c r="Y834" s="173"/>
      <c r="Z834" s="173"/>
    </row>
    <row r="835">
      <c r="A835" s="173"/>
      <c r="B835" s="173"/>
      <c r="C835" s="173"/>
      <c r="D835" s="173"/>
      <c r="E835" s="173"/>
      <c r="F835" s="173"/>
      <c r="G835" s="173"/>
      <c r="H835" s="173"/>
      <c r="I835" s="173"/>
      <c r="J835" s="173"/>
      <c r="K835" s="173"/>
      <c r="L835" s="173"/>
      <c r="M835" s="173"/>
      <c r="N835" s="173"/>
      <c r="O835" s="173"/>
      <c r="P835" s="173"/>
      <c r="Q835" s="173"/>
      <c r="R835" s="173"/>
      <c r="S835" s="173"/>
      <c r="T835" s="173"/>
      <c r="U835" s="173"/>
      <c r="V835" s="173"/>
      <c r="W835" s="173"/>
      <c r="X835" s="173"/>
      <c r="Y835" s="173"/>
      <c r="Z835" s="173"/>
    </row>
    <row r="836">
      <c r="A836" s="173"/>
      <c r="B836" s="173"/>
      <c r="C836" s="173"/>
      <c r="D836" s="173"/>
      <c r="E836" s="173"/>
      <c r="F836" s="173"/>
      <c r="G836" s="173"/>
      <c r="H836" s="173"/>
      <c r="I836" s="173"/>
      <c r="J836" s="173"/>
      <c r="K836" s="173"/>
      <c r="L836" s="173"/>
      <c r="M836" s="173"/>
      <c r="N836" s="173"/>
      <c r="O836" s="173"/>
      <c r="P836" s="173"/>
      <c r="Q836" s="173"/>
      <c r="R836" s="173"/>
      <c r="S836" s="173"/>
      <c r="T836" s="173"/>
      <c r="U836" s="173"/>
      <c r="V836" s="173"/>
      <c r="W836" s="173"/>
      <c r="X836" s="173"/>
      <c r="Y836" s="173"/>
      <c r="Z836" s="173"/>
    </row>
    <row r="837">
      <c r="A837" s="173"/>
      <c r="B837" s="173"/>
      <c r="C837" s="173"/>
      <c r="D837" s="173"/>
      <c r="E837" s="173"/>
      <c r="F837" s="173"/>
      <c r="G837" s="173"/>
      <c r="H837" s="173"/>
      <c r="I837" s="173"/>
      <c r="J837" s="173"/>
      <c r="K837" s="173"/>
      <c r="L837" s="173"/>
      <c r="M837" s="173"/>
      <c r="N837" s="173"/>
      <c r="O837" s="173"/>
      <c r="P837" s="173"/>
      <c r="Q837" s="173"/>
      <c r="R837" s="173"/>
      <c r="S837" s="173"/>
      <c r="T837" s="173"/>
      <c r="U837" s="173"/>
      <c r="V837" s="173"/>
      <c r="W837" s="173"/>
      <c r="X837" s="173"/>
      <c r="Y837" s="173"/>
      <c r="Z837" s="173"/>
    </row>
    <row r="838">
      <c r="A838" s="173"/>
      <c r="B838" s="173"/>
      <c r="C838" s="173"/>
      <c r="D838" s="173"/>
      <c r="E838" s="173"/>
      <c r="F838" s="173"/>
      <c r="G838" s="173"/>
      <c r="H838" s="173"/>
      <c r="I838" s="173"/>
      <c r="J838" s="173"/>
      <c r="K838" s="173"/>
      <c r="L838" s="173"/>
      <c r="M838" s="173"/>
      <c r="N838" s="173"/>
      <c r="O838" s="173"/>
      <c r="P838" s="173"/>
      <c r="Q838" s="173"/>
      <c r="R838" s="173"/>
      <c r="S838" s="173"/>
      <c r="T838" s="173"/>
      <c r="U838" s="173"/>
      <c r="V838" s="173"/>
      <c r="W838" s="173"/>
      <c r="X838" s="173"/>
      <c r="Y838" s="173"/>
      <c r="Z838" s="173"/>
    </row>
    <row r="839">
      <c r="A839" s="173"/>
      <c r="B839" s="173"/>
      <c r="C839" s="173"/>
      <c r="D839" s="173"/>
      <c r="E839" s="173"/>
      <c r="F839" s="173"/>
      <c r="G839" s="173"/>
      <c r="H839" s="173"/>
      <c r="I839" s="173"/>
      <c r="J839" s="173"/>
      <c r="K839" s="173"/>
      <c r="L839" s="173"/>
      <c r="M839" s="173"/>
      <c r="N839" s="173"/>
      <c r="O839" s="173"/>
      <c r="P839" s="173"/>
      <c r="Q839" s="173"/>
      <c r="R839" s="173"/>
      <c r="S839" s="173"/>
      <c r="T839" s="173"/>
      <c r="U839" s="173"/>
      <c r="V839" s="173"/>
      <c r="W839" s="173"/>
      <c r="X839" s="173"/>
      <c r="Y839" s="173"/>
      <c r="Z839" s="173"/>
    </row>
    <row r="840">
      <c r="A840" s="173"/>
      <c r="B840" s="173"/>
      <c r="C840" s="173"/>
      <c r="D840" s="173"/>
      <c r="E840" s="173"/>
      <c r="F840" s="173"/>
      <c r="G840" s="173"/>
      <c r="H840" s="173"/>
      <c r="I840" s="173"/>
      <c r="J840" s="173"/>
      <c r="K840" s="173"/>
      <c r="L840" s="173"/>
      <c r="M840" s="173"/>
      <c r="N840" s="173"/>
      <c r="O840" s="173"/>
      <c r="P840" s="173"/>
      <c r="Q840" s="173"/>
      <c r="R840" s="173"/>
      <c r="S840" s="173"/>
      <c r="T840" s="173"/>
      <c r="U840" s="173"/>
      <c r="V840" s="173"/>
      <c r="W840" s="173"/>
      <c r="X840" s="173"/>
      <c r="Y840" s="173"/>
      <c r="Z840" s="173"/>
    </row>
    <row r="841">
      <c r="A841" s="173"/>
      <c r="B841" s="173"/>
      <c r="C841" s="173"/>
      <c r="D841" s="173"/>
      <c r="E841" s="173"/>
      <c r="F841" s="173"/>
      <c r="G841" s="173"/>
      <c r="H841" s="173"/>
      <c r="I841" s="173"/>
      <c r="J841" s="173"/>
      <c r="K841" s="173"/>
      <c r="L841" s="173"/>
      <c r="M841" s="173"/>
      <c r="N841" s="173"/>
      <c r="O841" s="173"/>
      <c r="P841" s="173"/>
      <c r="Q841" s="173"/>
      <c r="R841" s="173"/>
      <c r="S841" s="173"/>
      <c r="T841" s="173"/>
      <c r="U841" s="173"/>
      <c r="V841" s="173"/>
      <c r="W841" s="173"/>
      <c r="X841" s="173"/>
      <c r="Y841" s="173"/>
      <c r="Z841" s="173"/>
    </row>
    <row r="842">
      <c r="A842" s="173"/>
      <c r="B842" s="173"/>
      <c r="C842" s="173"/>
      <c r="D842" s="173"/>
      <c r="E842" s="173"/>
      <c r="F842" s="173"/>
      <c r="G842" s="173"/>
      <c r="H842" s="173"/>
      <c r="I842" s="173"/>
      <c r="J842" s="173"/>
      <c r="K842" s="173"/>
      <c r="L842" s="173"/>
      <c r="M842" s="173"/>
      <c r="N842" s="173"/>
      <c r="O842" s="173"/>
      <c r="P842" s="173"/>
      <c r="Q842" s="173"/>
      <c r="R842" s="173"/>
      <c r="S842" s="173"/>
      <c r="T842" s="173"/>
      <c r="U842" s="173"/>
      <c r="V842" s="173"/>
      <c r="W842" s="173"/>
      <c r="X842" s="173"/>
      <c r="Y842" s="173"/>
      <c r="Z842" s="173"/>
    </row>
    <row r="843">
      <c r="A843" s="173"/>
      <c r="B843" s="173"/>
      <c r="C843" s="173"/>
      <c r="D843" s="173"/>
      <c r="E843" s="173"/>
      <c r="F843" s="173"/>
      <c r="G843" s="173"/>
      <c r="H843" s="173"/>
      <c r="I843" s="173"/>
      <c r="J843" s="173"/>
      <c r="K843" s="173"/>
      <c r="L843" s="173"/>
      <c r="M843" s="173"/>
      <c r="N843" s="173"/>
      <c r="O843" s="173"/>
      <c r="P843" s="173"/>
      <c r="Q843" s="173"/>
      <c r="R843" s="173"/>
      <c r="S843" s="173"/>
      <c r="T843" s="173"/>
      <c r="U843" s="173"/>
      <c r="V843" s="173"/>
      <c r="W843" s="173"/>
      <c r="X843" s="173"/>
      <c r="Y843" s="173"/>
      <c r="Z843" s="173"/>
    </row>
    <row r="844">
      <c r="A844" s="173"/>
      <c r="B844" s="173"/>
      <c r="C844" s="173"/>
      <c r="D844" s="173"/>
      <c r="E844" s="173"/>
      <c r="F844" s="173"/>
      <c r="G844" s="173"/>
      <c r="H844" s="173"/>
      <c r="I844" s="173"/>
      <c r="J844" s="173"/>
      <c r="K844" s="173"/>
      <c r="L844" s="173"/>
      <c r="M844" s="173"/>
      <c r="N844" s="173"/>
      <c r="O844" s="173"/>
      <c r="P844" s="173"/>
      <c r="Q844" s="173"/>
      <c r="R844" s="173"/>
      <c r="S844" s="173"/>
      <c r="T844" s="173"/>
      <c r="U844" s="173"/>
      <c r="V844" s="173"/>
      <c r="W844" s="173"/>
      <c r="X844" s="173"/>
      <c r="Y844" s="173"/>
      <c r="Z844" s="173"/>
    </row>
    <row r="845">
      <c r="A845" s="173"/>
      <c r="B845" s="173"/>
      <c r="C845" s="173"/>
      <c r="D845" s="173"/>
      <c r="E845" s="173"/>
      <c r="F845" s="173"/>
      <c r="G845" s="173"/>
      <c r="H845" s="173"/>
      <c r="I845" s="173"/>
      <c r="J845" s="173"/>
      <c r="K845" s="173"/>
      <c r="L845" s="173"/>
      <c r="M845" s="173"/>
      <c r="N845" s="173"/>
      <c r="O845" s="173"/>
      <c r="P845" s="173"/>
      <c r="Q845" s="173"/>
      <c r="R845" s="173"/>
      <c r="S845" s="173"/>
      <c r="T845" s="173"/>
      <c r="U845" s="173"/>
      <c r="V845" s="173"/>
      <c r="W845" s="173"/>
      <c r="X845" s="173"/>
      <c r="Y845" s="173"/>
      <c r="Z845" s="173"/>
    </row>
    <row r="846">
      <c r="A846" s="173"/>
      <c r="B846" s="173"/>
      <c r="C846" s="173"/>
      <c r="D846" s="173"/>
      <c r="E846" s="173"/>
      <c r="F846" s="173"/>
      <c r="G846" s="173"/>
      <c r="H846" s="173"/>
      <c r="I846" s="173"/>
      <c r="J846" s="173"/>
      <c r="K846" s="173"/>
      <c r="L846" s="173"/>
      <c r="M846" s="173"/>
      <c r="N846" s="173"/>
      <c r="O846" s="173"/>
      <c r="P846" s="173"/>
      <c r="Q846" s="173"/>
      <c r="R846" s="173"/>
      <c r="S846" s="173"/>
      <c r="T846" s="173"/>
      <c r="U846" s="173"/>
      <c r="V846" s="173"/>
      <c r="W846" s="173"/>
      <c r="X846" s="173"/>
      <c r="Y846" s="173"/>
      <c r="Z846" s="173"/>
    </row>
    <row r="847">
      <c r="A847" s="173"/>
      <c r="B847" s="173"/>
      <c r="C847" s="173"/>
      <c r="D847" s="173"/>
      <c r="E847" s="173"/>
      <c r="F847" s="173"/>
      <c r="G847" s="173"/>
      <c r="H847" s="173"/>
      <c r="I847" s="173"/>
      <c r="J847" s="173"/>
      <c r="K847" s="173"/>
      <c r="L847" s="173"/>
      <c r="M847" s="173"/>
      <c r="N847" s="173"/>
      <c r="O847" s="173"/>
      <c r="P847" s="173"/>
      <c r="Q847" s="173"/>
      <c r="R847" s="173"/>
      <c r="S847" s="173"/>
      <c r="T847" s="173"/>
      <c r="U847" s="173"/>
      <c r="V847" s="173"/>
      <c r="W847" s="173"/>
      <c r="X847" s="173"/>
      <c r="Y847" s="173"/>
      <c r="Z847" s="173"/>
    </row>
    <row r="848">
      <c r="A848" s="173"/>
      <c r="B848" s="173"/>
      <c r="C848" s="173"/>
      <c r="D848" s="173"/>
      <c r="E848" s="173"/>
      <c r="F848" s="173"/>
      <c r="G848" s="173"/>
      <c r="H848" s="173"/>
      <c r="I848" s="173"/>
      <c r="J848" s="173"/>
      <c r="K848" s="173"/>
      <c r="L848" s="173"/>
      <c r="M848" s="173"/>
      <c r="N848" s="173"/>
      <c r="O848" s="173"/>
      <c r="P848" s="173"/>
      <c r="Q848" s="173"/>
      <c r="R848" s="173"/>
      <c r="S848" s="173"/>
      <c r="T848" s="173"/>
      <c r="U848" s="173"/>
      <c r="V848" s="173"/>
      <c r="W848" s="173"/>
      <c r="X848" s="173"/>
      <c r="Y848" s="173"/>
      <c r="Z848" s="173"/>
    </row>
    <row r="849">
      <c r="A849" s="173"/>
      <c r="B849" s="173"/>
      <c r="C849" s="173"/>
      <c r="D849" s="173"/>
      <c r="E849" s="173"/>
      <c r="F849" s="173"/>
      <c r="G849" s="173"/>
      <c r="H849" s="173"/>
      <c r="I849" s="173"/>
      <c r="J849" s="173"/>
      <c r="K849" s="173"/>
      <c r="L849" s="173"/>
      <c r="M849" s="173"/>
      <c r="N849" s="173"/>
      <c r="O849" s="173"/>
      <c r="P849" s="173"/>
      <c r="Q849" s="173"/>
      <c r="R849" s="173"/>
      <c r="S849" s="173"/>
      <c r="T849" s="173"/>
      <c r="U849" s="173"/>
      <c r="V849" s="173"/>
      <c r="W849" s="173"/>
      <c r="X849" s="173"/>
      <c r="Y849" s="173"/>
      <c r="Z849" s="173"/>
    </row>
    <row r="850">
      <c r="A850" s="173"/>
      <c r="B850" s="173"/>
      <c r="C850" s="173"/>
      <c r="D850" s="173"/>
      <c r="E850" s="173"/>
      <c r="F850" s="173"/>
      <c r="G850" s="173"/>
      <c r="H850" s="173"/>
      <c r="I850" s="173"/>
      <c r="J850" s="173"/>
      <c r="K850" s="173"/>
      <c r="L850" s="173"/>
      <c r="M850" s="173"/>
      <c r="N850" s="173"/>
      <c r="O850" s="173"/>
      <c r="P850" s="173"/>
      <c r="Q850" s="173"/>
      <c r="R850" s="173"/>
      <c r="S850" s="173"/>
      <c r="T850" s="173"/>
      <c r="U850" s="173"/>
      <c r="V850" s="173"/>
      <c r="W850" s="173"/>
      <c r="X850" s="173"/>
      <c r="Y850" s="173"/>
      <c r="Z850" s="173"/>
    </row>
    <row r="851">
      <c r="A851" s="173"/>
      <c r="B851" s="173"/>
      <c r="C851" s="173"/>
      <c r="D851" s="173"/>
      <c r="E851" s="173"/>
      <c r="F851" s="173"/>
      <c r="G851" s="173"/>
      <c r="H851" s="173"/>
      <c r="I851" s="173"/>
      <c r="J851" s="173"/>
      <c r="K851" s="173"/>
      <c r="L851" s="173"/>
      <c r="M851" s="173"/>
      <c r="N851" s="173"/>
      <c r="O851" s="173"/>
      <c r="P851" s="173"/>
      <c r="Q851" s="173"/>
      <c r="R851" s="173"/>
      <c r="S851" s="173"/>
      <c r="T851" s="173"/>
      <c r="U851" s="173"/>
      <c r="V851" s="173"/>
      <c r="W851" s="173"/>
      <c r="X851" s="173"/>
      <c r="Y851" s="173"/>
      <c r="Z851" s="173"/>
    </row>
    <row r="852">
      <c r="A852" s="173"/>
      <c r="B852" s="173"/>
      <c r="C852" s="173"/>
      <c r="D852" s="173"/>
      <c r="E852" s="173"/>
      <c r="F852" s="173"/>
      <c r="G852" s="173"/>
      <c r="H852" s="173"/>
      <c r="I852" s="173"/>
      <c r="J852" s="173"/>
      <c r="K852" s="173"/>
      <c r="L852" s="173"/>
      <c r="M852" s="173"/>
      <c r="N852" s="173"/>
      <c r="O852" s="173"/>
      <c r="P852" s="173"/>
      <c r="Q852" s="173"/>
      <c r="R852" s="173"/>
      <c r="S852" s="173"/>
      <c r="T852" s="173"/>
      <c r="U852" s="173"/>
      <c r="V852" s="173"/>
      <c r="W852" s="173"/>
      <c r="X852" s="173"/>
      <c r="Y852" s="173"/>
      <c r="Z852" s="173"/>
    </row>
    <row r="853">
      <c r="A853" s="173"/>
      <c r="B853" s="173"/>
      <c r="C853" s="173"/>
      <c r="D853" s="173"/>
      <c r="E853" s="173"/>
      <c r="F853" s="173"/>
      <c r="G853" s="173"/>
      <c r="H853" s="173"/>
      <c r="I853" s="173"/>
      <c r="J853" s="173"/>
      <c r="K853" s="173"/>
      <c r="L853" s="173"/>
      <c r="M853" s="173"/>
      <c r="N853" s="173"/>
      <c r="O853" s="173"/>
      <c r="P853" s="173"/>
      <c r="Q853" s="173"/>
      <c r="R853" s="173"/>
      <c r="S853" s="173"/>
      <c r="T853" s="173"/>
      <c r="U853" s="173"/>
      <c r="V853" s="173"/>
      <c r="W853" s="173"/>
      <c r="X853" s="173"/>
      <c r="Y853" s="173"/>
      <c r="Z853" s="173"/>
    </row>
    <row r="854">
      <c r="A854" s="173"/>
      <c r="B854" s="173"/>
      <c r="C854" s="173"/>
      <c r="D854" s="173"/>
      <c r="E854" s="173"/>
      <c r="F854" s="173"/>
      <c r="G854" s="173"/>
      <c r="H854" s="173"/>
      <c r="I854" s="173"/>
      <c r="J854" s="173"/>
      <c r="K854" s="173"/>
      <c r="L854" s="173"/>
      <c r="M854" s="173"/>
      <c r="N854" s="173"/>
      <c r="O854" s="173"/>
      <c r="P854" s="173"/>
      <c r="Q854" s="173"/>
      <c r="R854" s="173"/>
      <c r="S854" s="173"/>
      <c r="T854" s="173"/>
      <c r="U854" s="173"/>
      <c r="V854" s="173"/>
      <c r="W854" s="173"/>
      <c r="X854" s="173"/>
      <c r="Y854" s="173"/>
      <c r="Z854" s="173"/>
    </row>
    <row r="855">
      <c r="A855" s="173"/>
      <c r="B855" s="173"/>
      <c r="C855" s="173"/>
      <c r="D855" s="173"/>
      <c r="E855" s="173"/>
      <c r="F855" s="173"/>
      <c r="G855" s="173"/>
      <c r="H855" s="173"/>
      <c r="I855" s="173"/>
      <c r="J855" s="173"/>
      <c r="K855" s="173"/>
      <c r="L855" s="173"/>
      <c r="M855" s="173"/>
      <c r="N855" s="173"/>
      <c r="O855" s="173"/>
      <c r="P855" s="173"/>
      <c r="Q855" s="173"/>
      <c r="R855" s="173"/>
      <c r="S855" s="173"/>
      <c r="T855" s="173"/>
      <c r="U855" s="173"/>
      <c r="V855" s="173"/>
      <c r="W855" s="173"/>
      <c r="X855" s="173"/>
      <c r="Y855" s="173"/>
      <c r="Z855" s="173"/>
    </row>
    <row r="856">
      <c r="A856" s="173"/>
      <c r="B856" s="173"/>
      <c r="C856" s="173"/>
      <c r="D856" s="173"/>
      <c r="E856" s="173"/>
      <c r="F856" s="173"/>
      <c r="G856" s="173"/>
      <c r="H856" s="173"/>
      <c r="I856" s="173"/>
      <c r="J856" s="173"/>
      <c r="K856" s="173"/>
      <c r="L856" s="173"/>
      <c r="M856" s="173"/>
      <c r="N856" s="173"/>
      <c r="O856" s="173"/>
      <c r="P856" s="173"/>
      <c r="Q856" s="173"/>
      <c r="R856" s="173"/>
      <c r="S856" s="173"/>
      <c r="T856" s="173"/>
      <c r="U856" s="173"/>
      <c r="V856" s="173"/>
      <c r="W856" s="173"/>
      <c r="X856" s="173"/>
      <c r="Y856" s="173"/>
      <c r="Z856" s="173"/>
    </row>
    <row r="857">
      <c r="A857" s="173"/>
      <c r="B857" s="173"/>
      <c r="C857" s="173"/>
      <c r="D857" s="173"/>
      <c r="E857" s="173"/>
      <c r="F857" s="173"/>
      <c r="G857" s="173"/>
      <c r="H857" s="173"/>
      <c r="I857" s="173"/>
      <c r="J857" s="173"/>
      <c r="K857" s="173"/>
      <c r="L857" s="173"/>
      <c r="M857" s="173"/>
      <c r="N857" s="173"/>
      <c r="O857" s="173"/>
      <c r="P857" s="173"/>
      <c r="Q857" s="173"/>
      <c r="R857" s="173"/>
      <c r="S857" s="173"/>
      <c r="T857" s="173"/>
      <c r="U857" s="173"/>
      <c r="V857" s="173"/>
      <c r="W857" s="173"/>
      <c r="X857" s="173"/>
      <c r="Y857" s="173"/>
      <c r="Z857" s="173"/>
    </row>
    <row r="858">
      <c r="A858" s="173"/>
      <c r="B858" s="173"/>
      <c r="C858" s="173"/>
      <c r="D858" s="173"/>
      <c r="E858" s="173"/>
      <c r="F858" s="173"/>
      <c r="G858" s="173"/>
      <c r="H858" s="173"/>
      <c r="I858" s="173"/>
      <c r="J858" s="173"/>
      <c r="K858" s="173"/>
      <c r="L858" s="173"/>
      <c r="M858" s="173"/>
      <c r="N858" s="173"/>
      <c r="O858" s="173"/>
      <c r="P858" s="173"/>
      <c r="Q858" s="173"/>
      <c r="R858" s="173"/>
      <c r="S858" s="173"/>
      <c r="T858" s="173"/>
      <c r="U858" s="173"/>
      <c r="V858" s="173"/>
      <c r="W858" s="173"/>
      <c r="X858" s="173"/>
      <c r="Y858" s="173"/>
      <c r="Z858" s="173"/>
    </row>
    <row r="859">
      <c r="A859" s="173"/>
      <c r="B859" s="173"/>
      <c r="C859" s="173"/>
      <c r="D859" s="173"/>
      <c r="E859" s="173"/>
      <c r="F859" s="173"/>
      <c r="G859" s="173"/>
      <c r="H859" s="173"/>
      <c r="I859" s="173"/>
      <c r="J859" s="173"/>
      <c r="K859" s="173"/>
      <c r="L859" s="173"/>
      <c r="M859" s="173"/>
      <c r="N859" s="173"/>
      <c r="O859" s="173"/>
      <c r="P859" s="173"/>
      <c r="Q859" s="173"/>
      <c r="R859" s="173"/>
      <c r="S859" s="173"/>
      <c r="T859" s="173"/>
      <c r="U859" s="173"/>
      <c r="V859" s="173"/>
      <c r="W859" s="173"/>
      <c r="X859" s="173"/>
      <c r="Y859" s="173"/>
      <c r="Z859" s="173"/>
    </row>
    <row r="860">
      <c r="A860" s="173"/>
      <c r="B860" s="173"/>
      <c r="C860" s="173"/>
      <c r="D860" s="173"/>
      <c r="E860" s="173"/>
      <c r="F860" s="173"/>
      <c r="G860" s="173"/>
      <c r="H860" s="173"/>
      <c r="I860" s="173"/>
      <c r="J860" s="173"/>
      <c r="K860" s="173"/>
      <c r="L860" s="173"/>
      <c r="M860" s="173"/>
      <c r="N860" s="173"/>
      <c r="O860" s="173"/>
      <c r="P860" s="173"/>
      <c r="Q860" s="173"/>
      <c r="R860" s="173"/>
      <c r="S860" s="173"/>
      <c r="T860" s="173"/>
      <c r="U860" s="173"/>
      <c r="V860" s="173"/>
      <c r="W860" s="173"/>
      <c r="X860" s="173"/>
      <c r="Y860" s="173"/>
      <c r="Z860" s="173"/>
    </row>
    <row r="861">
      <c r="A861" s="173"/>
      <c r="B861" s="173"/>
      <c r="C861" s="173"/>
      <c r="D861" s="173"/>
      <c r="E861" s="173"/>
      <c r="F861" s="173"/>
      <c r="G861" s="173"/>
      <c r="H861" s="173"/>
      <c r="I861" s="173"/>
      <c r="J861" s="173"/>
      <c r="K861" s="173"/>
      <c r="L861" s="173"/>
      <c r="M861" s="173"/>
      <c r="N861" s="173"/>
      <c r="O861" s="173"/>
      <c r="P861" s="173"/>
      <c r="Q861" s="173"/>
      <c r="R861" s="173"/>
      <c r="S861" s="173"/>
      <c r="T861" s="173"/>
      <c r="U861" s="173"/>
      <c r="V861" s="173"/>
      <c r="W861" s="173"/>
      <c r="X861" s="173"/>
      <c r="Y861" s="173"/>
      <c r="Z861" s="173"/>
    </row>
    <row r="862">
      <c r="A862" s="173"/>
      <c r="B862" s="173"/>
      <c r="C862" s="173"/>
      <c r="D862" s="173"/>
      <c r="E862" s="173"/>
      <c r="F862" s="173"/>
      <c r="G862" s="173"/>
      <c r="H862" s="173"/>
      <c r="I862" s="173"/>
      <c r="J862" s="173"/>
      <c r="K862" s="173"/>
      <c r="L862" s="173"/>
      <c r="M862" s="173"/>
      <c r="N862" s="173"/>
      <c r="O862" s="173"/>
      <c r="P862" s="173"/>
      <c r="Q862" s="173"/>
      <c r="R862" s="173"/>
      <c r="S862" s="173"/>
      <c r="T862" s="173"/>
      <c r="U862" s="173"/>
      <c r="V862" s="173"/>
      <c r="W862" s="173"/>
      <c r="X862" s="173"/>
      <c r="Y862" s="173"/>
      <c r="Z862" s="173"/>
    </row>
    <row r="863">
      <c r="A863" s="173"/>
      <c r="B863" s="173"/>
      <c r="C863" s="173"/>
      <c r="D863" s="173"/>
      <c r="E863" s="173"/>
      <c r="F863" s="173"/>
      <c r="G863" s="173"/>
      <c r="H863" s="173"/>
      <c r="I863" s="173"/>
      <c r="J863" s="173"/>
      <c r="K863" s="173"/>
      <c r="L863" s="173"/>
      <c r="M863" s="173"/>
      <c r="N863" s="173"/>
      <c r="O863" s="173"/>
      <c r="P863" s="173"/>
      <c r="Q863" s="173"/>
      <c r="R863" s="173"/>
      <c r="S863" s="173"/>
      <c r="T863" s="173"/>
      <c r="U863" s="173"/>
      <c r="V863" s="173"/>
      <c r="W863" s="173"/>
      <c r="X863" s="173"/>
      <c r="Y863" s="173"/>
      <c r="Z863" s="173"/>
    </row>
    <row r="864">
      <c r="A864" s="173"/>
      <c r="B864" s="173"/>
      <c r="C864" s="173"/>
      <c r="D864" s="173"/>
      <c r="E864" s="173"/>
      <c r="F864" s="173"/>
      <c r="G864" s="173"/>
      <c r="H864" s="173"/>
      <c r="I864" s="173"/>
      <c r="J864" s="173"/>
      <c r="K864" s="173"/>
      <c r="L864" s="173"/>
      <c r="M864" s="173"/>
      <c r="N864" s="173"/>
      <c r="O864" s="173"/>
      <c r="P864" s="173"/>
      <c r="Q864" s="173"/>
      <c r="R864" s="173"/>
      <c r="S864" s="173"/>
      <c r="T864" s="173"/>
      <c r="U864" s="173"/>
      <c r="V864" s="173"/>
      <c r="W864" s="173"/>
      <c r="X864" s="173"/>
      <c r="Y864" s="173"/>
      <c r="Z864" s="173"/>
    </row>
    <row r="865">
      <c r="A865" s="173"/>
      <c r="B865" s="173"/>
      <c r="C865" s="173"/>
      <c r="D865" s="173"/>
      <c r="E865" s="173"/>
      <c r="F865" s="173"/>
      <c r="G865" s="173"/>
      <c r="H865" s="173"/>
      <c r="I865" s="173"/>
      <c r="J865" s="173"/>
      <c r="K865" s="173"/>
      <c r="L865" s="173"/>
      <c r="M865" s="173"/>
      <c r="N865" s="173"/>
      <c r="O865" s="173"/>
      <c r="P865" s="173"/>
      <c r="Q865" s="173"/>
      <c r="R865" s="173"/>
      <c r="S865" s="173"/>
      <c r="T865" s="173"/>
      <c r="U865" s="173"/>
      <c r="V865" s="173"/>
      <c r="W865" s="173"/>
      <c r="X865" s="173"/>
      <c r="Y865" s="173"/>
      <c r="Z865" s="173"/>
    </row>
    <row r="866">
      <c r="A866" s="173"/>
      <c r="B866" s="173"/>
      <c r="C866" s="173"/>
      <c r="D866" s="173"/>
      <c r="E866" s="173"/>
      <c r="F866" s="173"/>
      <c r="G866" s="173"/>
      <c r="H866" s="173"/>
      <c r="I866" s="173"/>
      <c r="J866" s="173"/>
      <c r="K866" s="173"/>
      <c r="L866" s="173"/>
      <c r="M866" s="173"/>
      <c r="N866" s="173"/>
      <c r="O866" s="173"/>
      <c r="P866" s="173"/>
      <c r="Q866" s="173"/>
      <c r="R866" s="173"/>
      <c r="S866" s="173"/>
      <c r="T866" s="173"/>
      <c r="U866" s="173"/>
      <c r="V866" s="173"/>
      <c r="W866" s="173"/>
      <c r="X866" s="173"/>
      <c r="Y866" s="173"/>
      <c r="Z866" s="173"/>
    </row>
    <row r="867">
      <c r="A867" s="173"/>
      <c r="B867" s="173"/>
      <c r="C867" s="173"/>
      <c r="D867" s="173"/>
      <c r="E867" s="173"/>
      <c r="F867" s="173"/>
      <c r="G867" s="173"/>
      <c r="H867" s="173"/>
      <c r="I867" s="173"/>
      <c r="J867" s="173"/>
      <c r="K867" s="173"/>
      <c r="L867" s="173"/>
      <c r="M867" s="173"/>
      <c r="N867" s="173"/>
      <c r="O867" s="173"/>
      <c r="P867" s="173"/>
      <c r="Q867" s="173"/>
      <c r="R867" s="173"/>
      <c r="S867" s="173"/>
      <c r="T867" s="173"/>
      <c r="U867" s="173"/>
      <c r="V867" s="173"/>
      <c r="W867" s="173"/>
      <c r="X867" s="173"/>
      <c r="Y867" s="173"/>
      <c r="Z867" s="173"/>
    </row>
    <row r="868">
      <c r="A868" s="173"/>
      <c r="B868" s="173"/>
      <c r="C868" s="173"/>
      <c r="D868" s="173"/>
      <c r="E868" s="173"/>
      <c r="F868" s="173"/>
      <c r="G868" s="173"/>
      <c r="H868" s="173"/>
      <c r="I868" s="173"/>
      <c r="J868" s="173"/>
      <c r="K868" s="173"/>
      <c r="L868" s="173"/>
      <c r="M868" s="173"/>
      <c r="N868" s="173"/>
      <c r="O868" s="173"/>
      <c r="P868" s="173"/>
      <c r="Q868" s="173"/>
      <c r="R868" s="173"/>
      <c r="S868" s="173"/>
      <c r="T868" s="173"/>
      <c r="U868" s="173"/>
      <c r="V868" s="173"/>
      <c r="W868" s="173"/>
      <c r="X868" s="173"/>
      <c r="Y868" s="173"/>
      <c r="Z868" s="173"/>
    </row>
    <row r="869">
      <c r="A869" s="173"/>
      <c r="B869" s="173"/>
      <c r="C869" s="173"/>
      <c r="D869" s="173"/>
      <c r="E869" s="173"/>
      <c r="F869" s="173"/>
      <c r="G869" s="173"/>
      <c r="H869" s="173"/>
      <c r="I869" s="173"/>
      <c r="J869" s="173"/>
      <c r="K869" s="173"/>
      <c r="L869" s="173"/>
      <c r="M869" s="173"/>
      <c r="N869" s="173"/>
      <c r="O869" s="173"/>
      <c r="P869" s="173"/>
      <c r="Q869" s="173"/>
      <c r="R869" s="173"/>
      <c r="S869" s="173"/>
      <c r="T869" s="173"/>
      <c r="U869" s="173"/>
      <c r="V869" s="173"/>
      <c r="W869" s="173"/>
      <c r="X869" s="173"/>
      <c r="Y869" s="173"/>
      <c r="Z869" s="173"/>
    </row>
    <row r="870">
      <c r="A870" s="173"/>
      <c r="B870" s="173"/>
      <c r="C870" s="173"/>
      <c r="D870" s="173"/>
      <c r="E870" s="173"/>
      <c r="F870" s="173"/>
      <c r="G870" s="173"/>
      <c r="H870" s="173"/>
      <c r="I870" s="173"/>
      <c r="J870" s="173"/>
      <c r="K870" s="173"/>
      <c r="L870" s="173"/>
      <c r="M870" s="173"/>
      <c r="N870" s="173"/>
      <c r="O870" s="173"/>
      <c r="P870" s="173"/>
      <c r="Q870" s="173"/>
      <c r="R870" s="173"/>
      <c r="S870" s="173"/>
      <c r="T870" s="173"/>
      <c r="U870" s="173"/>
      <c r="V870" s="173"/>
      <c r="W870" s="173"/>
      <c r="X870" s="173"/>
      <c r="Y870" s="173"/>
      <c r="Z870" s="173"/>
    </row>
    <row r="871">
      <c r="A871" s="173"/>
      <c r="B871" s="173"/>
      <c r="C871" s="173"/>
      <c r="D871" s="173"/>
      <c r="E871" s="173"/>
      <c r="F871" s="173"/>
      <c r="G871" s="173"/>
      <c r="H871" s="173"/>
      <c r="I871" s="173"/>
      <c r="J871" s="173"/>
      <c r="K871" s="173"/>
      <c r="L871" s="173"/>
      <c r="M871" s="173"/>
      <c r="N871" s="173"/>
      <c r="O871" s="173"/>
      <c r="P871" s="173"/>
      <c r="Q871" s="173"/>
      <c r="R871" s="173"/>
      <c r="S871" s="173"/>
      <c r="T871" s="173"/>
      <c r="U871" s="173"/>
      <c r="V871" s="173"/>
      <c r="W871" s="173"/>
      <c r="X871" s="173"/>
      <c r="Y871" s="173"/>
      <c r="Z871" s="173"/>
    </row>
    <row r="872">
      <c r="A872" s="173"/>
      <c r="B872" s="173"/>
      <c r="C872" s="173"/>
      <c r="D872" s="173"/>
      <c r="E872" s="173"/>
      <c r="F872" s="173"/>
      <c r="G872" s="173"/>
      <c r="H872" s="173"/>
      <c r="I872" s="173"/>
      <c r="J872" s="173"/>
      <c r="K872" s="173"/>
      <c r="L872" s="173"/>
      <c r="M872" s="173"/>
      <c r="N872" s="173"/>
      <c r="O872" s="173"/>
      <c r="P872" s="173"/>
      <c r="Q872" s="173"/>
      <c r="R872" s="173"/>
      <c r="S872" s="173"/>
      <c r="T872" s="173"/>
      <c r="U872" s="173"/>
      <c r="V872" s="173"/>
      <c r="W872" s="173"/>
      <c r="X872" s="173"/>
      <c r="Y872" s="173"/>
      <c r="Z872" s="173"/>
    </row>
    <row r="873">
      <c r="A873" s="173"/>
      <c r="B873" s="173"/>
      <c r="C873" s="173"/>
      <c r="D873" s="173"/>
      <c r="E873" s="173"/>
      <c r="F873" s="173"/>
      <c r="G873" s="173"/>
      <c r="H873" s="173"/>
      <c r="I873" s="173"/>
      <c r="J873" s="173"/>
      <c r="K873" s="173"/>
      <c r="L873" s="173"/>
      <c r="M873" s="173"/>
      <c r="N873" s="173"/>
      <c r="O873" s="173"/>
      <c r="P873" s="173"/>
      <c r="Q873" s="173"/>
      <c r="R873" s="173"/>
      <c r="S873" s="173"/>
      <c r="T873" s="173"/>
      <c r="U873" s="173"/>
      <c r="V873" s="173"/>
      <c r="W873" s="173"/>
      <c r="X873" s="173"/>
      <c r="Y873" s="173"/>
      <c r="Z873" s="173"/>
    </row>
    <row r="874">
      <c r="A874" s="173"/>
      <c r="B874" s="173"/>
      <c r="C874" s="173"/>
      <c r="D874" s="173"/>
      <c r="E874" s="173"/>
      <c r="F874" s="173"/>
      <c r="G874" s="173"/>
      <c r="H874" s="173"/>
      <c r="I874" s="173"/>
      <c r="J874" s="173"/>
      <c r="K874" s="173"/>
      <c r="L874" s="173"/>
      <c r="M874" s="173"/>
      <c r="N874" s="173"/>
      <c r="O874" s="173"/>
      <c r="P874" s="173"/>
      <c r="Q874" s="173"/>
      <c r="R874" s="173"/>
      <c r="S874" s="173"/>
      <c r="T874" s="173"/>
      <c r="U874" s="173"/>
      <c r="V874" s="173"/>
      <c r="W874" s="173"/>
      <c r="X874" s="173"/>
      <c r="Y874" s="173"/>
      <c r="Z874" s="173"/>
    </row>
    <row r="875">
      <c r="A875" s="173"/>
      <c r="B875" s="173"/>
      <c r="C875" s="173"/>
      <c r="D875" s="173"/>
      <c r="E875" s="173"/>
      <c r="F875" s="173"/>
      <c r="G875" s="173"/>
      <c r="H875" s="173"/>
      <c r="I875" s="173"/>
      <c r="J875" s="173"/>
      <c r="K875" s="173"/>
      <c r="L875" s="173"/>
      <c r="M875" s="173"/>
      <c r="N875" s="173"/>
      <c r="O875" s="173"/>
      <c r="P875" s="173"/>
      <c r="Q875" s="173"/>
      <c r="R875" s="173"/>
      <c r="S875" s="173"/>
      <c r="T875" s="173"/>
      <c r="U875" s="173"/>
      <c r="V875" s="173"/>
      <c r="W875" s="173"/>
      <c r="X875" s="173"/>
      <c r="Y875" s="173"/>
      <c r="Z875" s="173"/>
    </row>
    <row r="876">
      <c r="A876" s="173"/>
      <c r="B876" s="173"/>
      <c r="C876" s="173"/>
      <c r="D876" s="173"/>
      <c r="E876" s="173"/>
      <c r="F876" s="173"/>
      <c r="G876" s="173"/>
      <c r="H876" s="173"/>
      <c r="I876" s="173"/>
      <c r="J876" s="173"/>
      <c r="K876" s="173"/>
      <c r="L876" s="173"/>
      <c r="M876" s="173"/>
      <c r="N876" s="173"/>
      <c r="O876" s="173"/>
      <c r="P876" s="173"/>
      <c r="Q876" s="173"/>
      <c r="R876" s="173"/>
      <c r="S876" s="173"/>
      <c r="T876" s="173"/>
      <c r="U876" s="173"/>
      <c r="V876" s="173"/>
      <c r="W876" s="173"/>
      <c r="X876" s="173"/>
      <c r="Y876" s="173"/>
      <c r="Z876" s="173"/>
    </row>
    <row r="877">
      <c r="A877" s="173"/>
      <c r="B877" s="173"/>
      <c r="C877" s="173"/>
      <c r="D877" s="173"/>
      <c r="E877" s="173"/>
      <c r="F877" s="173"/>
      <c r="G877" s="173"/>
      <c r="H877" s="173"/>
      <c r="I877" s="173"/>
      <c r="J877" s="173"/>
      <c r="K877" s="173"/>
      <c r="L877" s="173"/>
      <c r="M877" s="173"/>
      <c r="N877" s="173"/>
      <c r="O877" s="173"/>
      <c r="P877" s="173"/>
      <c r="Q877" s="173"/>
      <c r="R877" s="173"/>
      <c r="S877" s="173"/>
      <c r="T877" s="173"/>
      <c r="U877" s="173"/>
      <c r="V877" s="173"/>
      <c r="W877" s="173"/>
      <c r="X877" s="173"/>
      <c r="Y877" s="173"/>
      <c r="Z877" s="173"/>
    </row>
    <row r="878">
      <c r="A878" s="173"/>
      <c r="B878" s="173"/>
      <c r="C878" s="173"/>
      <c r="D878" s="173"/>
      <c r="E878" s="173"/>
      <c r="F878" s="173"/>
      <c r="G878" s="173"/>
      <c r="H878" s="173"/>
      <c r="I878" s="173"/>
      <c r="J878" s="173"/>
      <c r="K878" s="173"/>
      <c r="L878" s="173"/>
      <c r="M878" s="173"/>
      <c r="N878" s="173"/>
      <c r="O878" s="173"/>
      <c r="P878" s="173"/>
      <c r="Q878" s="173"/>
      <c r="R878" s="173"/>
      <c r="S878" s="173"/>
      <c r="T878" s="173"/>
      <c r="U878" s="173"/>
      <c r="V878" s="173"/>
      <c r="W878" s="173"/>
      <c r="X878" s="173"/>
      <c r="Y878" s="173"/>
      <c r="Z878" s="173"/>
    </row>
    <row r="879">
      <c r="A879" s="173"/>
      <c r="B879" s="173"/>
      <c r="C879" s="173"/>
      <c r="D879" s="173"/>
      <c r="E879" s="173"/>
      <c r="F879" s="173"/>
      <c r="G879" s="173"/>
      <c r="H879" s="173"/>
      <c r="I879" s="173"/>
      <c r="J879" s="173"/>
      <c r="K879" s="173"/>
      <c r="L879" s="173"/>
      <c r="M879" s="173"/>
      <c r="N879" s="173"/>
      <c r="O879" s="173"/>
      <c r="P879" s="173"/>
      <c r="Q879" s="173"/>
      <c r="R879" s="173"/>
      <c r="S879" s="173"/>
      <c r="T879" s="173"/>
      <c r="U879" s="173"/>
      <c r="V879" s="173"/>
      <c r="W879" s="173"/>
      <c r="X879" s="173"/>
      <c r="Y879" s="173"/>
      <c r="Z879" s="173"/>
    </row>
    <row r="880">
      <c r="A880" s="173"/>
      <c r="B880" s="173"/>
      <c r="C880" s="173"/>
      <c r="D880" s="173"/>
      <c r="E880" s="173"/>
      <c r="F880" s="173"/>
      <c r="G880" s="173"/>
      <c r="H880" s="173"/>
      <c r="I880" s="173"/>
      <c r="J880" s="173"/>
      <c r="K880" s="173"/>
      <c r="L880" s="173"/>
      <c r="M880" s="173"/>
      <c r="N880" s="173"/>
      <c r="O880" s="173"/>
      <c r="P880" s="173"/>
      <c r="Q880" s="173"/>
      <c r="R880" s="173"/>
      <c r="S880" s="173"/>
      <c r="T880" s="173"/>
      <c r="U880" s="173"/>
      <c r="V880" s="173"/>
      <c r="W880" s="173"/>
      <c r="X880" s="173"/>
      <c r="Y880" s="173"/>
      <c r="Z880" s="173"/>
    </row>
    <row r="881">
      <c r="A881" s="173"/>
      <c r="B881" s="173"/>
      <c r="C881" s="173"/>
      <c r="D881" s="173"/>
      <c r="E881" s="173"/>
      <c r="F881" s="173"/>
      <c r="G881" s="173"/>
      <c r="H881" s="173"/>
      <c r="I881" s="173"/>
      <c r="J881" s="173"/>
      <c r="K881" s="173"/>
      <c r="L881" s="173"/>
      <c r="M881" s="173"/>
      <c r="N881" s="173"/>
      <c r="O881" s="173"/>
      <c r="P881" s="173"/>
      <c r="Q881" s="173"/>
      <c r="R881" s="173"/>
      <c r="S881" s="173"/>
      <c r="T881" s="173"/>
      <c r="U881" s="173"/>
      <c r="V881" s="173"/>
      <c r="W881" s="173"/>
      <c r="X881" s="173"/>
      <c r="Y881" s="173"/>
      <c r="Z881" s="173"/>
    </row>
    <row r="882">
      <c r="A882" s="173"/>
      <c r="B882" s="173"/>
      <c r="C882" s="173"/>
      <c r="D882" s="173"/>
      <c r="E882" s="173"/>
      <c r="F882" s="173"/>
      <c r="G882" s="173"/>
      <c r="H882" s="173"/>
      <c r="I882" s="173"/>
      <c r="J882" s="173"/>
      <c r="K882" s="173"/>
      <c r="L882" s="173"/>
      <c r="M882" s="173"/>
      <c r="N882" s="173"/>
      <c r="O882" s="173"/>
      <c r="P882" s="173"/>
      <c r="Q882" s="173"/>
      <c r="R882" s="173"/>
      <c r="S882" s="173"/>
      <c r="T882" s="173"/>
      <c r="U882" s="173"/>
      <c r="V882" s="173"/>
      <c r="W882" s="173"/>
      <c r="X882" s="173"/>
      <c r="Y882" s="173"/>
      <c r="Z882" s="173"/>
    </row>
    <row r="883">
      <c r="A883" s="173"/>
      <c r="B883" s="173"/>
      <c r="C883" s="173"/>
      <c r="D883" s="173"/>
      <c r="E883" s="173"/>
      <c r="F883" s="173"/>
      <c r="G883" s="173"/>
      <c r="H883" s="173"/>
      <c r="I883" s="173"/>
      <c r="J883" s="173"/>
      <c r="K883" s="173"/>
      <c r="L883" s="173"/>
      <c r="M883" s="173"/>
      <c r="N883" s="173"/>
      <c r="O883" s="173"/>
      <c r="P883" s="173"/>
      <c r="Q883" s="173"/>
      <c r="R883" s="173"/>
      <c r="S883" s="173"/>
      <c r="T883" s="173"/>
      <c r="U883" s="173"/>
      <c r="V883" s="173"/>
      <c r="W883" s="173"/>
      <c r="X883" s="173"/>
      <c r="Y883" s="173"/>
      <c r="Z883" s="173"/>
    </row>
    <row r="884">
      <c r="A884" s="173"/>
      <c r="B884" s="173"/>
      <c r="C884" s="173"/>
      <c r="D884" s="173"/>
      <c r="E884" s="173"/>
      <c r="F884" s="173"/>
      <c r="G884" s="173"/>
      <c r="H884" s="173"/>
      <c r="I884" s="173"/>
      <c r="J884" s="173"/>
      <c r="K884" s="173"/>
      <c r="L884" s="173"/>
      <c r="M884" s="173"/>
      <c r="N884" s="173"/>
      <c r="O884" s="173"/>
      <c r="P884" s="173"/>
      <c r="Q884" s="173"/>
      <c r="R884" s="173"/>
      <c r="S884" s="173"/>
      <c r="T884" s="173"/>
      <c r="U884" s="173"/>
      <c r="V884" s="173"/>
      <c r="W884" s="173"/>
      <c r="X884" s="173"/>
      <c r="Y884" s="173"/>
      <c r="Z884" s="173"/>
    </row>
    <row r="885">
      <c r="A885" s="173"/>
      <c r="B885" s="173"/>
      <c r="C885" s="173"/>
      <c r="D885" s="173"/>
      <c r="E885" s="173"/>
      <c r="F885" s="173"/>
      <c r="G885" s="173"/>
      <c r="H885" s="173"/>
      <c r="I885" s="173"/>
      <c r="J885" s="173"/>
      <c r="K885" s="173"/>
      <c r="L885" s="173"/>
      <c r="M885" s="173"/>
      <c r="N885" s="173"/>
      <c r="O885" s="173"/>
      <c r="P885" s="173"/>
      <c r="Q885" s="173"/>
      <c r="R885" s="173"/>
      <c r="S885" s="173"/>
      <c r="T885" s="173"/>
      <c r="U885" s="173"/>
      <c r="V885" s="173"/>
      <c r="W885" s="173"/>
      <c r="X885" s="173"/>
      <c r="Y885" s="173"/>
      <c r="Z885" s="173"/>
    </row>
    <row r="886">
      <c r="A886" s="173"/>
      <c r="B886" s="173"/>
      <c r="C886" s="173"/>
      <c r="D886" s="173"/>
      <c r="E886" s="173"/>
      <c r="F886" s="173"/>
      <c r="G886" s="173"/>
      <c r="H886" s="173"/>
      <c r="I886" s="173"/>
      <c r="J886" s="173"/>
      <c r="K886" s="173"/>
      <c r="L886" s="173"/>
      <c r="M886" s="173"/>
      <c r="N886" s="173"/>
      <c r="O886" s="173"/>
      <c r="P886" s="173"/>
      <c r="Q886" s="173"/>
      <c r="R886" s="173"/>
      <c r="S886" s="173"/>
      <c r="T886" s="173"/>
      <c r="U886" s="173"/>
      <c r="V886" s="173"/>
      <c r="W886" s="173"/>
      <c r="X886" s="173"/>
      <c r="Y886" s="173"/>
      <c r="Z886" s="173"/>
    </row>
    <row r="887">
      <c r="A887" s="173"/>
      <c r="B887" s="173"/>
      <c r="C887" s="173"/>
      <c r="D887" s="173"/>
      <c r="E887" s="173"/>
      <c r="F887" s="173"/>
      <c r="G887" s="173"/>
      <c r="H887" s="173"/>
      <c r="I887" s="173"/>
      <c r="J887" s="173"/>
      <c r="K887" s="173"/>
      <c r="L887" s="173"/>
      <c r="M887" s="173"/>
      <c r="N887" s="173"/>
      <c r="O887" s="173"/>
      <c r="P887" s="173"/>
      <c r="Q887" s="173"/>
      <c r="R887" s="173"/>
      <c r="S887" s="173"/>
      <c r="T887" s="173"/>
      <c r="U887" s="173"/>
      <c r="V887" s="173"/>
      <c r="W887" s="173"/>
      <c r="X887" s="173"/>
      <c r="Y887" s="173"/>
      <c r="Z887" s="173"/>
    </row>
    <row r="888">
      <c r="A888" s="173"/>
      <c r="B888" s="173"/>
      <c r="C888" s="173"/>
      <c r="D888" s="173"/>
      <c r="E888" s="173"/>
      <c r="F888" s="173"/>
      <c r="G888" s="173"/>
      <c r="H888" s="173"/>
      <c r="I888" s="173"/>
      <c r="J888" s="173"/>
      <c r="K888" s="173"/>
      <c r="L888" s="173"/>
      <c r="M888" s="173"/>
      <c r="N888" s="173"/>
      <c r="O888" s="173"/>
      <c r="P888" s="173"/>
      <c r="Q888" s="173"/>
      <c r="R888" s="173"/>
      <c r="S888" s="173"/>
      <c r="T888" s="173"/>
      <c r="U888" s="173"/>
      <c r="V888" s="173"/>
      <c r="W888" s="173"/>
      <c r="X888" s="173"/>
      <c r="Y888" s="173"/>
      <c r="Z888" s="173"/>
    </row>
    <row r="889">
      <c r="A889" s="173"/>
      <c r="B889" s="173"/>
      <c r="C889" s="173"/>
      <c r="D889" s="173"/>
      <c r="E889" s="173"/>
      <c r="F889" s="173"/>
      <c r="G889" s="173"/>
      <c r="H889" s="173"/>
      <c r="I889" s="173"/>
      <c r="J889" s="173"/>
      <c r="K889" s="173"/>
      <c r="L889" s="173"/>
      <c r="M889" s="173"/>
      <c r="N889" s="173"/>
      <c r="O889" s="173"/>
      <c r="P889" s="173"/>
      <c r="Q889" s="173"/>
      <c r="R889" s="173"/>
      <c r="S889" s="173"/>
      <c r="T889" s="173"/>
      <c r="U889" s="173"/>
      <c r="V889" s="173"/>
      <c r="W889" s="173"/>
      <c r="X889" s="173"/>
      <c r="Y889" s="173"/>
      <c r="Z889" s="173"/>
    </row>
    <row r="890">
      <c r="A890" s="173"/>
      <c r="B890" s="173"/>
      <c r="C890" s="173"/>
      <c r="D890" s="173"/>
      <c r="E890" s="173"/>
      <c r="F890" s="173"/>
      <c r="G890" s="173"/>
      <c r="H890" s="173"/>
      <c r="I890" s="173"/>
      <c r="J890" s="173"/>
      <c r="K890" s="173"/>
      <c r="L890" s="173"/>
      <c r="M890" s="173"/>
      <c r="N890" s="173"/>
      <c r="O890" s="173"/>
      <c r="P890" s="173"/>
      <c r="Q890" s="173"/>
      <c r="R890" s="173"/>
      <c r="S890" s="173"/>
      <c r="T890" s="173"/>
      <c r="U890" s="173"/>
      <c r="V890" s="173"/>
      <c r="W890" s="173"/>
      <c r="X890" s="173"/>
      <c r="Y890" s="173"/>
      <c r="Z890" s="173"/>
    </row>
    <row r="891">
      <c r="A891" s="173"/>
      <c r="B891" s="173"/>
      <c r="C891" s="173"/>
      <c r="D891" s="173"/>
      <c r="E891" s="173"/>
      <c r="F891" s="173"/>
      <c r="G891" s="173"/>
      <c r="H891" s="173"/>
      <c r="I891" s="173"/>
      <c r="J891" s="173"/>
      <c r="K891" s="173"/>
      <c r="L891" s="173"/>
      <c r="M891" s="173"/>
      <c r="N891" s="173"/>
      <c r="O891" s="173"/>
      <c r="P891" s="173"/>
      <c r="Q891" s="173"/>
      <c r="R891" s="173"/>
      <c r="S891" s="173"/>
      <c r="T891" s="173"/>
      <c r="U891" s="173"/>
      <c r="V891" s="173"/>
      <c r="W891" s="173"/>
      <c r="X891" s="173"/>
      <c r="Y891" s="173"/>
      <c r="Z891" s="173"/>
    </row>
    <row r="892">
      <c r="A892" s="173"/>
      <c r="B892" s="173"/>
      <c r="C892" s="173"/>
      <c r="D892" s="173"/>
      <c r="E892" s="173"/>
      <c r="F892" s="173"/>
      <c r="G892" s="173"/>
      <c r="H892" s="173"/>
      <c r="I892" s="173"/>
      <c r="J892" s="173"/>
      <c r="K892" s="173"/>
      <c r="L892" s="173"/>
      <c r="M892" s="173"/>
      <c r="N892" s="173"/>
      <c r="O892" s="173"/>
      <c r="P892" s="173"/>
      <c r="Q892" s="173"/>
      <c r="R892" s="173"/>
      <c r="S892" s="173"/>
      <c r="T892" s="173"/>
      <c r="U892" s="173"/>
      <c r="V892" s="173"/>
      <c r="W892" s="173"/>
      <c r="X892" s="173"/>
      <c r="Y892" s="173"/>
      <c r="Z892" s="173"/>
    </row>
    <row r="893">
      <c r="A893" s="173"/>
      <c r="B893" s="173"/>
      <c r="C893" s="173"/>
      <c r="D893" s="173"/>
      <c r="E893" s="173"/>
      <c r="F893" s="173"/>
      <c r="G893" s="173"/>
      <c r="H893" s="173"/>
      <c r="I893" s="173"/>
      <c r="J893" s="173"/>
      <c r="K893" s="173"/>
      <c r="L893" s="173"/>
      <c r="M893" s="173"/>
      <c r="N893" s="173"/>
      <c r="O893" s="173"/>
      <c r="P893" s="173"/>
      <c r="Q893" s="173"/>
      <c r="R893" s="173"/>
      <c r="S893" s="173"/>
      <c r="T893" s="173"/>
      <c r="U893" s="173"/>
      <c r="V893" s="173"/>
      <c r="W893" s="173"/>
      <c r="X893" s="173"/>
      <c r="Y893" s="173"/>
      <c r="Z893" s="173"/>
    </row>
    <row r="894">
      <c r="A894" s="173"/>
      <c r="B894" s="173"/>
      <c r="C894" s="173"/>
      <c r="D894" s="173"/>
      <c r="E894" s="173"/>
      <c r="F894" s="173"/>
      <c r="G894" s="173"/>
      <c r="H894" s="173"/>
      <c r="I894" s="173"/>
      <c r="J894" s="173"/>
      <c r="K894" s="173"/>
      <c r="L894" s="173"/>
      <c r="M894" s="173"/>
      <c r="N894" s="173"/>
      <c r="O894" s="173"/>
      <c r="P894" s="173"/>
      <c r="Q894" s="173"/>
      <c r="R894" s="173"/>
      <c r="S894" s="173"/>
      <c r="T894" s="173"/>
      <c r="U894" s="173"/>
      <c r="V894" s="173"/>
      <c r="W894" s="173"/>
      <c r="X894" s="173"/>
      <c r="Y894" s="173"/>
      <c r="Z894" s="173"/>
    </row>
    <row r="895">
      <c r="A895" s="173"/>
      <c r="B895" s="173"/>
      <c r="C895" s="173"/>
      <c r="D895" s="173"/>
      <c r="E895" s="173"/>
      <c r="F895" s="173"/>
      <c r="G895" s="173"/>
      <c r="H895" s="173"/>
      <c r="I895" s="173"/>
      <c r="J895" s="173"/>
      <c r="K895" s="173"/>
      <c r="L895" s="173"/>
      <c r="M895" s="173"/>
      <c r="N895" s="173"/>
      <c r="O895" s="173"/>
      <c r="P895" s="173"/>
      <c r="Q895" s="173"/>
      <c r="R895" s="173"/>
      <c r="S895" s="173"/>
      <c r="T895" s="173"/>
      <c r="U895" s="173"/>
      <c r="V895" s="173"/>
      <c r="W895" s="173"/>
      <c r="X895" s="173"/>
      <c r="Y895" s="173"/>
      <c r="Z895" s="173"/>
    </row>
    <row r="896">
      <c r="A896" s="173"/>
      <c r="B896" s="173"/>
      <c r="C896" s="173"/>
      <c r="D896" s="173"/>
      <c r="E896" s="173"/>
      <c r="F896" s="173"/>
      <c r="G896" s="173"/>
      <c r="H896" s="173"/>
      <c r="I896" s="173"/>
      <c r="J896" s="173"/>
      <c r="K896" s="173"/>
      <c r="L896" s="173"/>
      <c r="M896" s="173"/>
      <c r="N896" s="173"/>
      <c r="O896" s="173"/>
      <c r="P896" s="173"/>
      <c r="Q896" s="173"/>
      <c r="R896" s="173"/>
      <c r="S896" s="173"/>
      <c r="T896" s="173"/>
      <c r="U896" s="173"/>
      <c r="V896" s="173"/>
      <c r="W896" s="173"/>
      <c r="X896" s="173"/>
      <c r="Y896" s="173"/>
      <c r="Z896" s="173"/>
    </row>
    <row r="897">
      <c r="A897" s="173"/>
      <c r="B897" s="173"/>
      <c r="C897" s="173"/>
      <c r="D897" s="173"/>
      <c r="E897" s="173"/>
      <c r="F897" s="173"/>
      <c r="G897" s="173"/>
      <c r="H897" s="173"/>
      <c r="I897" s="173"/>
      <c r="J897" s="173"/>
      <c r="K897" s="173"/>
      <c r="L897" s="173"/>
      <c r="M897" s="173"/>
      <c r="N897" s="173"/>
      <c r="O897" s="173"/>
      <c r="P897" s="173"/>
      <c r="Q897" s="173"/>
      <c r="R897" s="173"/>
      <c r="S897" s="173"/>
      <c r="T897" s="173"/>
      <c r="U897" s="173"/>
      <c r="V897" s="173"/>
      <c r="W897" s="173"/>
      <c r="X897" s="173"/>
      <c r="Y897" s="173"/>
      <c r="Z897" s="173"/>
    </row>
    <row r="898">
      <c r="A898" s="173"/>
      <c r="B898" s="173"/>
      <c r="C898" s="173"/>
      <c r="D898" s="173"/>
      <c r="E898" s="173"/>
      <c r="F898" s="173"/>
      <c r="G898" s="173"/>
      <c r="H898" s="173"/>
      <c r="I898" s="173"/>
      <c r="J898" s="173"/>
      <c r="K898" s="173"/>
      <c r="L898" s="173"/>
      <c r="M898" s="173"/>
      <c r="N898" s="173"/>
      <c r="O898" s="173"/>
      <c r="P898" s="173"/>
      <c r="Q898" s="173"/>
      <c r="R898" s="173"/>
      <c r="S898" s="173"/>
      <c r="T898" s="173"/>
      <c r="U898" s="173"/>
      <c r="V898" s="173"/>
      <c r="W898" s="173"/>
      <c r="X898" s="173"/>
      <c r="Y898" s="173"/>
      <c r="Z898" s="173"/>
    </row>
    <row r="899">
      <c r="A899" s="173"/>
      <c r="B899" s="173"/>
      <c r="C899" s="173"/>
      <c r="D899" s="173"/>
      <c r="E899" s="173"/>
      <c r="F899" s="173"/>
      <c r="G899" s="173"/>
      <c r="H899" s="173"/>
      <c r="I899" s="173"/>
      <c r="J899" s="173"/>
      <c r="K899" s="173"/>
      <c r="L899" s="173"/>
      <c r="M899" s="173"/>
      <c r="N899" s="173"/>
      <c r="O899" s="173"/>
      <c r="P899" s="173"/>
      <c r="Q899" s="173"/>
      <c r="R899" s="173"/>
      <c r="S899" s="173"/>
      <c r="T899" s="173"/>
      <c r="U899" s="173"/>
      <c r="V899" s="173"/>
      <c r="W899" s="173"/>
      <c r="X899" s="173"/>
      <c r="Y899" s="173"/>
      <c r="Z899" s="173"/>
    </row>
    <row r="900">
      <c r="A900" s="173"/>
      <c r="B900" s="173"/>
      <c r="C900" s="173"/>
      <c r="D900" s="173"/>
      <c r="E900" s="173"/>
      <c r="F900" s="173"/>
      <c r="G900" s="173"/>
      <c r="H900" s="173"/>
      <c r="I900" s="173"/>
      <c r="J900" s="173"/>
      <c r="K900" s="173"/>
      <c r="L900" s="173"/>
      <c r="M900" s="173"/>
      <c r="N900" s="173"/>
      <c r="O900" s="173"/>
      <c r="P900" s="173"/>
      <c r="Q900" s="173"/>
      <c r="R900" s="173"/>
      <c r="S900" s="173"/>
      <c r="T900" s="173"/>
      <c r="U900" s="173"/>
      <c r="V900" s="173"/>
      <c r="W900" s="173"/>
      <c r="X900" s="173"/>
      <c r="Y900" s="173"/>
      <c r="Z900" s="173"/>
    </row>
    <row r="901">
      <c r="A901" s="173"/>
      <c r="B901" s="173"/>
      <c r="C901" s="173"/>
      <c r="D901" s="173"/>
      <c r="E901" s="173"/>
      <c r="F901" s="173"/>
      <c r="G901" s="173"/>
      <c r="H901" s="173"/>
      <c r="I901" s="173"/>
      <c r="J901" s="173"/>
      <c r="K901" s="173"/>
      <c r="L901" s="173"/>
      <c r="M901" s="173"/>
      <c r="N901" s="173"/>
      <c r="O901" s="173"/>
      <c r="P901" s="173"/>
      <c r="Q901" s="173"/>
      <c r="R901" s="173"/>
      <c r="S901" s="173"/>
      <c r="T901" s="173"/>
      <c r="U901" s="173"/>
      <c r="V901" s="173"/>
      <c r="W901" s="173"/>
      <c r="X901" s="173"/>
      <c r="Y901" s="173"/>
      <c r="Z901" s="173"/>
    </row>
    <row r="902">
      <c r="A902" s="173"/>
      <c r="B902" s="173"/>
      <c r="C902" s="173"/>
      <c r="D902" s="173"/>
      <c r="E902" s="173"/>
      <c r="F902" s="173"/>
      <c r="G902" s="173"/>
      <c r="H902" s="173"/>
      <c r="I902" s="173"/>
      <c r="J902" s="173"/>
      <c r="K902" s="173"/>
      <c r="L902" s="173"/>
      <c r="M902" s="173"/>
      <c r="N902" s="173"/>
      <c r="O902" s="173"/>
      <c r="P902" s="173"/>
      <c r="Q902" s="173"/>
      <c r="R902" s="173"/>
      <c r="S902" s="173"/>
      <c r="T902" s="173"/>
      <c r="U902" s="173"/>
      <c r="V902" s="173"/>
      <c r="W902" s="173"/>
      <c r="X902" s="173"/>
      <c r="Y902" s="173"/>
      <c r="Z902" s="173"/>
    </row>
    <row r="903">
      <c r="A903" s="173"/>
      <c r="B903" s="173"/>
      <c r="C903" s="173"/>
      <c r="D903" s="173"/>
      <c r="E903" s="173"/>
      <c r="F903" s="173"/>
      <c r="G903" s="173"/>
      <c r="H903" s="173"/>
      <c r="I903" s="173"/>
      <c r="J903" s="173"/>
      <c r="K903" s="173"/>
      <c r="L903" s="173"/>
      <c r="M903" s="173"/>
      <c r="N903" s="173"/>
      <c r="O903" s="173"/>
      <c r="P903" s="173"/>
      <c r="Q903" s="173"/>
      <c r="R903" s="173"/>
      <c r="S903" s="173"/>
      <c r="T903" s="173"/>
      <c r="U903" s="173"/>
      <c r="V903" s="173"/>
      <c r="W903" s="173"/>
      <c r="X903" s="173"/>
      <c r="Y903" s="173"/>
      <c r="Z903" s="173"/>
    </row>
    <row r="904">
      <c r="A904" s="173"/>
      <c r="B904" s="173"/>
      <c r="C904" s="173"/>
      <c r="D904" s="173"/>
      <c r="E904" s="173"/>
      <c r="F904" s="173"/>
      <c r="G904" s="173"/>
      <c r="H904" s="173"/>
      <c r="I904" s="173"/>
      <c r="J904" s="173"/>
      <c r="K904" s="173"/>
      <c r="L904" s="173"/>
      <c r="M904" s="173"/>
      <c r="N904" s="173"/>
      <c r="O904" s="173"/>
      <c r="P904" s="173"/>
      <c r="Q904" s="173"/>
      <c r="R904" s="173"/>
      <c r="S904" s="173"/>
      <c r="T904" s="173"/>
      <c r="U904" s="173"/>
      <c r="V904" s="173"/>
      <c r="W904" s="173"/>
      <c r="X904" s="173"/>
      <c r="Y904" s="173"/>
      <c r="Z904" s="173"/>
    </row>
    <row r="905">
      <c r="A905" s="173"/>
      <c r="B905" s="173"/>
      <c r="C905" s="173"/>
      <c r="D905" s="173"/>
      <c r="E905" s="173"/>
      <c r="F905" s="173"/>
      <c r="G905" s="173"/>
      <c r="H905" s="173"/>
      <c r="I905" s="173"/>
      <c r="J905" s="173"/>
      <c r="K905" s="173"/>
      <c r="L905" s="173"/>
      <c r="M905" s="173"/>
      <c r="N905" s="173"/>
      <c r="O905" s="173"/>
      <c r="P905" s="173"/>
      <c r="Q905" s="173"/>
      <c r="R905" s="173"/>
      <c r="S905" s="173"/>
      <c r="T905" s="173"/>
      <c r="U905" s="173"/>
      <c r="V905" s="173"/>
      <c r="W905" s="173"/>
      <c r="X905" s="173"/>
      <c r="Y905" s="173"/>
      <c r="Z905" s="173"/>
    </row>
    <row r="906">
      <c r="A906" s="173"/>
      <c r="B906" s="173"/>
      <c r="C906" s="173"/>
      <c r="D906" s="173"/>
      <c r="E906" s="173"/>
      <c r="F906" s="173"/>
      <c r="G906" s="173"/>
      <c r="H906" s="173"/>
      <c r="I906" s="173"/>
      <c r="J906" s="173"/>
      <c r="K906" s="173"/>
      <c r="L906" s="173"/>
      <c r="M906" s="173"/>
      <c r="N906" s="173"/>
      <c r="O906" s="173"/>
      <c r="P906" s="173"/>
      <c r="Q906" s="173"/>
      <c r="R906" s="173"/>
      <c r="S906" s="173"/>
      <c r="T906" s="173"/>
      <c r="U906" s="173"/>
      <c r="V906" s="173"/>
      <c r="W906" s="173"/>
      <c r="X906" s="173"/>
      <c r="Y906" s="173"/>
      <c r="Z906" s="173"/>
    </row>
    <row r="907">
      <c r="A907" s="173"/>
      <c r="B907" s="173"/>
      <c r="C907" s="173"/>
      <c r="D907" s="173"/>
      <c r="E907" s="173"/>
      <c r="F907" s="173"/>
      <c r="G907" s="173"/>
      <c r="H907" s="173"/>
      <c r="I907" s="173"/>
      <c r="J907" s="173"/>
      <c r="K907" s="173"/>
      <c r="L907" s="173"/>
      <c r="M907" s="173"/>
      <c r="N907" s="173"/>
      <c r="O907" s="173"/>
      <c r="P907" s="173"/>
      <c r="Q907" s="173"/>
      <c r="R907" s="173"/>
      <c r="S907" s="173"/>
      <c r="T907" s="173"/>
      <c r="U907" s="173"/>
      <c r="V907" s="173"/>
      <c r="W907" s="173"/>
      <c r="X907" s="173"/>
      <c r="Y907" s="173"/>
      <c r="Z907" s="173"/>
    </row>
    <row r="908">
      <c r="A908" s="173"/>
      <c r="B908" s="173"/>
      <c r="C908" s="173"/>
      <c r="D908" s="173"/>
      <c r="E908" s="173"/>
      <c r="F908" s="173"/>
      <c r="G908" s="173"/>
      <c r="H908" s="173"/>
      <c r="I908" s="173"/>
      <c r="J908" s="173"/>
      <c r="K908" s="173"/>
      <c r="L908" s="173"/>
      <c r="M908" s="173"/>
      <c r="N908" s="173"/>
      <c r="O908" s="173"/>
      <c r="P908" s="173"/>
      <c r="Q908" s="173"/>
      <c r="R908" s="173"/>
      <c r="S908" s="173"/>
      <c r="T908" s="173"/>
      <c r="U908" s="173"/>
      <c r="V908" s="173"/>
      <c r="W908" s="173"/>
      <c r="X908" s="173"/>
      <c r="Y908" s="173"/>
      <c r="Z908" s="173"/>
    </row>
    <row r="909">
      <c r="A909" s="173"/>
      <c r="B909" s="173"/>
      <c r="C909" s="173"/>
      <c r="D909" s="173"/>
      <c r="E909" s="173"/>
      <c r="F909" s="173"/>
      <c r="G909" s="173"/>
      <c r="H909" s="173"/>
      <c r="I909" s="173"/>
      <c r="J909" s="173"/>
      <c r="K909" s="173"/>
      <c r="L909" s="173"/>
      <c r="M909" s="173"/>
      <c r="N909" s="173"/>
      <c r="O909" s="173"/>
      <c r="P909" s="173"/>
      <c r="Q909" s="173"/>
      <c r="R909" s="173"/>
      <c r="S909" s="173"/>
      <c r="T909" s="173"/>
      <c r="U909" s="173"/>
      <c r="V909" s="173"/>
      <c r="W909" s="173"/>
      <c r="X909" s="173"/>
      <c r="Y909" s="173"/>
      <c r="Z909" s="173"/>
    </row>
    <row r="910">
      <c r="A910" s="173"/>
      <c r="B910" s="173"/>
      <c r="C910" s="173"/>
      <c r="D910" s="173"/>
      <c r="E910" s="173"/>
      <c r="F910" s="173"/>
      <c r="G910" s="173"/>
      <c r="H910" s="173"/>
      <c r="I910" s="173"/>
      <c r="J910" s="173"/>
      <c r="K910" s="173"/>
      <c r="L910" s="173"/>
      <c r="M910" s="173"/>
      <c r="N910" s="173"/>
      <c r="O910" s="173"/>
      <c r="P910" s="173"/>
      <c r="Q910" s="173"/>
      <c r="R910" s="173"/>
      <c r="S910" s="173"/>
      <c r="T910" s="173"/>
      <c r="U910" s="173"/>
      <c r="V910" s="173"/>
      <c r="W910" s="173"/>
      <c r="X910" s="173"/>
      <c r="Y910" s="173"/>
      <c r="Z910" s="173"/>
    </row>
    <row r="911">
      <c r="A911" s="173"/>
      <c r="B911" s="173"/>
      <c r="C911" s="173"/>
      <c r="D911" s="173"/>
      <c r="E911" s="173"/>
      <c r="F911" s="173"/>
      <c r="G911" s="173"/>
      <c r="H911" s="173"/>
      <c r="I911" s="173"/>
      <c r="J911" s="173"/>
      <c r="K911" s="173"/>
      <c r="L911" s="173"/>
      <c r="M911" s="173"/>
      <c r="N911" s="173"/>
      <c r="O911" s="173"/>
      <c r="P911" s="173"/>
      <c r="Q911" s="173"/>
      <c r="R911" s="173"/>
      <c r="S911" s="173"/>
      <c r="T911" s="173"/>
      <c r="U911" s="173"/>
      <c r="V911" s="173"/>
      <c r="W911" s="173"/>
      <c r="X911" s="173"/>
      <c r="Y911" s="173"/>
      <c r="Z911" s="173"/>
    </row>
    <row r="912">
      <c r="A912" s="173"/>
      <c r="B912" s="173"/>
      <c r="C912" s="173"/>
      <c r="D912" s="173"/>
      <c r="E912" s="173"/>
      <c r="F912" s="173"/>
      <c r="G912" s="173"/>
      <c r="H912" s="173"/>
      <c r="I912" s="173"/>
      <c r="J912" s="173"/>
      <c r="K912" s="173"/>
      <c r="L912" s="173"/>
      <c r="M912" s="173"/>
      <c r="N912" s="173"/>
      <c r="O912" s="173"/>
      <c r="P912" s="173"/>
      <c r="Q912" s="173"/>
      <c r="R912" s="173"/>
      <c r="S912" s="173"/>
      <c r="T912" s="173"/>
      <c r="U912" s="173"/>
      <c r="V912" s="173"/>
      <c r="W912" s="173"/>
      <c r="X912" s="173"/>
      <c r="Y912" s="173"/>
      <c r="Z912" s="173"/>
    </row>
    <row r="913">
      <c r="A913" s="173"/>
      <c r="B913" s="173"/>
      <c r="C913" s="173"/>
      <c r="D913" s="173"/>
      <c r="E913" s="173"/>
      <c r="F913" s="173"/>
      <c r="G913" s="173"/>
      <c r="H913" s="173"/>
      <c r="I913" s="173"/>
      <c r="J913" s="173"/>
      <c r="K913" s="173"/>
      <c r="L913" s="173"/>
      <c r="M913" s="173"/>
      <c r="N913" s="173"/>
      <c r="O913" s="173"/>
      <c r="P913" s="173"/>
      <c r="Q913" s="173"/>
      <c r="R913" s="173"/>
      <c r="S913" s="173"/>
      <c r="T913" s="173"/>
      <c r="U913" s="173"/>
      <c r="V913" s="173"/>
      <c r="W913" s="173"/>
      <c r="X913" s="173"/>
      <c r="Y913" s="173"/>
      <c r="Z913" s="173"/>
    </row>
    <row r="914">
      <c r="A914" s="173"/>
      <c r="B914" s="173"/>
      <c r="C914" s="173"/>
      <c r="D914" s="173"/>
      <c r="E914" s="173"/>
      <c r="F914" s="173"/>
      <c r="G914" s="173"/>
      <c r="H914" s="173"/>
      <c r="I914" s="173"/>
      <c r="J914" s="173"/>
      <c r="K914" s="173"/>
      <c r="L914" s="173"/>
      <c r="M914" s="173"/>
      <c r="N914" s="173"/>
      <c r="O914" s="173"/>
      <c r="P914" s="173"/>
      <c r="Q914" s="173"/>
      <c r="R914" s="173"/>
      <c r="S914" s="173"/>
      <c r="T914" s="173"/>
      <c r="U914" s="173"/>
      <c r="V914" s="173"/>
      <c r="W914" s="173"/>
      <c r="X914" s="173"/>
      <c r="Y914" s="173"/>
      <c r="Z914" s="173"/>
    </row>
    <row r="915">
      <c r="A915" s="173"/>
      <c r="B915" s="173"/>
      <c r="C915" s="173"/>
      <c r="D915" s="173"/>
      <c r="E915" s="173"/>
      <c r="F915" s="173"/>
      <c r="G915" s="173"/>
      <c r="H915" s="173"/>
      <c r="I915" s="173"/>
      <c r="J915" s="173"/>
      <c r="K915" s="173"/>
      <c r="L915" s="173"/>
      <c r="M915" s="173"/>
      <c r="N915" s="173"/>
      <c r="O915" s="173"/>
      <c r="P915" s="173"/>
      <c r="Q915" s="173"/>
      <c r="R915" s="173"/>
      <c r="S915" s="173"/>
      <c r="T915" s="173"/>
      <c r="U915" s="173"/>
      <c r="V915" s="173"/>
      <c r="W915" s="173"/>
      <c r="X915" s="173"/>
      <c r="Y915" s="173"/>
      <c r="Z915" s="173"/>
    </row>
    <row r="916">
      <c r="A916" s="173"/>
      <c r="B916" s="173"/>
      <c r="C916" s="173"/>
      <c r="D916" s="173"/>
      <c r="E916" s="173"/>
      <c r="F916" s="173"/>
      <c r="G916" s="173"/>
      <c r="H916" s="173"/>
      <c r="I916" s="173"/>
      <c r="J916" s="173"/>
      <c r="K916" s="173"/>
      <c r="L916" s="173"/>
      <c r="M916" s="173"/>
      <c r="N916" s="173"/>
      <c r="O916" s="173"/>
      <c r="P916" s="173"/>
      <c r="Q916" s="173"/>
      <c r="R916" s="173"/>
      <c r="S916" s="173"/>
      <c r="T916" s="173"/>
      <c r="U916" s="173"/>
      <c r="V916" s="173"/>
      <c r="W916" s="173"/>
      <c r="X916" s="173"/>
      <c r="Y916" s="173"/>
      <c r="Z916" s="173"/>
    </row>
    <row r="917">
      <c r="A917" s="173"/>
      <c r="B917" s="173"/>
      <c r="C917" s="173"/>
      <c r="D917" s="173"/>
      <c r="E917" s="173"/>
      <c r="F917" s="173"/>
      <c r="G917" s="173"/>
      <c r="H917" s="173"/>
      <c r="I917" s="173"/>
      <c r="J917" s="173"/>
      <c r="K917" s="173"/>
      <c r="L917" s="173"/>
      <c r="M917" s="173"/>
      <c r="N917" s="173"/>
      <c r="O917" s="173"/>
      <c r="P917" s="173"/>
      <c r="Q917" s="173"/>
      <c r="R917" s="173"/>
      <c r="S917" s="173"/>
      <c r="T917" s="173"/>
      <c r="U917" s="173"/>
      <c r="V917" s="173"/>
      <c r="W917" s="173"/>
      <c r="X917" s="173"/>
      <c r="Y917" s="173"/>
      <c r="Z917" s="173"/>
    </row>
    <row r="918">
      <c r="A918" s="173"/>
      <c r="B918" s="173"/>
      <c r="C918" s="173"/>
      <c r="D918" s="173"/>
      <c r="E918" s="173"/>
      <c r="F918" s="173"/>
      <c r="G918" s="173"/>
      <c r="H918" s="173"/>
      <c r="I918" s="173"/>
      <c r="J918" s="173"/>
      <c r="K918" s="173"/>
      <c r="L918" s="173"/>
      <c r="M918" s="173"/>
      <c r="N918" s="173"/>
      <c r="O918" s="173"/>
      <c r="P918" s="173"/>
      <c r="Q918" s="173"/>
      <c r="R918" s="173"/>
      <c r="S918" s="173"/>
      <c r="T918" s="173"/>
      <c r="U918" s="173"/>
      <c r="V918" s="173"/>
      <c r="W918" s="173"/>
      <c r="X918" s="173"/>
      <c r="Y918" s="173"/>
      <c r="Z918" s="173"/>
    </row>
    <row r="919">
      <c r="A919" s="173"/>
      <c r="B919" s="173"/>
      <c r="C919" s="173"/>
      <c r="D919" s="173"/>
      <c r="E919" s="173"/>
      <c r="F919" s="173"/>
      <c r="G919" s="173"/>
      <c r="H919" s="173"/>
      <c r="I919" s="173"/>
      <c r="J919" s="173"/>
      <c r="K919" s="173"/>
      <c r="L919" s="173"/>
      <c r="M919" s="173"/>
      <c r="N919" s="173"/>
      <c r="O919" s="173"/>
      <c r="P919" s="173"/>
      <c r="Q919" s="173"/>
      <c r="R919" s="173"/>
      <c r="S919" s="173"/>
      <c r="T919" s="173"/>
      <c r="U919" s="173"/>
      <c r="V919" s="173"/>
      <c r="W919" s="173"/>
      <c r="X919" s="173"/>
      <c r="Y919" s="173"/>
      <c r="Z919" s="173"/>
    </row>
    <row r="920">
      <c r="A920" s="173"/>
      <c r="B920" s="173"/>
      <c r="C920" s="173"/>
      <c r="D920" s="173"/>
      <c r="E920" s="173"/>
      <c r="F920" s="173"/>
      <c r="G920" s="173"/>
      <c r="H920" s="173"/>
      <c r="I920" s="173"/>
      <c r="J920" s="173"/>
      <c r="K920" s="173"/>
      <c r="L920" s="173"/>
      <c r="M920" s="173"/>
      <c r="N920" s="173"/>
      <c r="O920" s="173"/>
      <c r="P920" s="173"/>
      <c r="Q920" s="173"/>
      <c r="R920" s="173"/>
      <c r="S920" s="173"/>
      <c r="T920" s="173"/>
      <c r="U920" s="173"/>
      <c r="V920" s="173"/>
      <c r="W920" s="173"/>
      <c r="X920" s="173"/>
      <c r="Y920" s="173"/>
      <c r="Z920" s="173"/>
    </row>
    <row r="921">
      <c r="A921" s="173"/>
      <c r="B921" s="173"/>
      <c r="C921" s="173"/>
      <c r="D921" s="173"/>
      <c r="E921" s="173"/>
      <c r="F921" s="173"/>
      <c r="G921" s="173"/>
      <c r="H921" s="173"/>
      <c r="I921" s="173"/>
      <c r="J921" s="173"/>
      <c r="K921" s="173"/>
      <c r="L921" s="173"/>
      <c r="M921" s="173"/>
      <c r="N921" s="173"/>
      <c r="O921" s="173"/>
      <c r="P921" s="173"/>
      <c r="Q921" s="173"/>
      <c r="R921" s="173"/>
      <c r="S921" s="173"/>
      <c r="T921" s="173"/>
      <c r="U921" s="173"/>
      <c r="V921" s="173"/>
      <c r="W921" s="173"/>
      <c r="X921" s="173"/>
      <c r="Y921" s="173"/>
      <c r="Z921" s="173"/>
    </row>
    <row r="922">
      <c r="A922" s="173"/>
      <c r="B922" s="173"/>
      <c r="C922" s="173"/>
      <c r="D922" s="173"/>
      <c r="E922" s="173"/>
      <c r="F922" s="173"/>
      <c r="G922" s="173"/>
      <c r="H922" s="173"/>
      <c r="I922" s="173"/>
      <c r="J922" s="173"/>
      <c r="K922" s="173"/>
      <c r="L922" s="173"/>
      <c r="M922" s="173"/>
      <c r="N922" s="173"/>
      <c r="O922" s="173"/>
      <c r="P922" s="173"/>
      <c r="Q922" s="173"/>
      <c r="R922" s="173"/>
      <c r="S922" s="173"/>
      <c r="T922" s="173"/>
      <c r="U922" s="173"/>
      <c r="V922" s="173"/>
      <c r="W922" s="173"/>
      <c r="X922" s="173"/>
      <c r="Y922" s="173"/>
      <c r="Z922" s="173"/>
    </row>
    <row r="923">
      <c r="A923" s="173"/>
      <c r="B923" s="173"/>
      <c r="C923" s="173"/>
      <c r="D923" s="173"/>
      <c r="E923" s="173"/>
      <c r="F923" s="173"/>
      <c r="G923" s="173"/>
      <c r="H923" s="173"/>
      <c r="I923" s="173"/>
      <c r="J923" s="173"/>
      <c r="K923" s="173"/>
      <c r="L923" s="173"/>
      <c r="M923" s="173"/>
      <c r="N923" s="173"/>
      <c r="O923" s="173"/>
      <c r="P923" s="173"/>
      <c r="Q923" s="173"/>
      <c r="R923" s="173"/>
      <c r="S923" s="173"/>
      <c r="T923" s="173"/>
      <c r="U923" s="173"/>
      <c r="V923" s="173"/>
      <c r="W923" s="173"/>
      <c r="X923" s="173"/>
      <c r="Y923" s="173"/>
      <c r="Z923" s="173"/>
    </row>
    <row r="924">
      <c r="A924" s="173"/>
      <c r="B924" s="173"/>
      <c r="C924" s="173"/>
      <c r="D924" s="173"/>
      <c r="E924" s="173"/>
      <c r="F924" s="173"/>
      <c r="G924" s="173"/>
      <c r="H924" s="173"/>
      <c r="I924" s="173"/>
      <c r="J924" s="173"/>
      <c r="K924" s="173"/>
      <c r="L924" s="173"/>
      <c r="M924" s="173"/>
      <c r="N924" s="173"/>
      <c r="O924" s="173"/>
      <c r="P924" s="173"/>
      <c r="Q924" s="173"/>
      <c r="R924" s="173"/>
      <c r="S924" s="173"/>
      <c r="T924" s="173"/>
      <c r="U924" s="173"/>
      <c r="V924" s="173"/>
      <c r="W924" s="173"/>
      <c r="X924" s="173"/>
      <c r="Y924" s="173"/>
      <c r="Z924" s="173"/>
    </row>
    <row r="925">
      <c r="A925" s="173"/>
      <c r="B925" s="173"/>
      <c r="C925" s="173"/>
      <c r="D925" s="173"/>
      <c r="E925" s="173"/>
      <c r="F925" s="173"/>
      <c r="G925" s="173"/>
      <c r="H925" s="173"/>
      <c r="I925" s="173"/>
      <c r="J925" s="173"/>
      <c r="K925" s="173"/>
      <c r="L925" s="173"/>
      <c r="M925" s="173"/>
      <c r="N925" s="173"/>
      <c r="O925" s="173"/>
      <c r="P925" s="173"/>
      <c r="Q925" s="173"/>
      <c r="R925" s="173"/>
      <c r="S925" s="173"/>
      <c r="T925" s="173"/>
      <c r="U925" s="173"/>
      <c r="V925" s="173"/>
      <c r="W925" s="173"/>
      <c r="X925" s="173"/>
      <c r="Y925" s="173"/>
      <c r="Z925" s="173"/>
    </row>
    <row r="926">
      <c r="A926" s="173"/>
      <c r="B926" s="173"/>
      <c r="C926" s="173"/>
      <c r="D926" s="173"/>
      <c r="E926" s="173"/>
      <c r="F926" s="173"/>
      <c r="G926" s="173"/>
      <c r="H926" s="173"/>
      <c r="I926" s="173"/>
      <c r="J926" s="173"/>
      <c r="K926" s="173"/>
      <c r="L926" s="173"/>
      <c r="M926" s="173"/>
      <c r="N926" s="173"/>
      <c r="O926" s="173"/>
      <c r="P926" s="173"/>
      <c r="Q926" s="173"/>
      <c r="R926" s="173"/>
      <c r="S926" s="173"/>
      <c r="T926" s="173"/>
      <c r="U926" s="173"/>
      <c r="V926" s="173"/>
      <c r="W926" s="173"/>
      <c r="X926" s="173"/>
      <c r="Y926" s="173"/>
      <c r="Z926" s="173"/>
    </row>
    <row r="927">
      <c r="A927" s="173"/>
      <c r="B927" s="173"/>
      <c r="C927" s="173"/>
      <c r="D927" s="173"/>
      <c r="E927" s="173"/>
      <c r="F927" s="173"/>
      <c r="G927" s="173"/>
      <c r="H927" s="173"/>
      <c r="I927" s="173"/>
      <c r="J927" s="173"/>
      <c r="K927" s="173"/>
      <c r="L927" s="173"/>
      <c r="M927" s="173"/>
      <c r="N927" s="173"/>
      <c r="O927" s="173"/>
      <c r="P927" s="173"/>
      <c r="Q927" s="173"/>
      <c r="R927" s="173"/>
      <c r="S927" s="173"/>
      <c r="T927" s="173"/>
      <c r="U927" s="173"/>
      <c r="V927" s="173"/>
      <c r="W927" s="173"/>
      <c r="X927" s="173"/>
      <c r="Y927" s="173"/>
      <c r="Z927" s="173"/>
    </row>
    <row r="928">
      <c r="A928" s="173"/>
      <c r="B928" s="173"/>
      <c r="C928" s="173"/>
      <c r="D928" s="173"/>
      <c r="E928" s="173"/>
      <c r="F928" s="173"/>
      <c r="G928" s="173"/>
      <c r="H928" s="173"/>
      <c r="I928" s="173"/>
      <c r="J928" s="173"/>
      <c r="K928" s="173"/>
      <c r="L928" s="173"/>
      <c r="M928" s="173"/>
      <c r="N928" s="173"/>
      <c r="O928" s="173"/>
      <c r="P928" s="173"/>
      <c r="Q928" s="173"/>
      <c r="R928" s="173"/>
      <c r="S928" s="173"/>
      <c r="T928" s="173"/>
      <c r="U928" s="173"/>
      <c r="V928" s="173"/>
      <c r="W928" s="173"/>
      <c r="X928" s="173"/>
      <c r="Y928" s="173"/>
      <c r="Z928" s="173"/>
    </row>
    <row r="929">
      <c r="A929" s="173"/>
      <c r="B929" s="173"/>
      <c r="C929" s="173"/>
      <c r="D929" s="173"/>
      <c r="E929" s="173"/>
      <c r="F929" s="173"/>
      <c r="G929" s="173"/>
      <c r="H929" s="173"/>
      <c r="I929" s="173"/>
      <c r="J929" s="173"/>
      <c r="K929" s="173"/>
      <c r="L929" s="173"/>
      <c r="M929" s="173"/>
      <c r="N929" s="173"/>
      <c r="O929" s="173"/>
      <c r="P929" s="173"/>
      <c r="Q929" s="173"/>
      <c r="R929" s="173"/>
      <c r="S929" s="173"/>
      <c r="T929" s="173"/>
      <c r="U929" s="173"/>
      <c r="V929" s="173"/>
      <c r="W929" s="173"/>
      <c r="X929" s="173"/>
      <c r="Y929" s="173"/>
      <c r="Z929" s="173"/>
    </row>
    <row r="930">
      <c r="A930" s="173"/>
      <c r="B930" s="173"/>
      <c r="C930" s="173"/>
      <c r="D930" s="173"/>
      <c r="E930" s="173"/>
      <c r="F930" s="173"/>
      <c r="G930" s="173"/>
      <c r="H930" s="173"/>
      <c r="I930" s="173"/>
      <c r="J930" s="173"/>
      <c r="K930" s="173"/>
      <c r="L930" s="173"/>
      <c r="M930" s="173"/>
      <c r="N930" s="173"/>
      <c r="O930" s="173"/>
      <c r="P930" s="173"/>
      <c r="Q930" s="173"/>
      <c r="R930" s="173"/>
      <c r="S930" s="173"/>
      <c r="T930" s="173"/>
      <c r="U930" s="173"/>
      <c r="V930" s="173"/>
      <c r="W930" s="173"/>
      <c r="X930" s="173"/>
      <c r="Y930" s="173"/>
      <c r="Z930" s="173"/>
    </row>
    <row r="931">
      <c r="A931" s="173"/>
      <c r="B931" s="173"/>
      <c r="C931" s="173"/>
      <c r="D931" s="173"/>
      <c r="E931" s="173"/>
      <c r="F931" s="173"/>
      <c r="G931" s="173"/>
      <c r="H931" s="173"/>
      <c r="I931" s="173"/>
      <c r="J931" s="173"/>
      <c r="K931" s="173"/>
      <c r="L931" s="173"/>
      <c r="M931" s="173"/>
      <c r="N931" s="173"/>
      <c r="O931" s="173"/>
      <c r="P931" s="173"/>
      <c r="Q931" s="173"/>
      <c r="R931" s="173"/>
      <c r="S931" s="173"/>
      <c r="T931" s="173"/>
      <c r="U931" s="173"/>
      <c r="V931" s="173"/>
      <c r="W931" s="173"/>
      <c r="X931" s="173"/>
      <c r="Y931" s="173"/>
      <c r="Z931" s="173"/>
    </row>
    <row r="932">
      <c r="A932" s="173"/>
      <c r="B932" s="173"/>
      <c r="C932" s="173"/>
      <c r="D932" s="173"/>
      <c r="E932" s="173"/>
      <c r="F932" s="173"/>
      <c r="G932" s="173"/>
      <c r="H932" s="173"/>
      <c r="I932" s="173"/>
      <c r="J932" s="173"/>
      <c r="K932" s="173"/>
      <c r="L932" s="173"/>
      <c r="M932" s="173"/>
      <c r="N932" s="173"/>
      <c r="O932" s="173"/>
      <c r="P932" s="173"/>
      <c r="Q932" s="173"/>
      <c r="R932" s="173"/>
      <c r="S932" s="173"/>
      <c r="T932" s="173"/>
      <c r="U932" s="173"/>
      <c r="V932" s="173"/>
      <c r="W932" s="173"/>
      <c r="X932" s="173"/>
      <c r="Y932" s="173"/>
      <c r="Z932" s="173"/>
    </row>
    <row r="933">
      <c r="A933" s="173"/>
      <c r="B933" s="173"/>
      <c r="C933" s="173"/>
      <c r="D933" s="173"/>
      <c r="E933" s="173"/>
      <c r="F933" s="173"/>
      <c r="G933" s="173"/>
      <c r="H933" s="173"/>
      <c r="I933" s="173"/>
      <c r="J933" s="173"/>
      <c r="K933" s="173"/>
      <c r="L933" s="173"/>
      <c r="M933" s="173"/>
      <c r="N933" s="173"/>
      <c r="O933" s="173"/>
      <c r="P933" s="173"/>
      <c r="Q933" s="173"/>
      <c r="R933" s="173"/>
      <c r="S933" s="173"/>
      <c r="T933" s="173"/>
      <c r="U933" s="173"/>
      <c r="V933" s="173"/>
      <c r="W933" s="173"/>
      <c r="X933" s="173"/>
      <c r="Y933" s="173"/>
      <c r="Z933" s="173"/>
    </row>
    <row r="934">
      <c r="A934" s="173"/>
      <c r="B934" s="173"/>
      <c r="C934" s="173"/>
      <c r="D934" s="173"/>
      <c r="E934" s="173"/>
      <c r="F934" s="173"/>
      <c r="G934" s="173"/>
      <c r="H934" s="173"/>
      <c r="I934" s="173"/>
      <c r="J934" s="173"/>
      <c r="K934" s="173"/>
      <c r="L934" s="173"/>
      <c r="M934" s="173"/>
      <c r="N934" s="173"/>
      <c r="O934" s="173"/>
      <c r="P934" s="173"/>
      <c r="Q934" s="173"/>
      <c r="R934" s="173"/>
      <c r="S934" s="173"/>
      <c r="T934" s="173"/>
      <c r="U934" s="173"/>
      <c r="V934" s="173"/>
      <c r="W934" s="173"/>
      <c r="X934" s="173"/>
      <c r="Y934" s="173"/>
      <c r="Z934" s="173"/>
    </row>
    <row r="935">
      <c r="A935" s="173"/>
      <c r="B935" s="173"/>
      <c r="C935" s="173"/>
      <c r="D935" s="173"/>
      <c r="E935" s="173"/>
      <c r="F935" s="173"/>
      <c r="G935" s="173"/>
      <c r="H935" s="173"/>
      <c r="I935" s="173"/>
      <c r="J935" s="173"/>
      <c r="K935" s="173"/>
      <c r="L935" s="173"/>
      <c r="M935" s="173"/>
      <c r="N935" s="173"/>
      <c r="O935" s="173"/>
      <c r="P935" s="173"/>
      <c r="Q935" s="173"/>
      <c r="R935" s="173"/>
      <c r="S935" s="173"/>
      <c r="T935" s="173"/>
      <c r="U935" s="173"/>
      <c r="V935" s="173"/>
      <c r="W935" s="173"/>
      <c r="X935" s="173"/>
      <c r="Y935" s="173"/>
      <c r="Z935" s="173"/>
    </row>
    <row r="936">
      <c r="A936" s="173"/>
      <c r="B936" s="173"/>
      <c r="C936" s="173"/>
      <c r="D936" s="173"/>
      <c r="E936" s="173"/>
      <c r="F936" s="173"/>
      <c r="G936" s="173"/>
      <c r="H936" s="173"/>
      <c r="I936" s="173"/>
      <c r="J936" s="173"/>
      <c r="K936" s="173"/>
      <c r="L936" s="173"/>
      <c r="M936" s="173"/>
      <c r="N936" s="173"/>
      <c r="O936" s="173"/>
      <c r="P936" s="173"/>
      <c r="Q936" s="173"/>
      <c r="R936" s="173"/>
      <c r="S936" s="173"/>
      <c r="T936" s="173"/>
      <c r="U936" s="173"/>
      <c r="V936" s="173"/>
      <c r="W936" s="173"/>
      <c r="X936" s="173"/>
      <c r="Y936" s="173"/>
      <c r="Z936" s="173"/>
    </row>
    <row r="937">
      <c r="A937" s="173"/>
      <c r="B937" s="173"/>
      <c r="C937" s="173"/>
      <c r="D937" s="173"/>
      <c r="E937" s="173"/>
      <c r="F937" s="173"/>
      <c r="G937" s="173"/>
      <c r="H937" s="173"/>
      <c r="I937" s="173"/>
      <c r="J937" s="173"/>
      <c r="K937" s="173"/>
      <c r="L937" s="173"/>
      <c r="M937" s="173"/>
      <c r="N937" s="173"/>
      <c r="O937" s="173"/>
      <c r="P937" s="173"/>
      <c r="Q937" s="173"/>
      <c r="R937" s="173"/>
      <c r="S937" s="173"/>
      <c r="T937" s="173"/>
      <c r="U937" s="173"/>
      <c r="V937" s="173"/>
      <c r="W937" s="173"/>
      <c r="X937" s="173"/>
      <c r="Y937" s="173"/>
      <c r="Z937" s="173"/>
    </row>
    <row r="938">
      <c r="A938" s="173"/>
      <c r="B938" s="173"/>
      <c r="C938" s="173"/>
      <c r="D938" s="173"/>
      <c r="E938" s="173"/>
      <c r="F938" s="173"/>
      <c r="G938" s="173"/>
      <c r="H938" s="173"/>
      <c r="I938" s="173"/>
      <c r="J938" s="173"/>
      <c r="K938" s="173"/>
      <c r="L938" s="173"/>
      <c r="M938" s="173"/>
      <c r="N938" s="173"/>
      <c r="O938" s="173"/>
      <c r="P938" s="173"/>
      <c r="Q938" s="173"/>
      <c r="R938" s="173"/>
      <c r="S938" s="173"/>
      <c r="T938" s="173"/>
      <c r="U938" s="173"/>
      <c r="V938" s="173"/>
      <c r="W938" s="173"/>
      <c r="X938" s="173"/>
      <c r="Y938" s="173"/>
      <c r="Z938" s="173"/>
    </row>
    <row r="939">
      <c r="A939" s="173"/>
      <c r="B939" s="173"/>
      <c r="C939" s="173"/>
      <c r="D939" s="173"/>
      <c r="E939" s="173"/>
      <c r="F939" s="173"/>
      <c r="G939" s="173"/>
      <c r="H939" s="173"/>
      <c r="I939" s="173"/>
      <c r="J939" s="173"/>
      <c r="K939" s="173"/>
      <c r="L939" s="173"/>
      <c r="M939" s="173"/>
      <c r="N939" s="173"/>
      <c r="O939" s="173"/>
      <c r="P939" s="173"/>
      <c r="Q939" s="173"/>
      <c r="R939" s="173"/>
      <c r="S939" s="173"/>
      <c r="T939" s="173"/>
      <c r="U939" s="173"/>
      <c r="V939" s="173"/>
      <c r="W939" s="173"/>
      <c r="X939" s="173"/>
      <c r="Y939" s="173"/>
      <c r="Z939" s="173"/>
    </row>
    <row r="940">
      <c r="A940" s="173"/>
      <c r="B940" s="173"/>
      <c r="C940" s="173"/>
      <c r="D940" s="173"/>
      <c r="E940" s="173"/>
      <c r="F940" s="173"/>
      <c r="G940" s="173"/>
      <c r="H940" s="173"/>
      <c r="I940" s="173"/>
      <c r="J940" s="173"/>
      <c r="K940" s="173"/>
      <c r="L940" s="173"/>
      <c r="M940" s="173"/>
      <c r="N940" s="173"/>
      <c r="O940" s="173"/>
      <c r="P940" s="173"/>
      <c r="Q940" s="173"/>
      <c r="R940" s="173"/>
      <c r="S940" s="173"/>
      <c r="T940" s="173"/>
      <c r="U940" s="173"/>
      <c r="V940" s="173"/>
      <c r="W940" s="173"/>
      <c r="X940" s="173"/>
      <c r="Y940" s="173"/>
      <c r="Z940" s="173"/>
    </row>
    <row r="941">
      <c r="A941" s="173"/>
      <c r="B941" s="173"/>
      <c r="C941" s="173"/>
      <c r="D941" s="173"/>
      <c r="E941" s="173"/>
      <c r="F941" s="173"/>
      <c r="G941" s="173"/>
      <c r="H941" s="173"/>
      <c r="I941" s="173"/>
      <c r="J941" s="173"/>
      <c r="K941" s="173"/>
      <c r="L941" s="173"/>
      <c r="M941" s="173"/>
      <c r="N941" s="173"/>
      <c r="O941" s="173"/>
      <c r="P941" s="173"/>
      <c r="Q941" s="173"/>
      <c r="R941" s="173"/>
      <c r="S941" s="173"/>
      <c r="T941" s="173"/>
      <c r="U941" s="173"/>
      <c r="V941" s="173"/>
      <c r="W941" s="173"/>
      <c r="X941" s="173"/>
      <c r="Y941" s="173"/>
      <c r="Z941" s="173"/>
    </row>
    <row r="942">
      <c r="A942" s="173"/>
      <c r="B942" s="173"/>
      <c r="C942" s="173"/>
      <c r="D942" s="173"/>
      <c r="E942" s="173"/>
      <c r="F942" s="173"/>
      <c r="G942" s="173"/>
      <c r="H942" s="173"/>
      <c r="I942" s="173"/>
      <c r="J942" s="173"/>
      <c r="K942" s="173"/>
      <c r="L942" s="173"/>
      <c r="M942" s="173"/>
      <c r="N942" s="173"/>
      <c r="O942" s="173"/>
      <c r="P942" s="173"/>
      <c r="Q942" s="173"/>
      <c r="R942" s="173"/>
      <c r="S942" s="173"/>
      <c r="T942" s="173"/>
      <c r="U942" s="173"/>
      <c r="V942" s="173"/>
      <c r="W942" s="173"/>
      <c r="X942" s="173"/>
      <c r="Y942" s="173"/>
      <c r="Z942" s="173"/>
    </row>
    <row r="943">
      <c r="A943" s="173"/>
      <c r="B943" s="173"/>
      <c r="C943" s="173"/>
      <c r="D943" s="173"/>
      <c r="E943" s="173"/>
      <c r="F943" s="173"/>
      <c r="G943" s="173"/>
      <c r="H943" s="173"/>
      <c r="I943" s="173"/>
      <c r="J943" s="173"/>
      <c r="K943" s="173"/>
      <c r="L943" s="173"/>
      <c r="M943" s="173"/>
      <c r="N943" s="173"/>
      <c r="O943" s="173"/>
      <c r="P943" s="173"/>
      <c r="Q943" s="173"/>
      <c r="R943" s="173"/>
      <c r="S943" s="173"/>
      <c r="T943" s="173"/>
      <c r="U943" s="173"/>
      <c r="V943" s="173"/>
      <c r="W943" s="173"/>
      <c r="X943" s="173"/>
      <c r="Y943" s="173"/>
      <c r="Z943" s="173"/>
    </row>
    <row r="944">
      <c r="A944" s="173"/>
      <c r="B944" s="173"/>
      <c r="C944" s="173"/>
      <c r="D944" s="173"/>
      <c r="E944" s="173"/>
      <c r="F944" s="173"/>
      <c r="G944" s="173"/>
      <c r="H944" s="173"/>
      <c r="I944" s="173"/>
      <c r="J944" s="173"/>
      <c r="K944" s="173"/>
      <c r="L944" s="173"/>
      <c r="M944" s="173"/>
      <c r="N944" s="173"/>
      <c r="O944" s="173"/>
      <c r="P944" s="173"/>
      <c r="Q944" s="173"/>
      <c r="R944" s="173"/>
      <c r="S944" s="173"/>
      <c r="T944" s="173"/>
      <c r="U944" s="173"/>
      <c r="V944" s="173"/>
      <c r="W944" s="173"/>
      <c r="X944" s="173"/>
      <c r="Y944" s="173"/>
      <c r="Z944" s="173"/>
    </row>
    <row r="945">
      <c r="A945" s="173"/>
      <c r="B945" s="173"/>
      <c r="C945" s="173"/>
      <c r="D945" s="173"/>
      <c r="E945" s="173"/>
      <c r="F945" s="173"/>
      <c r="G945" s="173"/>
      <c r="H945" s="173"/>
      <c r="I945" s="173"/>
      <c r="J945" s="173"/>
      <c r="K945" s="173"/>
      <c r="L945" s="173"/>
      <c r="M945" s="173"/>
      <c r="N945" s="173"/>
      <c r="O945" s="173"/>
      <c r="P945" s="173"/>
      <c r="Q945" s="173"/>
      <c r="R945" s="173"/>
      <c r="S945" s="173"/>
      <c r="T945" s="173"/>
      <c r="U945" s="173"/>
      <c r="V945" s="173"/>
      <c r="W945" s="173"/>
      <c r="X945" s="173"/>
      <c r="Y945" s="173"/>
      <c r="Z945" s="173"/>
    </row>
    <row r="946">
      <c r="A946" s="173"/>
      <c r="B946" s="173"/>
      <c r="C946" s="173"/>
      <c r="D946" s="173"/>
      <c r="E946" s="173"/>
      <c r="F946" s="173"/>
      <c r="G946" s="173"/>
      <c r="H946" s="173"/>
      <c r="I946" s="173"/>
      <c r="J946" s="173"/>
      <c r="K946" s="173"/>
      <c r="L946" s="173"/>
      <c r="M946" s="173"/>
      <c r="N946" s="173"/>
      <c r="O946" s="173"/>
      <c r="P946" s="173"/>
      <c r="Q946" s="173"/>
      <c r="R946" s="173"/>
      <c r="S946" s="173"/>
      <c r="T946" s="173"/>
      <c r="U946" s="173"/>
      <c r="V946" s="173"/>
      <c r="W946" s="173"/>
      <c r="X946" s="173"/>
      <c r="Y946" s="173"/>
      <c r="Z946" s="173"/>
    </row>
    <row r="947">
      <c r="A947" s="173"/>
      <c r="B947" s="173"/>
      <c r="C947" s="173"/>
      <c r="D947" s="173"/>
      <c r="E947" s="173"/>
      <c r="F947" s="173"/>
      <c r="G947" s="173"/>
      <c r="H947" s="173"/>
      <c r="I947" s="173"/>
      <c r="J947" s="173"/>
      <c r="K947" s="173"/>
      <c r="L947" s="173"/>
      <c r="M947" s="173"/>
      <c r="N947" s="173"/>
      <c r="O947" s="173"/>
      <c r="P947" s="173"/>
      <c r="Q947" s="173"/>
      <c r="R947" s="173"/>
      <c r="S947" s="173"/>
      <c r="T947" s="173"/>
      <c r="U947" s="173"/>
      <c r="V947" s="173"/>
      <c r="W947" s="173"/>
      <c r="X947" s="173"/>
      <c r="Y947" s="173"/>
      <c r="Z947" s="173"/>
    </row>
    <row r="948">
      <c r="A948" s="173"/>
      <c r="B948" s="173"/>
      <c r="C948" s="173"/>
      <c r="D948" s="173"/>
      <c r="E948" s="173"/>
      <c r="F948" s="173"/>
      <c r="G948" s="173"/>
      <c r="H948" s="173"/>
      <c r="I948" s="173"/>
      <c r="J948" s="173"/>
      <c r="K948" s="173"/>
      <c r="L948" s="173"/>
      <c r="M948" s="173"/>
      <c r="N948" s="173"/>
      <c r="O948" s="173"/>
      <c r="P948" s="173"/>
      <c r="Q948" s="173"/>
      <c r="R948" s="173"/>
      <c r="S948" s="173"/>
      <c r="T948" s="173"/>
      <c r="U948" s="173"/>
      <c r="V948" s="173"/>
      <c r="W948" s="173"/>
      <c r="X948" s="173"/>
      <c r="Y948" s="173"/>
      <c r="Z948" s="173"/>
    </row>
    <row r="949">
      <c r="A949" s="173"/>
      <c r="B949" s="173"/>
      <c r="C949" s="173"/>
      <c r="D949" s="173"/>
      <c r="E949" s="173"/>
      <c r="F949" s="173"/>
      <c r="G949" s="173"/>
      <c r="H949" s="173"/>
      <c r="I949" s="173"/>
      <c r="J949" s="173"/>
      <c r="K949" s="173"/>
      <c r="L949" s="173"/>
      <c r="M949" s="173"/>
      <c r="N949" s="173"/>
      <c r="O949" s="173"/>
      <c r="P949" s="173"/>
      <c r="Q949" s="173"/>
      <c r="R949" s="173"/>
      <c r="S949" s="173"/>
      <c r="T949" s="173"/>
      <c r="U949" s="173"/>
      <c r="V949" s="173"/>
      <c r="W949" s="173"/>
      <c r="X949" s="173"/>
      <c r="Y949" s="173"/>
      <c r="Z949" s="173"/>
    </row>
    <row r="950">
      <c r="A950" s="173"/>
      <c r="B950" s="173"/>
      <c r="C950" s="173"/>
      <c r="D950" s="173"/>
      <c r="E950" s="173"/>
      <c r="F950" s="173"/>
      <c r="G950" s="173"/>
      <c r="H950" s="173"/>
      <c r="I950" s="173"/>
      <c r="J950" s="173"/>
      <c r="K950" s="173"/>
      <c r="L950" s="173"/>
      <c r="M950" s="173"/>
      <c r="N950" s="173"/>
      <c r="O950" s="173"/>
      <c r="P950" s="173"/>
      <c r="Q950" s="173"/>
      <c r="R950" s="173"/>
      <c r="S950" s="173"/>
      <c r="T950" s="173"/>
      <c r="U950" s="173"/>
      <c r="V950" s="173"/>
      <c r="W950" s="173"/>
      <c r="X950" s="173"/>
      <c r="Y950" s="173"/>
      <c r="Z950" s="173"/>
    </row>
    <row r="951">
      <c r="A951" s="173"/>
      <c r="B951" s="173"/>
      <c r="C951" s="173"/>
      <c r="D951" s="173"/>
      <c r="E951" s="173"/>
      <c r="F951" s="173"/>
      <c r="G951" s="173"/>
      <c r="H951" s="173"/>
      <c r="I951" s="173"/>
      <c r="J951" s="173"/>
      <c r="K951" s="173"/>
      <c r="L951" s="173"/>
      <c r="M951" s="173"/>
      <c r="N951" s="173"/>
      <c r="O951" s="173"/>
      <c r="P951" s="173"/>
      <c r="Q951" s="173"/>
      <c r="R951" s="173"/>
      <c r="S951" s="173"/>
      <c r="T951" s="173"/>
      <c r="U951" s="173"/>
      <c r="V951" s="173"/>
      <c r="W951" s="173"/>
      <c r="X951" s="173"/>
      <c r="Y951" s="173"/>
      <c r="Z951" s="173"/>
    </row>
    <row r="952">
      <c r="A952" s="173"/>
      <c r="B952" s="173"/>
      <c r="C952" s="173"/>
      <c r="D952" s="173"/>
      <c r="E952" s="173"/>
      <c r="F952" s="173"/>
      <c r="G952" s="173"/>
      <c r="H952" s="173"/>
      <c r="I952" s="173"/>
      <c r="J952" s="173"/>
      <c r="K952" s="173"/>
      <c r="L952" s="173"/>
      <c r="M952" s="173"/>
      <c r="N952" s="173"/>
      <c r="O952" s="173"/>
      <c r="P952" s="173"/>
      <c r="Q952" s="173"/>
      <c r="R952" s="173"/>
      <c r="S952" s="173"/>
      <c r="T952" s="173"/>
      <c r="U952" s="173"/>
      <c r="V952" s="173"/>
      <c r="W952" s="173"/>
      <c r="X952" s="173"/>
      <c r="Y952" s="173"/>
      <c r="Z952" s="173"/>
    </row>
    <row r="953">
      <c r="A953" s="173"/>
      <c r="B953" s="173"/>
      <c r="C953" s="173"/>
      <c r="D953" s="173"/>
      <c r="E953" s="173"/>
      <c r="F953" s="173"/>
      <c r="G953" s="173"/>
      <c r="H953" s="173"/>
      <c r="I953" s="173"/>
      <c r="J953" s="173"/>
      <c r="K953" s="173"/>
      <c r="L953" s="173"/>
      <c r="M953" s="173"/>
      <c r="N953" s="173"/>
      <c r="O953" s="173"/>
      <c r="P953" s="173"/>
      <c r="Q953" s="173"/>
      <c r="R953" s="173"/>
      <c r="S953" s="173"/>
      <c r="T953" s="173"/>
      <c r="U953" s="173"/>
      <c r="V953" s="173"/>
      <c r="W953" s="173"/>
      <c r="X953" s="173"/>
      <c r="Y953" s="173"/>
      <c r="Z953" s="173"/>
    </row>
    <row r="954">
      <c r="A954" s="173"/>
      <c r="B954" s="173"/>
      <c r="C954" s="173"/>
      <c r="D954" s="173"/>
      <c r="E954" s="173"/>
      <c r="F954" s="173"/>
      <c r="G954" s="173"/>
      <c r="H954" s="173"/>
      <c r="I954" s="173"/>
      <c r="J954" s="173"/>
      <c r="K954" s="173"/>
      <c r="L954" s="173"/>
      <c r="M954" s="173"/>
      <c r="N954" s="173"/>
      <c r="O954" s="173"/>
      <c r="P954" s="173"/>
      <c r="Q954" s="173"/>
      <c r="R954" s="173"/>
      <c r="S954" s="173"/>
      <c r="T954" s="173"/>
      <c r="U954" s="173"/>
      <c r="V954" s="173"/>
      <c r="W954" s="173"/>
      <c r="X954" s="173"/>
      <c r="Y954" s="173"/>
      <c r="Z954" s="173"/>
    </row>
    <row r="955">
      <c r="A955" s="173"/>
      <c r="B955" s="173"/>
      <c r="C955" s="173"/>
      <c r="D955" s="173"/>
      <c r="E955" s="173"/>
      <c r="F955" s="173"/>
      <c r="G955" s="173"/>
      <c r="H955" s="173"/>
      <c r="I955" s="173"/>
      <c r="J955" s="173"/>
      <c r="K955" s="173"/>
      <c r="L955" s="173"/>
      <c r="M955" s="173"/>
      <c r="N955" s="173"/>
      <c r="O955" s="173"/>
      <c r="P955" s="173"/>
      <c r="Q955" s="173"/>
      <c r="R955" s="173"/>
      <c r="S955" s="173"/>
      <c r="T955" s="173"/>
      <c r="U955" s="173"/>
      <c r="V955" s="173"/>
      <c r="W955" s="173"/>
      <c r="X955" s="173"/>
      <c r="Y955" s="173"/>
      <c r="Z955" s="173"/>
    </row>
    <row r="956">
      <c r="A956" s="173"/>
      <c r="B956" s="173"/>
      <c r="C956" s="173"/>
      <c r="D956" s="173"/>
      <c r="E956" s="173"/>
      <c r="F956" s="173"/>
      <c r="G956" s="173"/>
      <c r="H956" s="173"/>
      <c r="I956" s="173"/>
      <c r="J956" s="173"/>
      <c r="K956" s="173"/>
      <c r="L956" s="173"/>
      <c r="M956" s="173"/>
      <c r="N956" s="173"/>
      <c r="O956" s="173"/>
      <c r="P956" s="173"/>
      <c r="Q956" s="173"/>
      <c r="R956" s="173"/>
      <c r="S956" s="173"/>
      <c r="T956" s="173"/>
      <c r="U956" s="173"/>
      <c r="V956" s="173"/>
      <c r="W956" s="173"/>
      <c r="X956" s="173"/>
      <c r="Y956" s="173"/>
      <c r="Z956" s="173"/>
    </row>
    <row r="957">
      <c r="A957" s="173"/>
      <c r="B957" s="173"/>
      <c r="C957" s="173"/>
      <c r="D957" s="173"/>
      <c r="E957" s="173"/>
      <c r="F957" s="173"/>
      <c r="G957" s="173"/>
      <c r="H957" s="173"/>
      <c r="I957" s="173"/>
      <c r="J957" s="173"/>
      <c r="K957" s="173"/>
      <c r="L957" s="173"/>
      <c r="M957" s="173"/>
      <c r="N957" s="173"/>
      <c r="O957" s="173"/>
      <c r="P957" s="173"/>
      <c r="Q957" s="173"/>
      <c r="R957" s="173"/>
      <c r="S957" s="173"/>
      <c r="T957" s="173"/>
      <c r="U957" s="173"/>
      <c r="V957" s="173"/>
      <c r="W957" s="173"/>
      <c r="X957" s="173"/>
      <c r="Y957" s="173"/>
      <c r="Z957" s="173"/>
    </row>
    <row r="958">
      <c r="A958" s="173"/>
      <c r="B958" s="173"/>
      <c r="C958" s="173"/>
      <c r="D958" s="173"/>
      <c r="E958" s="173"/>
      <c r="F958" s="173"/>
      <c r="G958" s="173"/>
      <c r="H958" s="173"/>
      <c r="I958" s="173"/>
      <c r="J958" s="173"/>
      <c r="K958" s="173"/>
      <c r="L958" s="173"/>
      <c r="M958" s="173"/>
      <c r="N958" s="173"/>
      <c r="O958" s="173"/>
      <c r="P958" s="173"/>
      <c r="Q958" s="173"/>
      <c r="R958" s="173"/>
      <c r="S958" s="173"/>
      <c r="T958" s="173"/>
      <c r="U958" s="173"/>
      <c r="V958" s="173"/>
      <c r="W958" s="173"/>
      <c r="X958" s="173"/>
      <c r="Y958" s="173"/>
      <c r="Z958" s="173"/>
    </row>
    <row r="959">
      <c r="A959" s="173"/>
      <c r="B959" s="173"/>
      <c r="C959" s="173"/>
      <c r="D959" s="173"/>
      <c r="E959" s="173"/>
      <c r="F959" s="173"/>
      <c r="G959" s="173"/>
      <c r="H959" s="173"/>
      <c r="I959" s="173"/>
      <c r="J959" s="173"/>
      <c r="K959" s="173"/>
      <c r="L959" s="173"/>
      <c r="M959" s="173"/>
      <c r="N959" s="173"/>
      <c r="O959" s="173"/>
      <c r="P959" s="173"/>
      <c r="Q959" s="173"/>
      <c r="R959" s="173"/>
      <c r="S959" s="173"/>
      <c r="T959" s="173"/>
      <c r="U959" s="173"/>
      <c r="V959" s="173"/>
      <c r="W959" s="173"/>
      <c r="X959" s="173"/>
      <c r="Y959" s="173"/>
      <c r="Z959" s="173"/>
    </row>
    <row r="960">
      <c r="A960" s="173"/>
      <c r="B960" s="173"/>
      <c r="C960" s="173"/>
      <c r="D960" s="173"/>
      <c r="E960" s="173"/>
      <c r="F960" s="173"/>
      <c r="G960" s="173"/>
      <c r="H960" s="173"/>
      <c r="I960" s="173"/>
      <c r="J960" s="173"/>
      <c r="K960" s="173"/>
      <c r="L960" s="173"/>
      <c r="M960" s="173"/>
      <c r="N960" s="173"/>
      <c r="O960" s="173"/>
      <c r="P960" s="173"/>
      <c r="Q960" s="173"/>
      <c r="R960" s="173"/>
      <c r="S960" s="173"/>
      <c r="T960" s="173"/>
      <c r="U960" s="173"/>
      <c r="V960" s="173"/>
      <c r="W960" s="173"/>
      <c r="X960" s="173"/>
      <c r="Y960" s="173"/>
      <c r="Z960" s="173"/>
    </row>
    <row r="961">
      <c r="A961" s="173"/>
      <c r="B961" s="173"/>
      <c r="C961" s="173"/>
      <c r="D961" s="173"/>
      <c r="E961" s="173"/>
      <c r="F961" s="173"/>
      <c r="G961" s="173"/>
      <c r="H961" s="173"/>
      <c r="I961" s="173"/>
      <c r="J961" s="173"/>
      <c r="K961" s="173"/>
      <c r="L961" s="173"/>
      <c r="M961" s="173"/>
      <c r="N961" s="173"/>
      <c r="O961" s="173"/>
      <c r="P961" s="173"/>
      <c r="Q961" s="173"/>
      <c r="R961" s="173"/>
      <c r="S961" s="173"/>
      <c r="T961" s="173"/>
      <c r="U961" s="173"/>
      <c r="V961" s="173"/>
      <c r="W961" s="173"/>
      <c r="X961" s="173"/>
      <c r="Y961" s="173"/>
      <c r="Z961" s="173"/>
    </row>
    <row r="962">
      <c r="A962" s="173"/>
      <c r="B962" s="173"/>
      <c r="C962" s="173"/>
      <c r="D962" s="173"/>
      <c r="E962" s="173"/>
      <c r="F962" s="173"/>
      <c r="G962" s="173"/>
      <c r="H962" s="173"/>
      <c r="I962" s="173"/>
      <c r="J962" s="173"/>
      <c r="K962" s="173"/>
      <c r="L962" s="173"/>
      <c r="M962" s="173"/>
      <c r="N962" s="173"/>
      <c r="O962" s="173"/>
      <c r="P962" s="173"/>
      <c r="Q962" s="173"/>
      <c r="R962" s="173"/>
      <c r="S962" s="173"/>
      <c r="T962" s="173"/>
      <c r="U962" s="173"/>
      <c r="V962" s="173"/>
      <c r="W962" s="173"/>
      <c r="X962" s="173"/>
      <c r="Y962" s="173"/>
      <c r="Z962" s="173"/>
    </row>
    <row r="963">
      <c r="A963" s="173"/>
      <c r="B963" s="173"/>
      <c r="C963" s="173"/>
      <c r="D963" s="173"/>
      <c r="E963" s="173"/>
      <c r="F963" s="173"/>
      <c r="G963" s="173"/>
      <c r="H963" s="173"/>
      <c r="I963" s="173"/>
      <c r="J963" s="173"/>
      <c r="K963" s="173"/>
      <c r="L963" s="173"/>
      <c r="M963" s="173"/>
      <c r="N963" s="173"/>
      <c r="O963" s="173"/>
      <c r="P963" s="173"/>
      <c r="Q963" s="173"/>
      <c r="R963" s="173"/>
      <c r="S963" s="173"/>
      <c r="T963" s="173"/>
      <c r="U963" s="173"/>
      <c r="V963" s="173"/>
      <c r="W963" s="173"/>
      <c r="X963" s="173"/>
      <c r="Y963" s="173"/>
      <c r="Z963" s="173"/>
    </row>
    <row r="964">
      <c r="A964" s="173"/>
      <c r="B964" s="173"/>
      <c r="C964" s="173"/>
      <c r="D964" s="173"/>
      <c r="E964" s="173"/>
      <c r="F964" s="173"/>
      <c r="G964" s="173"/>
      <c r="H964" s="173"/>
      <c r="I964" s="173"/>
      <c r="J964" s="173"/>
      <c r="K964" s="173"/>
      <c r="L964" s="173"/>
      <c r="M964" s="173"/>
      <c r="N964" s="173"/>
      <c r="O964" s="173"/>
      <c r="P964" s="173"/>
      <c r="Q964" s="173"/>
      <c r="R964" s="173"/>
      <c r="S964" s="173"/>
      <c r="T964" s="173"/>
      <c r="U964" s="173"/>
      <c r="V964" s="173"/>
      <c r="W964" s="173"/>
      <c r="X964" s="173"/>
      <c r="Y964" s="173"/>
      <c r="Z964" s="173"/>
    </row>
    <row r="965">
      <c r="A965" s="173"/>
      <c r="B965" s="173"/>
      <c r="C965" s="173"/>
      <c r="D965" s="173"/>
      <c r="E965" s="173"/>
      <c r="F965" s="173"/>
      <c r="G965" s="173"/>
      <c r="H965" s="173"/>
      <c r="I965" s="173"/>
      <c r="J965" s="173"/>
      <c r="K965" s="173"/>
      <c r="L965" s="173"/>
      <c r="M965" s="173"/>
      <c r="N965" s="173"/>
      <c r="O965" s="173"/>
      <c r="P965" s="173"/>
      <c r="Q965" s="173"/>
      <c r="R965" s="173"/>
      <c r="S965" s="173"/>
      <c r="T965" s="173"/>
      <c r="U965" s="173"/>
      <c r="V965" s="173"/>
      <c r="W965" s="173"/>
      <c r="X965" s="173"/>
      <c r="Y965" s="173"/>
      <c r="Z965" s="173"/>
    </row>
    <row r="966">
      <c r="A966" s="173"/>
      <c r="B966" s="173"/>
      <c r="C966" s="173"/>
      <c r="D966" s="173"/>
      <c r="E966" s="173"/>
      <c r="F966" s="173"/>
      <c r="G966" s="173"/>
      <c r="H966" s="173"/>
      <c r="I966" s="173"/>
      <c r="J966" s="173"/>
      <c r="K966" s="173"/>
      <c r="L966" s="173"/>
      <c r="M966" s="173"/>
      <c r="N966" s="173"/>
      <c r="O966" s="173"/>
      <c r="P966" s="173"/>
      <c r="Q966" s="173"/>
      <c r="R966" s="173"/>
      <c r="S966" s="173"/>
      <c r="T966" s="173"/>
      <c r="U966" s="173"/>
      <c r="V966" s="173"/>
      <c r="W966" s="173"/>
      <c r="X966" s="173"/>
      <c r="Y966" s="173"/>
      <c r="Z966" s="173"/>
    </row>
    <row r="967">
      <c r="A967" s="173"/>
      <c r="B967" s="173"/>
      <c r="C967" s="173"/>
      <c r="D967" s="173"/>
      <c r="E967" s="173"/>
      <c r="F967" s="173"/>
      <c r="G967" s="173"/>
      <c r="H967" s="173"/>
      <c r="I967" s="173"/>
      <c r="J967" s="173"/>
      <c r="K967" s="173"/>
      <c r="L967" s="173"/>
      <c r="M967" s="173"/>
      <c r="N967" s="173"/>
      <c r="O967" s="173"/>
      <c r="P967" s="173"/>
      <c r="Q967" s="173"/>
      <c r="R967" s="173"/>
      <c r="S967" s="173"/>
      <c r="T967" s="173"/>
      <c r="U967" s="173"/>
      <c r="V967" s="173"/>
      <c r="W967" s="173"/>
      <c r="X967" s="173"/>
      <c r="Y967" s="173"/>
      <c r="Z967" s="173"/>
    </row>
    <row r="968">
      <c r="A968" s="173"/>
      <c r="B968" s="173"/>
      <c r="C968" s="173"/>
      <c r="D968" s="173"/>
      <c r="E968" s="173"/>
      <c r="F968" s="173"/>
      <c r="G968" s="173"/>
      <c r="H968" s="173"/>
      <c r="I968" s="173"/>
      <c r="J968" s="173"/>
      <c r="K968" s="173"/>
      <c r="L968" s="173"/>
      <c r="M968" s="173"/>
      <c r="N968" s="173"/>
      <c r="O968" s="173"/>
      <c r="P968" s="173"/>
      <c r="Q968" s="173"/>
      <c r="R968" s="173"/>
      <c r="S968" s="173"/>
      <c r="T968" s="173"/>
      <c r="U968" s="173"/>
      <c r="V968" s="173"/>
      <c r="W968" s="173"/>
      <c r="X968" s="173"/>
      <c r="Y968" s="173"/>
      <c r="Z968" s="173"/>
    </row>
    <row r="969">
      <c r="A969" s="173"/>
      <c r="B969" s="173"/>
      <c r="C969" s="173"/>
      <c r="D969" s="173"/>
      <c r="E969" s="173"/>
      <c r="F969" s="173"/>
      <c r="G969" s="173"/>
      <c r="H969" s="173"/>
      <c r="I969" s="173"/>
      <c r="J969" s="173"/>
      <c r="K969" s="173"/>
      <c r="L969" s="173"/>
      <c r="M969" s="173"/>
      <c r="N969" s="173"/>
      <c r="O969" s="173"/>
      <c r="P969" s="173"/>
      <c r="Q969" s="173"/>
      <c r="R969" s="173"/>
      <c r="S969" s="173"/>
      <c r="T969" s="173"/>
      <c r="U969" s="173"/>
      <c r="V969" s="173"/>
      <c r="W969" s="173"/>
      <c r="X969" s="173"/>
      <c r="Y969" s="173"/>
      <c r="Z969" s="173"/>
    </row>
    <row r="970">
      <c r="A970" s="173"/>
      <c r="B970" s="173"/>
      <c r="C970" s="173"/>
      <c r="D970" s="173"/>
      <c r="E970" s="173"/>
      <c r="F970" s="173"/>
      <c r="G970" s="173"/>
      <c r="H970" s="173"/>
      <c r="I970" s="173"/>
      <c r="J970" s="173"/>
      <c r="K970" s="173"/>
      <c r="L970" s="173"/>
      <c r="M970" s="173"/>
      <c r="N970" s="173"/>
      <c r="O970" s="173"/>
      <c r="P970" s="173"/>
      <c r="Q970" s="173"/>
      <c r="R970" s="173"/>
      <c r="S970" s="173"/>
      <c r="T970" s="173"/>
      <c r="U970" s="173"/>
      <c r="V970" s="173"/>
      <c r="W970" s="173"/>
      <c r="X970" s="173"/>
      <c r="Y970" s="173"/>
      <c r="Z970" s="173"/>
    </row>
    <row r="971">
      <c r="A971" s="173"/>
      <c r="B971" s="173"/>
      <c r="C971" s="173"/>
      <c r="D971" s="173"/>
      <c r="E971" s="173"/>
      <c r="F971" s="173"/>
      <c r="G971" s="173"/>
      <c r="H971" s="173"/>
      <c r="I971" s="173"/>
      <c r="J971" s="173"/>
      <c r="K971" s="173"/>
      <c r="L971" s="173"/>
      <c r="M971" s="173"/>
      <c r="N971" s="173"/>
      <c r="O971" s="173"/>
      <c r="P971" s="173"/>
      <c r="Q971" s="173"/>
      <c r="R971" s="173"/>
      <c r="S971" s="173"/>
      <c r="T971" s="173"/>
      <c r="U971" s="173"/>
      <c r="V971" s="173"/>
      <c r="W971" s="173"/>
      <c r="X971" s="173"/>
      <c r="Y971" s="173"/>
      <c r="Z971" s="173"/>
    </row>
    <row r="972">
      <c r="A972" s="173"/>
      <c r="B972" s="173"/>
      <c r="C972" s="173"/>
      <c r="D972" s="173"/>
      <c r="E972" s="173"/>
      <c r="F972" s="173"/>
      <c r="G972" s="173"/>
      <c r="H972" s="173"/>
      <c r="I972" s="173"/>
      <c r="J972" s="173"/>
      <c r="K972" s="173"/>
      <c r="L972" s="173"/>
      <c r="M972" s="173"/>
      <c r="N972" s="173"/>
      <c r="O972" s="173"/>
      <c r="P972" s="173"/>
      <c r="Q972" s="173"/>
      <c r="R972" s="173"/>
      <c r="S972" s="173"/>
      <c r="T972" s="173"/>
      <c r="U972" s="173"/>
      <c r="V972" s="173"/>
      <c r="W972" s="173"/>
      <c r="X972" s="173"/>
      <c r="Y972" s="173"/>
      <c r="Z972" s="173"/>
    </row>
    <row r="973">
      <c r="A973" s="173"/>
      <c r="B973" s="173"/>
      <c r="C973" s="173"/>
      <c r="D973" s="173"/>
      <c r="E973" s="173"/>
      <c r="F973" s="173"/>
      <c r="G973" s="173"/>
      <c r="H973" s="173"/>
      <c r="I973" s="173"/>
      <c r="J973" s="173"/>
      <c r="K973" s="173"/>
      <c r="L973" s="173"/>
      <c r="M973" s="173"/>
      <c r="N973" s="173"/>
      <c r="O973" s="173"/>
      <c r="P973" s="173"/>
      <c r="Q973" s="173"/>
      <c r="R973" s="173"/>
      <c r="S973" s="173"/>
      <c r="T973" s="173"/>
      <c r="U973" s="173"/>
      <c r="V973" s="173"/>
      <c r="W973" s="173"/>
      <c r="X973" s="173"/>
      <c r="Y973" s="173"/>
      <c r="Z973" s="173"/>
    </row>
    <row r="974">
      <c r="A974" s="173"/>
      <c r="B974" s="173"/>
      <c r="C974" s="173"/>
      <c r="D974" s="173"/>
      <c r="E974" s="173"/>
      <c r="F974" s="173"/>
      <c r="G974" s="173"/>
      <c r="H974" s="173"/>
      <c r="I974" s="173"/>
      <c r="J974" s="173"/>
      <c r="K974" s="173"/>
      <c r="L974" s="173"/>
      <c r="M974" s="173"/>
      <c r="N974" s="173"/>
      <c r="O974" s="173"/>
      <c r="P974" s="173"/>
      <c r="Q974" s="173"/>
      <c r="R974" s="173"/>
      <c r="S974" s="173"/>
      <c r="T974" s="173"/>
      <c r="U974" s="173"/>
      <c r="V974" s="173"/>
      <c r="W974" s="173"/>
      <c r="X974" s="173"/>
      <c r="Y974" s="173"/>
      <c r="Z974" s="173"/>
    </row>
    <row r="975">
      <c r="A975" s="173"/>
      <c r="B975" s="173"/>
      <c r="C975" s="173"/>
      <c r="D975" s="173"/>
      <c r="E975" s="173"/>
      <c r="F975" s="173"/>
      <c r="G975" s="173"/>
      <c r="H975" s="173"/>
      <c r="I975" s="173"/>
      <c r="J975" s="173"/>
      <c r="K975" s="173"/>
      <c r="L975" s="173"/>
      <c r="M975" s="173"/>
      <c r="N975" s="173"/>
      <c r="O975" s="173"/>
      <c r="P975" s="173"/>
      <c r="Q975" s="173"/>
      <c r="R975" s="173"/>
      <c r="S975" s="173"/>
      <c r="T975" s="173"/>
      <c r="U975" s="173"/>
      <c r="V975" s="173"/>
      <c r="W975" s="173"/>
      <c r="X975" s="173"/>
      <c r="Y975" s="173"/>
      <c r="Z975" s="173"/>
    </row>
    <row r="976">
      <c r="A976" s="173"/>
      <c r="B976" s="173"/>
      <c r="C976" s="173"/>
      <c r="D976" s="173"/>
      <c r="E976" s="173"/>
      <c r="F976" s="173"/>
      <c r="G976" s="173"/>
      <c r="H976" s="173"/>
      <c r="I976" s="173"/>
      <c r="J976" s="173"/>
      <c r="K976" s="173"/>
      <c r="L976" s="173"/>
      <c r="M976" s="173"/>
      <c r="N976" s="173"/>
      <c r="O976" s="173"/>
      <c r="P976" s="173"/>
      <c r="Q976" s="173"/>
      <c r="R976" s="173"/>
      <c r="S976" s="173"/>
      <c r="T976" s="173"/>
      <c r="U976" s="173"/>
      <c r="V976" s="173"/>
      <c r="W976" s="173"/>
      <c r="X976" s="173"/>
      <c r="Y976" s="173"/>
      <c r="Z976" s="173"/>
    </row>
    <row r="977">
      <c r="A977" s="173"/>
      <c r="B977" s="173"/>
      <c r="C977" s="173"/>
      <c r="D977" s="173"/>
      <c r="E977" s="173"/>
      <c r="F977" s="173"/>
      <c r="G977" s="173"/>
      <c r="H977" s="173"/>
      <c r="I977" s="173"/>
      <c r="J977" s="173"/>
      <c r="K977" s="173"/>
      <c r="L977" s="173"/>
      <c r="M977" s="173"/>
      <c r="N977" s="173"/>
      <c r="O977" s="173"/>
      <c r="P977" s="173"/>
      <c r="Q977" s="173"/>
      <c r="R977" s="173"/>
      <c r="S977" s="173"/>
      <c r="T977" s="173"/>
      <c r="U977" s="173"/>
      <c r="V977" s="173"/>
      <c r="W977" s="173"/>
      <c r="X977" s="173"/>
      <c r="Y977" s="173"/>
      <c r="Z977" s="173"/>
    </row>
    <row r="978">
      <c r="A978" s="173"/>
      <c r="B978" s="173"/>
      <c r="C978" s="173"/>
      <c r="D978" s="173"/>
      <c r="E978" s="173"/>
      <c r="F978" s="173"/>
      <c r="G978" s="173"/>
      <c r="H978" s="173"/>
      <c r="I978" s="173"/>
      <c r="J978" s="173"/>
      <c r="K978" s="173"/>
      <c r="L978" s="173"/>
      <c r="M978" s="173"/>
      <c r="N978" s="173"/>
      <c r="O978" s="173"/>
      <c r="P978" s="173"/>
      <c r="Q978" s="173"/>
      <c r="R978" s="173"/>
      <c r="S978" s="173"/>
      <c r="T978" s="173"/>
      <c r="U978" s="173"/>
      <c r="V978" s="173"/>
      <c r="W978" s="173"/>
      <c r="X978" s="173"/>
      <c r="Y978" s="173"/>
      <c r="Z978" s="173"/>
    </row>
    <row r="979">
      <c r="A979" s="173"/>
      <c r="B979" s="173"/>
      <c r="C979" s="173"/>
      <c r="D979" s="173"/>
      <c r="E979" s="173"/>
      <c r="F979" s="173"/>
      <c r="G979" s="173"/>
      <c r="H979" s="173"/>
      <c r="I979" s="173"/>
      <c r="J979" s="173"/>
      <c r="K979" s="173"/>
      <c r="L979" s="173"/>
      <c r="M979" s="173"/>
      <c r="N979" s="173"/>
      <c r="O979" s="173"/>
      <c r="P979" s="173"/>
      <c r="Q979" s="173"/>
      <c r="R979" s="173"/>
      <c r="S979" s="173"/>
      <c r="T979" s="173"/>
      <c r="U979" s="173"/>
      <c r="V979" s="173"/>
      <c r="W979" s="173"/>
      <c r="X979" s="173"/>
      <c r="Y979" s="173"/>
      <c r="Z979" s="173"/>
    </row>
    <row r="980">
      <c r="A980" s="173"/>
      <c r="B980" s="173"/>
      <c r="C980" s="173"/>
      <c r="D980" s="173"/>
      <c r="E980" s="173"/>
      <c r="F980" s="173"/>
      <c r="G980" s="173"/>
      <c r="H980" s="173"/>
      <c r="I980" s="173"/>
      <c r="J980" s="173"/>
      <c r="K980" s="173"/>
      <c r="L980" s="173"/>
      <c r="M980" s="173"/>
      <c r="N980" s="173"/>
      <c r="O980" s="173"/>
      <c r="P980" s="173"/>
      <c r="Q980" s="173"/>
      <c r="R980" s="173"/>
      <c r="S980" s="173"/>
      <c r="T980" s="173"/>
      <c r="U980" s="173"/>
      <c r="V980" s="173"/>
      <c r="W980" s="173"/>
      <c r="X980" s="173"/>
      <c r="Y980" s="173"/>
      <c r="Z980" s="173"/>
    </row>
    <row r="981">
      <c r="A981" s="173"/>
      <c r="B981" s="173"/>
      <c r="C981" s="173"/>
      <c r="D981" s="173"/>
      <c r="E981" s="173"/>
      <c r="F981" s="173"/>
      <c r="G981" s="173"/>
      <c r="H981" s="173"/>
      <c r="I981" s="173"/>
      <c r="J981" s="173"/>
      <c r="K981" s="173"/>
      <c r="L981" s="173"/>
      <c r="M981" s="173"/>
      <c r="N981" s="173"/>
      <c r="O981" s="173"/>
      <c r="P981" s="173"/>
      <c r="Q981" s="173"/>
      <c r="R981" s="173"/>
      <c r="S981" s="173"/>
      <c r="T981" s="173"/>
      <c r="U981" s="173"/>
      <c r="V981" s="173"/>
      <c r="W981" s="173"/>
      <c r="X981" s="173"/>
      <c r="Y981" s="173"/>
      <c r="Z981" s="173"/>
    </row>
    <row r="982">
      <c r="A982" s="173"/>
      <c r="B982" s="173"/>
      <c r="C982" s="173"/>
      <c r="D982" s="173"/>
      <c r="E982" s="173"/>
      <c r="F982" s="173"/>
      <c r="G982" s="173"/>
      <c r="H982" s="173"/>
      <c r="I982" s="173"/>
      <c r="J982" s="173"/>
      <c r="K982" s="173"/>
      <c r="L982" s="173"/>
      <c r="M982" s="173"/>
      <c r="N982" s="173"/>
      <c r="O982" s="173"/>
      <c r="P982" s="173"/>
      <c r="Q982" s="173"/>
      <c r="R982" s="173"/>
      <c r="S982" s="173"/>
      <c r="T982" s="173"/>
      <c r="U982" s="173"/>
      <c r="V982" s="173"/>
      <c r="W982" s="173"/>
      <c r="X982" s="173"/>
      <c r="Y982" s="173"/>
      <c r="Z982" s="173"/>
    </row>
    <row r="983">
      <c r="A983" s="173"/>
      <c r="B983" s="173"/>
      <c r="C983" s="173"/>
      <c r="D983" s="173"/>
      <c r="E983" s="173"/>
      <c r="F983" s="173"/>
      <c r="G983" s="173"/>
      <c r="H983" s="173"/>
      <c r="I983" s="173"/>
      <c r="J983" s="173"/>
      <c r="K983" s="173"/>
      <c r="L983" s="173"/>
      <c r="M983" s="173"/>
      <c r="N983" s="173"/>
      <c r="O983" s="173"/>
      <c r="P983" s="173"/>
      <c r="Q983" s="173"/>
      <c r="R983" s="173"/>
      <c r="S983" s="173"/>
      <c r="T983" s="173"/>
      <c r="U983" s="173"/>
      <c r="V983" s="173"/>
      <c r="W983" s="173"/>
      <c r="X983" s="173"/>
      <c r="Y983" s="173"/>
      <c r="Z983" s="173"/>
    </row>
    <row r="984">
      <c r="A984" s="173"/>
      <c r="B984" s="173"/>
      <c r="C984" s="173"/>
      <c r="D984" s="173"/>
      <c r="E984" s="173"/>
      <c r="F984" s="173"/>
      <c r="G984" s="173"/>
      <c r="H984" s="173"/>
      <c r="I984" s="173"/>
      <c r="J984" s="173"/>
      <c r="K984" s="173"/>
      <c r="L984" s="173"/>
      <c r="M984" s="173"/>
      <c r="N984" s="173"/>
      <c r="O984" s="173"/>
      <c r="P984" s="173"/>
      <c r="Q984" s="173"/>
      <c r="R984" s="173"/>
      <c r="S984" s="173"/>
      <c r="T984" s="173"/>
      <c r="U984" s="173"/>
      <c r="V984" s="173"/>
      <c r="W984" s="173"/>
      <c r="X984" s="173"/>
      <c r="Y984" s="173"/>
      <c r="Z984" s="173"/>
    </row>
    <row r="985">
      <c r="A985" s="173"/>
      <c r="B985" s="173"/>
      <c r="C985" s="173"/>
      <c r="D985" s="173"/>
      <c r="E985" s="173"/>
      <c r="F985" s="173"/>
      <c r="G985" s="173"/>
      <c r="H985" s="173"/>
      <c r="I985" s="173"/>
      <c r="J985" s="173"/>
      <c r="K985" s="173"/>
      <c r="L985" s="173"/>
      <c r="M985" s="173"/>
      <c r="N985" s="173"/>
      <c r="O985" s="173"/>
      <c r="P985" s="173"/>
      <c r="Q985" s="173"/>
      <c r="R985" s="173"/>
      <c r="S985" s="173"/>
      <c r="T985" s="173"/>
      <c r="U985" s="173"/>
      <c r="V985" s="173"/>
      <c r="W985" s="173"/>
      <c r="X985" s="173"/>
      <c r="Y985" s="173"/>
      <c r="Z985" s="173"/>
    </row>
    <row r="986">
      <c r="A986" s="173"/>
      <c r="B986" s="173"/>
      <c r="C986" s="173"/>
      <c r="D986" s="173"/>
      <c r="E986" s="173"/>
      <c r="F986" s="173"/>
      <c r="G986" s="173"/>
      <c r="H986" s="173"/>
      <c r="I986" s="173"/>
      <c r="J986" s="173"/>
      <c r="K986" s="173"/>
      <c r="L986" s="173"/>
      <c r="M986" s="173"/>
      <c r="N986" s="173"/>
      <c r="O986" s="173"/>
      <c r="P986" s="173"/>
      <c r="Q986" s="173"/>
      <c r="R986" s="173"/>
      <c r="S986" s="173"/>
      <c r="T986" s="173"/>
      <c r="U986" s="173"/>
      <c r="V986" s="173"/>
      <c r="W986" s="173"/>
      <c r="X986" s="173"/>
      <c r="Y986" s="173"/>
      <c r="Z986" s="173"/>
    </row>
    <row r="987">
      <c r="A987" s="173"/>
      <c r="B987" s="173"/>
      <c r="C987" s="173"/>
      <c r="D987" s="173"/>
      <c r="E987" s="173"/>
      <c r="F987" s="173"/>
      <c r="G987" s="173"/>
      <c r="H987" s="173"/>
      <c r="I987" s="173"/>
      <c r="J987" s="173"/>
      <c r="K987" s="173"/>
      <c r="L987" s="173"/>
      <c r="M987" s="173"/>
      <c r="N987" s="173"/>
      <c r="O987" s="173"/>
      <c r="P987" s="173"/>
      <c r="Q987" s="173"/>
      <c r="R987" s="173"/>
      <c r="S987" s="173"/>
      <c r="T987" s="173"/>
      <c r="U987" s="173"/>
      <c r="V987" s="173"/>
      <c r="W987" s="173"/>
      <c r="X987" s="173"/>
      <c r="Y987" s="173"/>
      <c r="Z987" s="173"/>
    </row>
    <row r="988">
      <c r="A988" s="173"/>
      <c r="B988" s="173"/>
      <c r="C988" s="173"/>
      <c r="D988" s="173"/>
      <c r="E988" s="173"/>
      <c r="F988" s="173"/>
      <c r="G988" s="173"/>
      <c r="H988" s="173"/>
      <c r="I988" s="173"/>
      <c r="J988" s="173"/>
      <c r="K988" s="173"/>
      <c r="L988" s="173"/>
      <c r="M988" s="173"/>
      <c r="N988" s="173"/>
      <c r="O988" s="173"/>
      <c r="P988" s="173"/>
      <c r="Q988" s="173"/>
      <c r="R988" s="173"/>
      <c r="S988" s="173"/>
      <c r="T988" s="173"/>
      <c r="U988" s="173"/>
      <c r="V988" s="173"/>
      <c r="W988" s="173"/>
      <c r="X988" s="173"/>
      <c r="Y988" s="173"/>
      <c r="Z988" s="173"/>
    </row>
    <row r="989">
      <c r="A989" s="173"/>
      <c r="B989" s="173"/>
      <c r="C989" s="173"/>
      <c r="D989" s="173"/>
      <c r="E989" s="173"/>
      <c r="F989" s="173"/>
      <c r="G989" s="173"/>
      <c r="H989" s="173"/>
      <c r="I989" s="173"/>
      <c r="J989" s="173"/>
      <c r="K989" s="173"/>
      <c r="L989" s="173"/>
      <c r="M989" s="173"/>
      <c r="N989" s="173"/>
      <c r="O989" s="173"/>
      <c r="P989" s="173"/>
      <c r="Q989" s="173"/>
      <c r="R989" s="173"/>
      <c r="S989" s="173"/>
      <c r="T989" s="173"/>
      <c r="U989" s="173"/>
      <c r="V989" s="173"/>
      <c r="W989" s="173"/>
      <c r="X989" s="173"/>
      <c r="Y989" s="173"/>
      <c r="Z989" s="173"/>
    </row>
    <row r="990">
      <c r="A990" s="173"/>
      <c r="B990" s="173"/>
      <c r="C990" s="173"/>
      <c r="D990" s="173"/>
      <c r="E990" s="173"/>
      <c r="F990" s="173"/>
      <c r="G990" s="173"/>
      <c r="H990" s="173"/>
      <c r="I990" s="173"/>
      <c r="J990" s="173"/>
      <c r="K990" s="173"/>
      <c r="L990" s="173"/>
      <c r="M990" s="173"/>
      <c r="N990" s="173"/>
      <c r="O990" s="173"/>
      <c r="P990" s="173"/>
      <c r="Q990" s="173"/>
      <c r="R990" s="173"/>
      <c r="S990" s="173"/>
      <c r="T990" s="173"/>
      <c r="U990" s="173"/>
      <c r="V990" s="173"/>
      <c r="W990" s="173"/>
      <c r="X990" s="173"/>
      <c r="Y990" s="173"/>
      <c r="Z990" s="173"/>
    </row>
    <row r="991">
      <c r="A991" s="173"/>
      <c r="B991" s="173"/>
      <c r="C991" s="173"/>
      <c r="D991" s="173"/>
      <c r="E991" s="173"/>
      <c r="F991" s="173"/>
      <c r="G991" s="173"/>
      <c r="H991" s="173"/>
      <c r="I991" s="173"/>
      <c r="J991" s="173"/>
      <c r="K991" s="173"/>
      <c r="L991" s="173"/>
      <c r="M991" s="173"/>
      <c r="N991" s="173"/>
      <c r="O991" s="173"/>
      <c r="P991" s="173"/>
      <c r="Q991" s="173"/>
      <c r="R991" s="173"/>
      <c r="S991" s="173"/>
      <c r="T991" s="173"/>
      <c r="U991" s="173"/>
      <c r="V991" s="173"/>
      <c r="W991" s="173"/>
      <c r="X991" s="173"/>
      <c r="Y991" s="173"/>
      <c r="Z991" s="173"/>
    </row>
    <row r="992">
      <c r="A992" s="173"/>
      <c r="B992" s="173"/>
      <c r="C992" s="173"/>
      <c r="D992" s="173"/>
      <c r="E992" s="173"/>
      <c r="F992" s="173"/>
      <c r="G992" s="173"/>
      <c r="H992" s="173"/>
      <c r="I992" s="173"/>
      <c r="J992" s="173"/>
      <c r="K992" s="173"/>
      <c r="L992" s="173"/>
      <c r="M992" s="173"/>
      <c r="N992" s="173"/>
      <c r="O992" s="173"/>
      <c r="P992" s="173"/>
      <c r="Q992" s="173"/>
      <c r="R992" s="173"/>
      <c r="S992" s="173"/>
      <c r="T992" s="173"/>
      <c r="U992" s="173"/>
      <c r="V992" s="173"/>
      <c r="W992" s="173"/>
      <c r="X992" s="173"/>
      <c r="Y992" s="173"/>
      <c r="Z992" s="173"/>
    </row>
    <row r="993">
      <c r="A993" s="173"/>
      <c r="B993" s="173"/>
      <c r="C993" s="173"/>
      <c r="D993" s="173"/>
      <c r="E993" s="173"/>
      <c r="F993" s="173"/>
      <c r="G993" s="173"/>
      <c r="H993" s="173"/>
      <c r="I993" s="173"/>
      <c r="J993" s="173"/>
      <c r="K993" s="173"/>
      <c r="L993" s="173"/>
      <c r="M993" s="173"/>
      <c r="N993" s="173"/>
      <c r="O993" s="173"/>
      <c r="P993" s="173"/>
      <c r="Q993" s="173"/>
      <c r="R993" s="173"/>
      <c r="S993" s="173"/>
      <c r="T993" s="173"/>
      <c r="U993" s="173"/>
      <c r="V993" s="173"/>
      <c r="W993" s="173"/>
      <c r="X993" s="173"/>
      <c r="Y993" s="173"/>
      <c r="Z993" s="173"/>
    </row>
    <row r="994">
      <c r="A994" s="173"/>
      <c r="B994" s="173"/>
      <c r="C994" s="173"/>
      <c r="D994" s="173"/>
      <c r="E994" s="173"/>
      <c r="F994" s="173"/>
      <c r="G994" s="173"/>
      <c r="H994" s="173"/>
      <c r="I994" s="173"/>
      <c r="J994" s="173"/>
      <c r="K994" s="173"/>
      <c r="L994" s="173"/>
      <c r="M994" s="173"/>
      <c r="N994" s="173"/>
      <c r="O994" s="173"/>
      <c r="P994" s="173"/>
      <c r="Q994" s="173"/>
      <c r="R994" s="173"/>
      <c r="S994" s="173"/>
      <c r="T994" s="173"/>
      <c r="U994" s="173"/>
      <c r="V994" s="173"/>
      <c r="W994" s="173"/>
      <c r="X994" s="173"/>
      <c r="Y994" s="173"/>
      <c r="Z994" s="173"/>
    </row>
    <row r="995">
      <c r="A995" s="173"/>
      <c r="B995" s="173"/>
      <c r="C995" s="173"/>
      <c r="D995" s="173"/>
      <c r="E995" s="173"/>
      <c r="F995" s="173"/>
      <c r="G995" s="173"/>
      <c r="H995" s="173"/>
      <c r="I995" s="173"/>
      <c r="J995" s="173"/>
      <c r="K995" s="173"/>
      <c r="L995" s="173"/>
      <c r="M995" s="173"/>
      <c r="N995" s="173"/>
      <c r="O995" s="173"/>
      <c r="P995" s="173"/>
      <c r="Q995" s="173"/>
      <c r="R995" s="173"/>
      <c r="S995" s="173"/>
      <c r="T995" s="173"/>
      <c r="U995" s="173"/>
      <c r="V995" s="173"/>
      <c r="W995" s="173"/>
      <c r="X995" s="173"/>
      <c r="Y995" s="173"/>
      <c r="Z995" s="173"/>
    </row>
    <row r="996">
      <c r="A996" s="173"/>
      <c r="B996" s="173"/>
      <c r="C996" s="173"/>
      <c r="D996" s="173"/>
      <c r="E996" s="173"/>
      <c r="F996" s="173"/>
      <c r="G996" s="173"/>
      <c r="H996" s="173"/>
      <c r="I996" s="173"/>
      <c r="J996" s="173"/>
      <c r="K996" s="173"/>
      <c r="L996" s="173"/>
      <c r="M996" s="173"/>
      <c r="N996" s="173"/>
      <c r="O996" s="173"/>
      <c r="P996" s="173"/>
      <c r="Q996" s="173"/>
      <c r="R996" s="173"/>
      <c r="S996" s="173"/>
      <c r="T996" s="173"/>
      <c r="U996" s="173"/>
      <c r="V996" s="173"/>
      <c r="W996" s="173"/>
      <c r="X996" s="173"/>
      <c r="Y996" s="173"/>
      <c r="Z996" s="173"/>
    </row>
    <row r="997">
      <c r="A997" s="173"/>
      <c r="B997" s="173"/>
      <c r="C997" s="173"/>
      <c r="D997" s="173"/>
      <c r="E997" s="173"/>
      <c r="F997" s="173"/>
      <c r="G997" s="173"/>
      <c r="H997" s="173"/>
      <c r="I997" s="173"/>
      <c r="J997" s="173"/>
      <c r="K997" s="173"/>
      <c r="L997" s="173"/>
      <c r="M997" s="173"/>
      <c r="N997" s="173"/>
      <c r="O997" s="173"/>
      <c r="P997" s="173"/>
      <c r="Q997" s="173"/>
      <c r="R997" s="173"/>
      <c r="S997" s="173"/>
      <c r="T997" s="173"/>
      <c r="U997" s="173"/>
      <c r="V997" s="173"/>
      <c r="W997" s="173"/>
      <c r="X997" s="173"/>
      <c r="Y997" s="173"/>
      <c r="Z997" s="173"/>
    </row>
    <row r="998">
      <c r="A998" s="173"/>
      <c r="B998" s="173"/>
      <c r="C998" s="173"/>
      <c r="D998" s="173"/>
      <c r="E998" s="173"/>
      <c r="F998" s="173"/>
      <c r="G998" s="173"/>
      <c r="H998" s="173"/>
      <c r="I998" s="173"/>
      <c r="J998" s="173"/>
      <c r="K998" s="173"/>
      <c r="L998" s="173"/>
      <c r="M998" s="173"/>
      <c r="N998" s="173"/>
      <c r="O998" s="173"/>
      <c r="P998" s="173"/>
      <c r="Q998" s="173"/>
      <c r="R998" s="173"/>
      <c r="S998" s="173"/>
      <c r="T998" s="173"/>
      <c r="U998" s="173"/>
      <c r="V998" s="173"/>
      <c r="W998" s="173"/>
      <c r="X998" s="173"/>
      <c r="Y998" s="173"/>
      <c r="Z998" s="173"/>
    </row>
    <row r="999">
      <c r="A999" s="173"/>
      <c r="B999" s="173"/>
      <c r="C999" s="173"/>
      <c r="D999" s="173"/>
      <c r="E999" s="173"/>
      <c r="F999" s="173"/>
      <c r="G999" s="173"/>
      <c r="H999" s="173"/>
      <c r="I999" s="173"/>
      <c r="J999" s="173"/>
      <c r="K999" s="173"/>
      <c r="L999" s="173"/>
      <c r="M999" s="173"/>
      <c r="N999" s="173"/>
      <c r="O999" s="173"/>
      <c r="P999" s="173"/>
      <c r="Q999" s="173"/>
      <c r="R999" s="173"/>
      <c r="S999" s="173"/>
      <c r="T999" s="173"/>
      <c r="U999" s="173"/>
      <c r="V999" s="173"/>
      <c r="W999" s="173"/>
      <c r="X999" s="173"/>
      <c r="Y999" s="173"/>
      <c r="Z999" s="173"/>
    </row>
    <row r="1000">
      <c r="A1000" s="173"/>
      <c r="B1000" s="173"/>
      <c r="C1000" s="173"/>
      <c r="D1000" s="173"/>
      <c r="E1000" s="173"/>
      <c r="F1000" s="173"/>
      <c r="G1000" s="173"/>
      <c r="H1000" s="173"/>
      <c r="I1000" s="173"/>
      <c r="J1000" s="173"/>
      <c r="K1000" s="173"/>
      <c r="L1000" s="173"/>
      <c r="M1000" s="173"/>
      <c r="N1000" s="173"/>
      <c r="O1000" s="173"/>
      <c r="P1000" s="173"/>
      <c r="Q1000" s="173"/>
      <c r="R1000" s="173"/>
      <c r="S1000" s="173"/>
      <c r="T1000" s="173"/>
      <c r="U1000" s="173"/>
      <c r="V1000" s="173"/>
      <c r="W1000" s="173"/>
      <c r="X1000" s="173"/>
      <c r="Y1000" s="173"/>
      <c r="Z1000" s="173"/>
    </row>
  </sheetData>
  <mergeCells count="6">
    <mergeCell ref="A1:H1"/>
    <mergeCell ref="A3:H3"/>
    <mergeCell ref="A9:H9"/>
    <mergeCell ref="A16:H16"/>
    <mergeCell ref="A27:H27"/>
    <mergeCell ref="A41:H4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23.63"/>
    <col customWidth="1" min="3" max="3" width="22.63"/>
    <col customWidth="1" min="4" max="4" width="37.0"/>
    <col customWidth="1" min="5" max="5" width="38.88"/>
    <col customWidth="1" min="6" max="6" width="30.25"/>
    <col customWidth="1" min="7" max="7" width="31.88"/>
    <col customWidth="1" min="8" max="8" width="44.0"/>
  </cols>
  <sheetData>
    <row r="1">
      <c r="A1" s="181" t="s">
        <v>510</v>
      </c>
      <c r="B1" s="182" t="s">
        <v>511</v>
      </c>
      <c r="C1" s="182" t="s">
        <v>512</v>
      </c>
      <c r="D1" s="182" t="s">
        <v>515</v>
      </c>
      <c r="E1" s="182" t="s">
        <v>1864</v>
      </c>
      <c r="F1" s="182" t="s">
        <v>1865</v>
      </c>
      <c r="G1" s="182" t="s">
        <v>516</v>
      </c>
      <c r="H1" s="182" t="s">
        <v>517</v>
      </c>
      <c r="I1" s="183" t="s">
        <v>265</v>
      </c>
      <c r="J1" s="181" t="s">
        <v>2813</v>
      </c>
    </row>
    <row r="2">
      <c r="A2" s="184" t="s">
        <v>1871</v>
      </c>
      <c r="B2" s="185" t="s">
        <v>533</v>
      </c>
      <c r="C2" s="185" t="s">
        <v>804</v>
      </c>
      <c r="D2" s="185" t="s">
        <v>1305</v>
      </c>
      <c r="E2" s="185" t="s">
        <v>1872</v>
      </c>
      <c r="F2" s="186" t="s">
        <v>1873</v>
      </c>
      <c r="G2" s="185" t="s">
        <v>625</v>
      </c>
      <c r="H2" s="185" t="s">
        <v>1307</v>
      </c>
      <c r="I2" s="187">
        <v>9.721220077E9</v>
      </c>
      <c r="J2" s="136"/>
    </row>
    <row r="3">
      <c r="A3" s="184" t="s">
        <v>1879</v>
      </c>
      <c r="B3" s="185" t="s">
        <v>533</v>
      </c>
      <c r="C3" s="185" t="s">
        <v>622</v>
      </c>
      <c r="D3" s="185" t="s">
        <v>1880</v>
      </c>
      <c r="E3" s="188" t="s">
        <v>1872</v>
      </c>
      <c r="F3" s="189" t="s">
        <v>1881</v>
      </c>
      <c r="G3" s="185" t="s">
        <v>625</v>
      </c>
      <c r="H3" s="185" t="s">
        <v>1882</v>
      </c>
      <c r="I3" s="187">
        <v>9.653002688E9</v>
      </c>
      <c r="J3" s="136"/>
    </row>
    <row r="4">
      <c r="A4" s="184" t="s">
        <v>1885</v>
      </c>
      <c r="B4" s="185" t="s">
        <v>1125</v>
      </c>
      <c r="C4" s="185" t="s">
        <v>1886</v>
      </c>
      <c r="D4" s="185" t="s">
        <v>1887</v>
      </c>
      <c r="E4" s="190" t="s">
        <v>1872</v>
      </c>
      <c r="F4" s="186" t="s">
        <v>1888</v>
      </c>
      <c r="G4" s="185" t="s">
        <v>681</v>
      </c>
      <c r="H4" s="185" t="s">
        <v>1889</v>
      </c>
      <c r="I4" s="187">
        <v>9.760184159E9</v>
      </c>
      <c r="J4" s="136"/>
    </row>
    <row r="5">
      <c r="A5" s="184" t="s">
        <v>1890</v>
      </c>
      <c r="B5" s="185" t="s">
        <v>1125</v>
      </c>
      <c r="C5" s="185" t="s">
        <v>1891</v>
      </c>
      <c r="D5" s="185" t="s">
        <v>1892</v>
      </c>
      <c r="E5" s="185" t="s">
        <v>1872</v>
      </c>
      <c r="F5" s="186" t="s">
        <v>1893</v>
      </c>
      <c r="G5" s="185" t="s">
        <v>681</v>
      </c>
      <c r="H5" s="185" t="s">
        <v>1894</v>
      </c>
      <c r="I5" s="187">
        <v>7.078445166E9</v>
      </c>
      <c r="J5" s="136"/>
    </row>
    <row r="6">
      <c r="A6" s="184" t="s">
        <v>1962</v>
      </c>
      <c r="B6" s="185" t="s">
        <v>1125</v>
      </c>
      <c r="C6" s="185" t="s">
        <v>1126</v>
      </c>
      <c r="D6" s="185" t="s">
        <v>1963</v>
      </c>
      <c r="E6" s="185" t="s">
        <v>1872</v>
      </c>
      <c r="F6" s="186" t="s">
        <v>1964</v>
      </c>
      <c r="G6" s="185" t="s">
        <v>681</v>
      </c>
      <c r="H6" s="185" t="s">
        <v>1965</v>
      </c>
      <c r="I6" s="187">
        <v>9.105523413E9</v>
      </c>
      <c r="J6" s="136"/>
    </row>
    <row r="7">
      <c r="A7" s="184" t="s">
        <v>1971</v>
      </c>
      <c r="B7" s="185" t="s">
        <v>1125</v>
      </c>
      <c r="C7" s="185" t="s">
        <v>1972</v>
      </c>
      <c r="D7" s="185" t="s">
        <v>1973</v>
      </c>
      <c r="E7" s="185" t="s">
        <v>1872</v>
      </c>
      <c r="F7" s="186" t="s">
        <v>1974</v>
      </c>
      <c r="G7" s="185" t="s">
        <v>681</v>
      </c>
      <c r="H7" s="185" t="s">
        <v>1975</v>
      </c>
      <c r="I7" s="187">
        <v>7.248142063E9</v>
      </c>
      <c r="J7" s="136"/>
    </row>
    <row r="8">
      <c r="A8" s="184" t="s">
        <v>2014</v>
      </c>
      <c r="B8" s="185" t="s">
        <v>533</v>
      </c>
      <c r="C8" s="185" t="s">
        <v>2015</v>
      </c>
      <c r="D8" s="185" t="s">
        <v>2016</v>
      </c>
      <c r="E8" s="185" t="s">
        <v>1872</v>
      </c>
      <c r="F8" s="186" t="s">
        <v>2017</v>
      </c>
      <c r="G8" s="185" t="s">
        <v>681</v>
      </c>
      <c r="H8" s="185" t="s">
        <v>2018</v>
      </c>
      <c r="I8" s="187">
        <v>8.192074258E9</v>
      </c>
      <c r="J8" s="136"/>
    </row>
    <row r="9">
      <c r="A9" s="184" t="s">
        <v>2029</v>
      </c>
      <c r="B9" s="185" t="s">
        <v>533</v>
      </c>
      <c r="C9" s="185" t="s">
        <v>804</v>
      </c>
      <c r="D9" s="185" t="s">
        <v>2030</v>
      </c>
      <c r="E9" s="185" t="s">
        <v>1872</v>
      </c>
      <c r="F9" s="186" t="s">
        <v>2031</v>
      </c>
      <c r="G9" s="185" t="s">
        <v>625</v>
      </c>
      <c r="H9" s="185" t="s">
        <v>2032</v>
      </c>
      <c r="I9" s="187">
        <v>9.958513759E9</v>
      </c>
      <c r="J9" s="136" t="s">
        <v>2814</v>
      </c>
    </row>
    <row r="10">
      <c r="A10" s="184" t="s">
        <v>2073</v>
      </c>
      <c r="B10" s="185" t="s">
        <v>533</v>
      </c>
      <c r="C10" s="185" t="s">
        <v>2074</v>
      </c>
      <c r="D10" s="185" t="s">
        <v>2075</v>
      </c>
      <c r="E10" s="185" t="s">
        <v>1872</v>
      </c>
      <c r="F10" s="186" t="s">
        <v>2076</v>
      </c>
      <c r="G10" s="185" t="s">
        <v>536</v>
      </c>
      <c r="H10" s="185" t="s">
        <v>2077</v>
      </c>
      <c r="I10" s="187">
        <v>8.791492216E9</v>
      </c>
      <c r="J10" s="136"/>
    </row>
    <row r="11">
      <c r="A11" s="184" t="s">
        <v>2130</v>
      </c>
      <c r="B11" s="185" t="s">
        <v>533</v>
      </c>
      <c r="C11" s="185" t="s">
        <v>622</v>
      </c>
      <c r="D11" s="185" t="s">
        <v>2131</v>
      </c>
      <c r="E11" s="185" t="s">
        <v>1872</v>
      </c>
      <c r="F11" s="186" t="s">
        <v>2132</v>
      </c>
      <c r="G11" s="185" t="s">
        <v>536</v>
      </c>
      <c r="H11" s="185" t="s">
        <v>2133</v>
      </c>
      <c r="I11" s="187">
        <v>9.560256852E9</v>
      </c>
      <c r="J11" s="136"/>
    </row>
    <row r="12">
      <c r="A12" s="184" t="s">
        <v>2142</v>
      </c>
      <c r="B12" s="185" t="s">
        <v>533</v>
      </c>
      <c r="C12" s="185" t="s">
        <v>622</v>
      </c>
      <c r="D12" s="185" t="s">
        <v>2143</v>
      </c>
      <c r="E12" s="185" t="s">
        <v>1872</v>
      </c>
      <c r="F12" s="186" t="s">
        <v>2144</v>
      </c>
      <c r="G12" s="185" t="s">
        <v>625</v>
      </c>
      <c r="H12" s="185" t="s">
        <v>2145</v>
      </c>
      <c r="I12" s="187">
        <v>8.009944006E9</v>
      </c>
      <c r="J12" s="136"/>
    </row>
    <row r="13">
      <c r="A13" s="184" t="s">
        <v>2156</v>
      </c>
      <c r="B13" s="185" t="s">
        <v>2157</v>
      </c>
      <c r="C13" s="185" t="s">
        <v>2158</v>
      </c>
      <c r="D13" s="185" t="s">
        <v>2159</v>
      </c>
      <c r="E13" s="185" t="s">
        <v>1872</v>
      </c>
      <c r="F13" s="186" t="s">
        <v>2160</v>
      </c>
      <c r="G13" s="185" t="s">
        <v>625</v>
      </c>
      <c r="H13" s="185" t="s">
        <v>2161</v>
      </c>
      <c r="I13" s="187">
        <v>6.260694906E9</v>
      </c>
      <c r="J13" s="136"/>
    </row>
    <row r="14">
      <c r="A14" s="184" t="s">
        <v>2213</v>
      </c>
      <c r="B14" s="185" t="s">
        <v>533</v>
      </c>
      <c r="C14" s="185" t="s">
        <v>679</v>
      </c>
      <c r="D14" s="185" t="s">
        <v>2214</v>
      </c>
      <c r="E14" s="185" t="s">
        <v>1872</v>
      </c>
      <c r="F14" s="186" t="s">
        <v>2215</v>
      </c>
      <c r="G14" s="185" t="s">
        <v>536</v>
      </c>
      <c r="H14" s="185" t="s">
        <v>2216</v>
      </c>
      <c r="I14" s="187">
        <v>7.071817509E9</v>
      </c>
      <c r="J14" s="136"/>
    </row>
    <row r="15">
      <c r="A15" s="184" t="s">
        <v>2249</v>
      </c>
      <c r="B15" s="185" t="s">
        <v>1125</v>
      </c>
      <c r="C15" s="185" t="s">
        <v>2250</v>
      </c>
      <c r="D15" s="185" t="s">
        <v>2251</v>
      </c>
      <c r="E15" s="185" t="s">
        <v>1872</v>
      </c>
      <c r="F15" s="186" t="s">
        <v>2252</v>
      </c>
      <c r="G15" s="185" t="s">
        <v>681</v>
      </c>
      <c r="H15" s="185" t="s">
        <v>2253</v>
      </c>
      <c r="I15" s="187">
        <v>7.060631501E9</v>
      </c>
      <c r="J15" s="136"/>
    </row>
    <row r="16">
      <c r="A16" s="184" t="s">
        <v>2270</v>
      </c>
      <c r="B16" s="185" t="s">
        <v>533</v>
      </c>
      <c r="C16" s="185" t="s">
        <v>622</v>
      </c>
      <c r="D16" s="185" t="s">
        <v>2271</v>
      </c>
      <c r="E16" s="185" t="s">
        <v>1872</v>
      </c>
      <c r="F16" s="186" t="s">
        <v>2272</v>
      </c>
      <c r="G16" s="185" t="s">
        <v>625</v>
      </c>
      <c r="H16" s="185" t="s">
        <v>2273</v>
      </c>
      <c r="I16" s="187">
        <v>7.388426585E9</v>
      </c>
      <c r="J16" s="136"/>
    </row>
    <row r="17">
      <c r="A17" s="184" t="s">
        <v>1866</v>
      </c>
      <c r="B17" s="185" t="s">
        <v>533</v>
      </c>
      <c r="C17" s="185" t="s">
        <v>622</v>
      </c>
      <c r="D17" s="185" t="s">
        <v>1867</v>
      </c>
      <c r="E17" s="185" t="s">
        <v>1868</v>
      </c>
      <c r="F17" s="186" t="s">
        <v>1869</v>
      </c>
      <c r="G17" s="185" t="s">
        <v>681</v>
      </c>
      <c r="H17" s="185" t="s">
        <v>1870</v>
      </c>
      <c r="I17" s="187">
        <v>7.905523279E9</v>
      </c>
      <c r="J17" s="136"/>
    </row>
    <row r="18">
      <c r="A18" s="184" t="s">
        <v>1895</v>
      </c>
      <c r="B18" s="185" t="s">
        <v>533</v>
      </c>
      <c r="C18" s="185" t="s">
        <v>804</v>
      </c>
      <c r="D18" s="185" t="s">
        <v>1896</v>
      </c>
      <c r="E18" s="185" t="s">
        <v>1868</v>
      </c>
      <c r="F18" s="186" t="s">
        <v>1897</v>
      </c>
      <c r="G18" s="185" t="s">
        <v>681</v>
      </c>
      <c r="H18" s="185" t="s">
        <v>1898</v>
      </c>
      <c r="I18" s="187">
        <v>7.897037978E9</v>
      </c>
      <c r="J18" s="136" t="s">
        <v>2892</v>
      </c>
    </row>
    <row r="19">
      <c r="A19" s="184" t="s">
        <v>1907</v>
      </c>
      <c r="B19" s="185" t="s">
        <v>533</v>
      </c>
      <c r="C19" s="185" t="s">
        <v>1908</v>
      </c>
      <c r="D19" s="185" t="s">
        <v>1909</v>
      </c>
      <c r="E19" s="185" t="s">
        <v>1868</v>
      </c>
      <c r="F19" s="186" t="s">
        <v>1910</v>
      </c>
      <c r="G19" s="185" t="s">
        <v>681</v>
      </c>
      <c r="H19" s="185" t="s">
        <v>1911</v>
      </c>
      <c r="I19" s="187">
        <v>8.601716072E9</v>
      </c>
      <c r="J19" s="136"/>
    </row>
    <row r="20">
      <c r="A20" s="184" t="s">
        <v>1912</v>
      </c>
      <c r="B20" s="185" t="s">
        <v>533</v>
      </c>
      <c r="C20" s="185" t="s">
        <v>622</v>
      </c>
      <c r="D20" s="185" t="s">
        <v>1913</v>
      </c>
      <c r="E20" s="185" t="s">
        <v>1868</v>
      </c>
      <c r="F20" s="186" t="s">
        <v>1914</v>
      </c>
      <c r="G20" s="185" t="s">
        <v>625</v>
      </c>
      <c r="H20" s="185" t="s">
        <v>1915</v>
      </c>
      <c r="I20" s="187">
        <v>9.911837123E9</v>
      </c>
      <c r="J20" s="136"/>
    </row>
    <row r="21">
      <c r="A21" s="184" t="s">
        <v>1916</v>
      </c>
      <c r="B21" s="185" t="s">
        <v>1917</v>
      </c>
      <c r="C21" s="185" t="s">
        <v>1918</v>
      </c>
      <c r="D21" s="185" t="s">
        <v>1919</v>
      </c>
      <c r="E21" s="185" t="s">
        <v>1868</v>
      </c>
      <c r="F21" s="186" t="s">
        <v>1920</v>
      </c>
      <c r="G21" s="185" t="s">
        <v>625</v>
      </c>
      <c r="H21" s="185" t="s">
        <v>1921</v>
      </c>
      <c r="I21" s="187">
        <v>9.009152385E9</v>
      </c>
      <c r="J21" s="136"/>
    </row>
    <row r="22">
      <c r="A22" s="184" t="s">
        <v>1926</v>
      </c>
      <c r="B22" s="185" t="s">
        <v>533</v>
      </c>
      <c r="C22" s="185" t="s">
        <v>622</v>
      </c>
      <c r="D22" s="185" t="s">
        <v>1927</v>
      </c>
      <c r="E22" s="185" t="s">
        <v>1868</v>
      </c>
      <c r="F22" s="186" t="s">
        <v>1928</v>
      </c>
      <c r="G22" s="185" t="s">
        <v>681</v>
      </c>
      <c r="H22" s="185" t="s">
        <v>1929</v>
      </c>
      <c r="I22" s="187">
        <v>8.954552399E9</v>
      </c>
      <c r="J22" s="136"/>
    </row>
    <row r="23">
      <c r="A23" s="184" t="s">
        <v>1930</v>
      </c>
      <c r="B23" s="185" t="s">
        <v>533</v>
      </c>
      <c r="C23" s="185" t="s">
        <v>622</v>
      </c>
      <c r="D23" s="185" t="s">
        <v>1931</v>
      </c>
      <c r="E23" s="185" t="s">
        <v>1868</v>
      </c>
      <c r="F23" s="186" t="s">
        <v>1932</v>
      </c>
      <c r="G23" s="185" t="s">
        <v>681</v>
      </c>
      <c r="H23" s="185" t="s">
        <v>1933</v>
      </c>
      <c r="I23" s="187">
        <v>8.791704601E9</v>
      </c>
      <c r="J23" s="136"/>
    </row>
    <row r="24">
      <c r="A24" s="184" t="s">
        <v>1934</v>
      </c>
      <c r="B24" s="185" t="s">
        <v>533</v>
      </c>
      <c r="C24" s="185" t="s">
        <v>622</v>
      </c>
      <c r="D24" s="185" t="s">
        <v>1935</v>
      </c>
      <c r="E24" s="185" t="s">
        <v>1868</v>
      </c>
      <c r="F24" s="186" t="s">
        <v>1936</v>
      </c>
      <c r="G24" s="185" t="s">
        <v>681</v>
      </c>
      <c r="H24" s="185" t="s">
        <v>1937</v>
      </c>
      <c r="I24" s="187">
        <v>8.102907336E9</v>
      </c>
      <c r="J24" s="136"/>
    </row>
    <row r="25">
      <c r="A25" s="184" t="s">
        <v>1938</v>
      </c>
      <c r="B25" s="185" t="s">
        <v>533</v>
      </c>
      <c r="C25" s="185" t="s">
        <v>622</v>
      </c>
      <c r="D25" s="185" t="s">
        <v>1939</v>
      </c>
      <c r="E25" s="185" t="s">
        <v>1868</v>
      </c>
      <c r="F25" s="186" t="s">
        <v>1940</v>
      </c>
      <c r="G25" s="185" t="s">
        <v>681</v>
      </c>
      <c r="H25" s="185" t="s">
        <v>1941</v>
      </c>
      <c r="I25" s="187">
        <v>8.299162088E9</v>
      </c>
      <c r="J25" s="136"/>
    </row>
    <row r="26">
      <c r="A26" s="184" t="s">
        <v>1942</v>
      </c>
      <c r="B26" s="185" t="s">
        <v>533</v>
      </c>
      <c r="C26" s="185" t="s">
        <v>804</v>
      </c>
      <c r="D26" s="185" t="s">
        <v>1273</v>
      </c>
      <c r="E26" s="185" t="s">
        <v>1868</v>
      </c>
      <c r="F26" s="186" t="s">
        <v>1943</v>
      </c>
      <c r="G26" s="185" t="s">
        <v>536</v>
      </c>
      <c r="H26" s="185" t="s">
        <v>1275</v>
      </c>
      <c r="I26" s="187">
        <v>7.017180843E9</v>
      </c>
      <c r="J26" s="136"/>
    </row>
    <row r="27">
      <c r="A27" s="184" t="s">
        <v>1966</v>
      </c>
      <c r="B27" s="185" t="s">
        <v>1125</v>
      </c>
      <c r="C27" s="185" t="s">
        <v>1886</v>
      </c>
      <c r="D27" s="185" t="s">
        <v>1887</v>
      </c>
      <c r="E27" s="185" t="s">
        <v>1868</v>
      </c>
      <c r="F27" s="186" t="s">
        <v>1967</v>
      </c>
      <c r="G27" s="185" t="s">
        <v>681</v>
      </c>
      <c r="H27" s="185" t="s">
        <v>1889</v>
      </c>
      <c r="I27" s="187">
        <v>9.760184159E9</v>
      </c>
      <c r="J27" s="136"/>
    </row>
    <row r="28">
      <c r="A28" s="184" t="s">
        <v>1968</v>
      </c>
      <c r="B28" s="185" t="s">
        <v>533</v>
      </c>
      <c r="C28" s="185" t="s">
        <v>622</v>
      </c>
      <c r="D28" s="185" t="s">
        <v>401</v>
      </c>
      <c r="E28" s="185" t="s">
        <v>1868</v>
      </c>
      <c r="F28" s="186" t="s">
        <v>1969</v>
      </c>
      <c r="G28" s="185" t="s">
        <v>681</v>
      </c>
      <c r="H28" s="185" t="s">
        <v>1970</v>
      </c>
      <c r="I28" s="187">
        <v>7.654025369E9</v>
      </c>
      <c r="J28" s="136"/>
    </row>
    <row r="29">
      <c r="A29" s="184" t="s">
        <v>1976</v>
      </c>
      <c r="B29" s="185" t="s">
        <v>533</v>
      </c>
      <c r="C29" s="185" t="s">
        <v>622</v>
      </c>
      <c r="D29" s="185" t="s">
        <v>555</v>
      </c>
      <c r="E29" s="185" t="s">
        <v>1868</v>
      </c>
      <c r="F29" s="186" t="s">
        <v>1977</v>
      </c>
      <c r="G29" s="185" t="s">
        <v>681</v>
      </c>
      <c r="H29" s="185" t="s">
        <v>1978</v>
      </c>
      <c r="I29" s="187">
        <v>9.69353731E9</v>
      </c>
      <c r="J29" s="136"/>
    </row>
    <row r="30">
      <c r="A30" s="184" t="s">
        <v>1979</v>
      </c>
      <c r="B30" s="185" t="s">
        <v>533</v>
      </c>
      <c r="C30" s="185" t="s">
        <v>804</v>
      </c>
      <c r="D30" s="185" t="s">
        <v>1980</v>
      </c>
      <c r="E30" s="185" t="s">
        <v>1868</v>
      </c>
      <c r="F30" s="186" t="s">
        <v>1981</v>
      </c>
      <c r="G30" s="185" t="s">
        <v>536</v>
      </c>
      <c r="H30" s="185" t="s">
        <v>1065</v>
      </c>
      <c r="I30" s="187">
        <v>8.299702146E9</v>
      </c>
      <c r="J30" s="136"/>
    </row>
    <row r="31">
      <c r="A31" s="184" t="s">
        <v>1982</v>
      </c>
      <c r="B31" s="185" t="s">
        <v>533</v>
      </c>
      <c r="C31" s="185" t="s">
        <v>1983</v>
      </c>
      <c r="D31" s="185" t="s">
        <v>1984</v>
      </c>
      <c r="E31" s="185" t="s">
        <v>1868</v>
      </c>
      <c r="F31" s="186" t="s">
        <v>1985</v>
      </c>
      <c r="G31" s="185" t="s">
        <v>681</v>
      </c>
      <c r="H31" s="185" t="s">
        <v>1986</v>
      </c>
      <c r="I31" s="187">
        <v>7.417417704E9</v>
      </c>
      <c r="J31" s="136"/>
    </row>
    <row r="32">
      <c r="A32" s="184" t="s">
        <v>1992</v>
      </c>
      <c r="B32" s="185" t="s">
        <v>533</v>
      </c>
      <c r="C32" s="185" t="s">
        <v>565</v>
      </c>
      <c r="D32" s="185" t="s">
        <v>1993</v>
      </c>
      <c r="E32" s="185" t="s">
        <v>1868</v>
      </c>
      <c r="F32" s="186" t="s">
        <v>1994</v>
      </c>
      <c r="G32" s="185" t="s">
        <v>681</v>
      </c>
      <c r="H32" s="185" t="s">
        <v>1995</v>
      </c>
      <c r="I32" s="187">
        <v>7.827286605E9</v>
      </c>
      <c r="J32" s="136"/>
    </row>
    <row r="33">
      <c r="A33" s="184" t="s">
        <v>1996</v>
      </c>
      <c r="B33" s="185" t="s">
        <v>533</v>
      </c>
      <c r="C33" s="185" t="s">
        <v>622</v>
      </c>
      <c r="D33" s="185" t="s">
        <v>1997</v>
      </c>
      <c r="E33" s="185" t="s">
        <v>1868</v>
      </c>
      <c r="F33" s="186" t="s">
        <v>1998</v>
      </c>
      <c r="G33" s="185" t="s">
        <v>625</v>
      </c>
      <c r="H33" s="185" t="s">
        <v>1999</v>
      </c>
      <c r="I33" s="187">
        <v>9.711646018E9</v>
      </c>
      <c r="J33" s="136"/>
    </row>
    <row r="34">
      <c r="A34" s="184" t="s">
        <v>2000</v>
      </c>
      <c r="B34" s="185" t="s">
        <v>533</v>
      </c>
      <c r="C34" s="185" t="s">
        <v>622</v>
      </c>
      <c r="D34" s="185" t="s">
        <v>2001</v>
      </c>
      <c r="E34" s="185" t="s">
        <v>1868</v>
      </c>
      <c r="F34" s="186" t="s">
        <v>2002</v>
      </c>
      <c r="G34" s="185" t="s">
        <v>681</v>
      </c>
      <c r="H34" s="185" t="s">
        <v>2003</v>
      </c>
      <c r="I34" s="187">
        <v>7.321935296E9</v>
      </c>
      <c r="J34" s="136"/>
    </row>
    <row r="35">
      <c r="A35" s="184" t="s">
        <v>2004</v>
      </c>
      <c r="B35" s="185" t="s">
        <v>533</v>
      </c>
      <c r="C35" s="185" t="s">
        <v>622</v>
      </c>
      <c r="D35" s="185" t="s">
        <v>2005</v>
      </c>
      <c r="E35" s="185" t="s">
        <v>1868</v>
      </c>
      <c r="F35" s="186" t="s">
        <v>2006</v>
      </c>
      <c r="G35" s="185" t="s">
        <v>681</v>
      </c>
      <c r="H35" s="185" t="s">
        <v>2007</v>
      </c>
      <c r="I35" s="187">
        <v>9.294981607E9</v>
      </c>
      <c r="J35" s="136"/>
    </row>
    <row r="36">
      <c r="A36" s="184" t="s">
        <v>2008</v>
      </c>
      <c r="B36" s="185" t="s">
        <v>2009</v>
      </c>
      <c r="C36" s="185" t="s">
        <v>2010</v>
      </c>
      <c r="D36" s="185" t="s">
        <v>2011</v>
      </c>
      <c r="E36" s="185" t="s">
        <v>1868</v>
      </c>
      <c r="F36" s="186" t="s">
        <v>2012</v>
      </c>
      <c r="G36" s="185" t="s">
        <v>536</v>
      </c>
      <c r="H36" s="185" t="s">
        <v>2013</v>
      </c>
      <c r="I36" s="187">
        <v>7.838409199E9</v>
      </c>
      <c r="J36" s="136" t="s">
        <v>3134</v>
      </c>
    </row>
    <row r="37">
      <c r="A37" s="184" t="s">
        <v>2024</v>
      </c>
      <c r="B37" s="185" t="s">
        <v>533</v>
      </c>
      <c r="C37" s="185" t="s">
        <v>2025</v>
      </c>
      <c r="D37" s="185" t="s">
        <v>2026</v>
      </c>
      <c r="E37" s="185" t="s">
        <v>1868</v>
      </c>
      <c r="F37" s="186" t="s">
        <v>2027</v>
      </c>
      <c r="G37" s="185" t="s">
        <v>681</v>
      </c>
      <c r="H37" s="185" t="s">
        <v>2028</v>
      </c>
      <c r="I37" s="187">
        <v>8.299361078E9</v>
      </c>
      <c r="J37" s="136" t="s">
        <v>3143</v>
      </c>
    </row>
    <row r="38">
      <c r="A38" s="184" t="s">
        <v>2033</v>
      </c>
      <c r="B38" s="185" t="s">
        <v>533</v>
      </c>
      <c r="C38" s="185" t="s">
        <v>804</v>
      </c>
      <c r="D38" s="185" t="s">
        <v>1896</v>
      </c>
      <c r="E38" s="185" t="s">
        <v>1868</v>
      </c>
      <c r="F38" s="186" t="s">
        <v>2034</v>
      </c>
      <c r="G38" s="185" t="s">
        <v>681</v>
      </c>
      <c r="H38" s="185" t="s">
        <v>2035</v>
      </c>
      <c r="I38" s="187">
        <v>8.707721548E9</v>
      </c>
      <c r="J38" s="136"/>
    </row>
    <row r="39">
      <c r="A39" s="184" t="s">
        <v>2046</v>
      </c>
      <c r="B39" s="185" t="s">
        <v>533</v>
      </c>
      <c r="C39" s="185" t="s">
        <v>2047</v>
      </c>
      <c r="D39" s="185" t="s">
        <v>2048</v>
      </c>
      <c r="E39" s="185" t="s">
        <v>1868</v>
      </c>
      <c r="F39" s="186" t="s">
        <v>2049</v>
      </c>
      <c r="G39" s="185" t="s">
        <v>625</v>
      </c>
      <c r="H39" s="185" t="s">
        <v>2050</v>
      </c>
      <c r="I39" s="187">
        <v>9.653023189E9</v>
      </c>
      <c r="J39" s="136" t="s">
        <v>3172</v>
      </c>
    </row>
    <row r="40">
      <c r="A40" s="184" t="s">
        <v>2059</v>
      </c>
      <c r="B40" s="185" t="s">
        <v>533</v>
      </c>
      <c r="C40" s="185" t="s">
        <v>2060</v>
      </c>
      <c r="D40" s="185" t="s">
        <v>2061</v>
      </c>
      <c r="E40" s="185" t="s">
        <v>1868</v>
      </c>
      <c r="F40" s="186" t="s">
        <v>2062</v>
      </c>
      <c r="G40" s="185" t="s">
        <v>536</v>
      </c>
      <c r="H40" s="185" t="s">
        <v>2063</v>
      </c>
      <c r="I40" s="187">
        <v>9.310644396E9</v>
      </c>
      <c r="J40" s="136"/>
    </row>
    <row r="41">
      <c r="A41" s="184" t="s">
        <v>2064</v>
      </c>
      <c r="B41" s="185" t="s">
        <v>533</v>
      </c>
      <c r="C41" s="185" t="s">
        <v>2065</v>
      </c>
      <c r="D41" s="185" t="s">
        <v>2066</v>
      </c>
      <c r="E41" s="185" t="s">
        <v>1868</v>
      </c>
      <c r="F41" s="186" t="s">
        <v>2067</v>
      </c>
      <c r="G41" s="185" t="s">
        <v>536</v>
      </c>
      <c r="H41" s="185" t="s">
        <v>2068</v>
      </c>
      <c r="I41" s="187">
        <v>6.396654462E9</v>
      </c>
      <c r="J41" s="136" t="s">
        <v>3202</v>
      </c>
    </row>
    <row r="42">
      <c r="A42" s="184" t="s">
        <v>2082</v>
      </c>
      <c r="B42" s="185" t="s">
        <v>533</v>
      </c>
      <c r="C42" s="185" t="s">
        <v>804</v>
      </c>
      <c r="D42" s="185" t="s">
        <v>2083</v>
      </c>
      <c r="E42" s="185" t="s">
        <v>1868</v>
      </c>
      <c r="F42" s="186" t="s">
        <v>2084</v>
      </c>
      <c r="G42" s="185" t="s">
        <v>681</v>
      </c>
      <c r="H42" s="185" t="s">
        <v>2085</v>
      </c>
      <c r="I42" s="187">
        <v>6.393957916E9</v>
      </c>
      <c r="J42" s="136"/>
    </row>
    <row r="43">
      <c r="A43" s="184" t="s">
        <v>2086</v>
      </c>
      <c r="B43" s="185" t="s">
        <v>1125</v>
      </c>
      <c r="C43" s="185" t="s">
        <v>1126</v>
      </c>
      <c r="D43" s="185" t="s">
        <v>2087</v>
      </c>
      <c r="E43" s="185" t="s">
        <v>1868</v>
      </c>
      <c r="F43" s="186" t="s">
        <v>2088</v>
      </c>
      <c r="G43" s="185" t="s">
        <v>681</v>
      </c>
      <c r="H43" s="185" t="s">
        <v>2089</v>
      </c>
      <c r="I43" s="187">
        <v>9.528955026E9</v>
      </c>
      <c r="J43" s="136"/>
    </row>
    <row r="44">
      <c r="A44" s="184" t="s">
        <v>2090</v>
      </c>
      <c r="B44" s="185" t="s">
        <v>533</v>
      </c>
      <c r="C44" s="185" t="s">
        <v>622</v>
      </c>
      <c r="D44" s="185" t="s">
        <v>1935</v>
      </c>
      <c r="E44" s="185" t="s">
        <v>1868</v>
      </c>
      <c r="F44" s="186" t="s">
        <v>2091</v>
      </c>
      <c r="G44" s="185" t="s">
        <v>681</v>
      </c>
      <c r="H44" s="185" t="s">
        <v>1937</v>
      </c>
      <c r="I44" s="187">
        <v>8.102907336E9</v>
      </c>
      <c r="J44" s="136"/>
    </row>
    <row r="45">
      <c r="A45" s="184" t="s">
        <v>2112</v>
      </c>
      <c r="B45" s="185" t="s">
        <v>533</v>
      </c>
      <c r="C45" s="185" t="s">
        <v>622</v>
      </c>
      <c r="D45" s="185" t="s">
        <v>209</v>
      </c>
      <c r="E45" s="185" t="s">
        <v>1868</v>
      </c>
      <c r="F45" s="186" t="s">
        <v>2113</v>
      </c>
      <c r="G45" s="185" t="s">
        <v>536</v>
      </c>
      <c r="H45" s="185" t="s">
        <v>2114</v>
      </c>
      <c r="I45" s="187">
        <v>8.929724957E9</v>
      </c>
      <c r="J45" s="136"/>
    </row>
    <row r="46">
      <c r="A46" s="184" t="s">
        <v>2122</v>
      </c>
      <c r="B46" s="185" t="s">
        <v>533</v>
      </c>
      <c r="C46" s="185" t="s">
        <v>2065</v>
      </c>
      <c r="D46" s="185" t="s">
        <v>2123</v>
      </c>
      <c r="E46" s="185" t="s">
        <v>1868</v>
      </c>
      <c r="F46" s="186" t="s">
        <v>2124</v>
      </c>
      <c r="G46" s="185" t="s">
        <v>681</v>
      </c>
      <c r="H46" s="185" t="s">
        <v>2125</v>
      </c>
      <c r="I46" s="187">
        <v>9.058825615E9</v>
      </c>
      <c r="J46" s="136"/>
    </row>
    <row r="47">
      <c r="A47" s="184" t="s">
        <v>2126</v>
      </c>
      <c r="B47" s="185" t="s">
        <v>533</v>
      </c>
      <c r="C47" s="185" t="s">
        <v>622</v>
      </c>
      <c r="D47" s="185" t="s">
        <v>2127</v>
      </c>
      <c r="E47" s="185" t="s">
        <v>1868</v>
      </c>
      <c r="F47" s="186" t="s">
        <v>2128</v>
      </c>
      <c r="G47" s="185" t="s">
        <v>681</v>
      </c>
      <c r="H47" s="185" t="s">
        <v>2129</v>
      </c>
      <c r="I47" s="187">
        <v>9.19980946E9</v>
      </c>
      <c r="J47" s="136"/>
    </row>
    <row r="48">
      <c r="A48" s="184" t="s">
        <v>2138</v>
      </c>
      <c r="B48" s="185" t="s">
        <v>533</v>
      </c>
      <c r="C48" s="185" t="s">
        <v>2042</v>
      </c>
      <c r="D48" s="185" t="s">
        <v>2139</v>
      </c>
      <c r="E48" s="185" t="s">
        <v>1868</v>
      </c>
      <c r="F48" s="186" t="s">
        <v>2140</v>
      </c>
      <c r="G48" s="185" t="s">
        <v>681</v>
      </c>
      <c r="H48" s="185" t="s">
        <v>2141</v>
      </c>
      <c r="I48" s="187">
        <v>7.817077313E9</v>
      </c>
      <c r="J48" s="136"/>
    </row>
    <row r="49">
      <c r="A49" s="184" t="s">
        <v>2146</v>
      </c>
      <c r="B49" s="185" t="s">
        <v>533</v>
      </c>
      <c r="C49" s="185" t="s">
        <v>2147</v>
      </c>
      <c r="D49" s="185" t="s">
        <v>2148</v>
      </c>
      <c r="E49" s="185" t="s">
        <v>1868</v>
      </c>
      <c r="F49" s="186" t="s">
        <v>2149</v>
      </c>
      <c r="G49" s="185" t="s">
        <v>681</v>
      </c>
      <c r="H49" s="185" t="s">
        <v>2150</v>
      </c>
      <c r="I49" s="187">
        <v>9.528199684E9</v>
      </c>
      <c r="J49" s="136"/>
    </row>
    <row r="50">
      <c r="A50" s="184" t="s">
        <v>2151</v>
      </c>
      <c r="B50" s="185" t="s">
        <v>1189</v>
      </c>
      <c r="C50" s="185" t="s">
        <v>2152</v>
      </c>
      <c r="D50" s="185" t="s">
        <v>2153</v>
      </c>
      <c r="E50" s="185" t="s">
        <v>1868</v>
      </c>
      <c r="F50" s="186" t="s">
        <v>2154</v>
      </c>
      <c r="G50" s="185" t="s">
        <v>681</v>
      </c>
      <c r="H50" s="185" t="s">
        <v>2155</v>
      </c>
      <c r="I50" s="187">
        <v>8.252271465E9</v>
      </c>
      <c r="J50" s="136"/>
    </row>
    <row r="51">
      <c r="A51" s="184" t="s">
        <v>2168</v>
      </c>
      <c r="B51" s="185" t="s">
        <v>533</v>
      </c>
      <c r="C51" s="185" t="s">
        <v>622</v>
      </c>
      <c r="D51" s="185" t="s">
        <v>2169</v>
      </c>
      <c r="E51" s="185" t="s">
        <v>1868</v>
      </c>
      <c r="F51" s="186" t="s">
        <v>2170</v>
      </c>
      <c r="G51" s="185" t="s">
        <v>536</v>
      </c>
      <c r="H51" s="185" t="s">
        <v>2171</v>
      </c>
      <c r="I51" s="187">
        <v>8.851133934E9</v>
      </c>
      <c r="J51" s="136"/>
    </row>
    <row r="52">
      <c r="A52" s="184" t="s">
        <v>2172</v>
      </c>
      <c r="B52" s="185" t="s">
        <v>533</v>
      </c>
      <c r="C52" s="185" t="s">
        <v>2173</v>
      </c>
      <c r="D52" s="185" t="s">
        <v>2174</v>
      </c>
      <c r="E52" s="185" t="s">
        <v>1868</v>
      </c>
      <c r="F52" s="186" t="s">
        <v>2175</v>
      </c>
      <c r="G52" s="185" t="s">
        <v>681</v>
      </c>
      <c r="H52" s="185" t="s">
        <v>2176</v>
      </c>
      <c r="I52" s="187">
        <v>6.398583833E9</v>
      </c>
      <c r="J52" s="136"/>
    </row>
    <row r="53">
      <c r="A53" s="184" t="s">
        <v>2177</v>
      </c>
      <c r="B53" s="185" t="s">
        <v>533</v>
      </c>
      <c r="C53" s="185" t="s">
        <v>622</v>
      </c>
      <c r="D53" s="185" t="s">
        <v>2178</v>
      </c>
      <c r="E53" s="185" t="s">
        <v>1868</v>
      </c>
      <c r="F53" s="186" t="s">
        <v>2179</v>
      </c>
      <c r="G53" s="185" t="s">
        <v>625</v>
      </c>
      <c r="H53" s="185" t="s">
        <v>2180</v>
      </c>
      <c r="I53" s="187">
        <v>9.33573758E9</v>
      </c>
      <c r="J53" s="136"/>
    </row>
    <row r="54">
      <c r="A54" s="184" t="s">
        <v>2181</v>
      </c>
      <c r="B54" s="185" t="s">
        <v>533</v>
      </c>
      <c r="C54" s="185" t="s">
        <v>2025</v>
      </c>
      <c r="D54" s="185" t="s">
        <v>2182</v>
      </c>
      <c r="E54" s="185" t="s">
        <v>1868</v>
      </c>
      <c r="F54" s="186" t="s">
        <v>2183</v>
      </c>
      <c r="G54" s="185" t="s">
        <v>625</v>
      </c>
      <c r="H54" s="185" t="s">
        <v>2184</v>
      </c>
      <c r="I54" s="187">
        <v>9.99074193E9</v>
      </c>
      <c r="J54" s="136"/>
    </row>
    <row r="55">
      <c r="A55" s="184" t="s">
        <v>2185</v>
      </c>
      <c r="B55" s="185" t="s">
        <v>533</v>
      </c>
      <c r="C55" s="185" t="s">
        <v>622</v>
      </c>
      <c r="D55" s="185" t="s">
        <v>2186</v>
      </c>
      <c r="E55" s="185" t="s">
        <v>1868</v>
      </c>
      <c r="F55" s="186" t="s">
        <v>2187</v>
      </c>
      <c r="G55" s="185" t="s">
        <v>536</v>
      </c>
      <c r="H55" s="185" t="s">
        <v>2188</v>
      </c>
      <c r="I55" s="187">
        <v>9.35418293E9</v>
      </c>
      <c r="J55" s="136"/>
    </row>
    <row r="56">
      <c r="A56" s="184" t="s">
        <v>2189</v>
      </c>
      <c r="B56" s="185" t="s">
        <v>533</v>
      </c>
      <c r="C56" s="185" t="s">
        <v>622</v>
      </c>
      <c r="D56" s="185" t="s">
        <v>520</v>
      </c>
      <c r="E56" s="185" t="s">
        <v>1868</v>
      </c>
      <c r="F56" s="186" t="s">
        <v>2190</v>
      </c>
      <c r="G56" s="185" t="s">
        <v>681</v>
      </c>
      <c r="H56" s="185" t="s">
        <v>2191</v>
      </c>
      <c r="I56" s="187">
        <v>7.347239669E9</v>
      </c>
      <c r="J56" s="136"/>
    </row>
    <row r="57">
      <c r="A57" s="184" t="s">
        <v>2200</v>
      </c>
      <c r="B57" s="185" t="s">
        <v>1125</v>
      </c>
      <c r="C57" s="185" t="s">
        <v>1891</v>
      </c>
      <c r="D57" s="185" t="s">
        <v>2201</v>
      </c>
      <c r="E57" s="185" t="s">
        <v>1868</v>
      </c>
      <c r="F57" s="186" t="s">
        <v>2202</v>
      </c>
      <c r="G57" s="185" t="s">
        <v>681</v>
      </c>
      <c r="H57" s="185" t="s">
        <v>2203</v>
      </c>
      <c r="I57" s="187">
        <v>9.927221046E9</v>
      </c>
      <c r="J57" s="136"/>
    </row>
    <row r="58">
      <c r="A58" s="184" t="s">
        <v>2206</v>
      </c>
      <c r="B58" s="185" t="s">
        <v>533</v>
      </c>
      <c r="C58" s="185" t="s">
        <v>622</v>
      </c>
      <c r="D58" s="185" t="s">
        <v>501</v>
      </c>
      <c r="E58" s="185" t="s">
        <v>1868</v>
      </c>
      <c r="F58" s="186" t="s">
        <v>2207</v>
      </c>
      <c r="G58" s="185" t="s">
        <v>681</v>
      </c>
      <c r="H58" s="185" t="s">
        <v>2208</v>
      </c>
      <c r="I58" s="187">
        <v>9.415293841E9</v>
      </c>
      <c r="J58" s="136"/>
    </row>
    <row r="59">
      <c r="A59" s="184" t="s">
        <v>2225</v>
      </c>
      <c r="B59" s="185" t="s">
        <v>533</v>
      </c>
      <c r="C59" s="185" t="s">
        <v>622</v>
      </c>
      <c r="D59" s="185" t="s">
        <v>2226</v>
      </c>
      <c r="E59" s="185" t="s">
        <v>1868</v>
      </c>
      <c r="F59" s="186" t="s">
        <v>2227</v>
      </c>
      <c r="G59" s="185" t="s">
        <v>681</v>
      </c>
      <c r="H59" s="185" t="s">
        <v>2228</v>
      </c>
      <c r="I59" s="187">
        <v>8.178279988E9</v>
      </c>
      <c r="J59" s="136"/>
    </row>
    <row r="60">
      <c r="A60" s="184" t="s">
        <v>2229</v>
      </c>
      <c r="B60" s="185" t="s">
        <v>533</v>
      </c>
      <c r="C60" s="185" t="s">
        <v>622</v>
      </c>
      <c r="D60" s="185" t="s">
        <v>2230</v>
      </c>
      <c r="E60" s="185" t="s">
        <v>1868</v>
      </c>
      <c r="F60" s="186" t="s">
        <v>2231</v>
      </c>
      <c r="G60" s="185" t="s">
        <v>681</v>
      </c>
      <c r="H60" s="185" t="s">
        <v>2232</v>
      </c>
      <c r="I60" s="187">
        <v>7.061393434E9</v>
      </c>
      <c r="J60" s="136"/>
    </row>
    <row r="61">
      <c r="A61" s="184" t="s">
        <v>2237</v>
      </c>
      <c r="B61" s="185" t="s">
        <v>533</v>
      </c>
      <c r="C61" s="185" t="s">
        <v>622</v>
      </c>
      <c r="D61" s="185" t="s">
        <v>401</v>
      </c>
      <c r="E61" s="185" t="s">
        <v>1868</v>
      </c>
      <c r="F61" s="186" t="s">
        <v>2238</v>
      </c>
      <c r="G61" s="185" t="s">
        <v>681</v>
      </c>
      <c r="H61" s="185" t="s">
        <v>1970</v>
      </c>
      <c r="I61" s="187">
        <v>7.654025369E9</v>
      </c>
      <c r="J61" s="136"/>
    </row>
    <row r="62">
      <c r="A62" s="184" t="s">
        <v>2239</v>
      </c>
      <c r="B62" s="185" t="s">
        <v>533</v>
      </c>
      <c r="C62" s="185" t="s">
        <v>622</v>
      </c>
      <c r="D62" s="185" t="s">
        <v>501</v>
      </c>
      <c r="E62" s="185" t="s">
        <v>1868</v>
      </c>
      <c r="F62" s="186" t="s">
        <v>2240</v>
      </c>
      <c r="G62" s="185" t="s">
        <v>681</v>
      </c>
      <c r="H62" s="185" t="s">
        <v>2208</v>
      </c>
      <c r="I62" s="187">
        <v>9.415293841E9</v>
      </c>
      <c r="J62" s="136"/>
    </row>
    <row r="63">
      <c r="A63" s="184" t="s">
        <v>2245</v>
      </c>
      <c r="B63" s="185" t="s">
        <v>826</v>
      </c>
      <c r="C63" s="185" t="s">
        <v>2020</v>
      </c>
      <c r="D63" s="185" t="s">
        <v>2246</v>
      </c>
      <c r="E63" s="185" t="s">
        <v>1868</v>
      </c>
      <c r="F63" s="186" t="s">
        <v>2247</v>
      </c>
      <c r="G63" s="185" t="s">
        <v>681</v>
      </c>
      <c r="H63" s="185" t="s">
        <v>2248</v>
      </c>
      <c r="I63" s="187">
        <v>9.873967811E9</v>
      </c>
      <c r="J63" s="136"/>
    </row>
    <row r="64">
      <c r="A64" s="184" t="s">
        <v>2254</v>
      </c>
      <c r="B64" s="185" t="s">
        <v>533</v>
      </c>
      <c r="C64" s="185" t="s">
        <v>1983</v>
      </c>
      <c r="D64" s="185" t="s">
        <v>1984</v>
      </c>
      <c r="E64" s="185" t="s">
        <v>1868</v>
      </c>
      <c r="F64" s="186" t="s">
        <v>2255</v>
      </c>
      <c r="G64" s="185" t="s">
        <v>681</v>
      </c>
      <c r="H64" s="185" t="s">
        <v>1986</v>
      </c>
      <c r="I64" s="187">
        <v>7.417417704E9</v>
      </c>
      <c r="J64" s="136"/>
    </row>
    <row r="65">
      <c r="A65" s="184" t="s">
        <v>2261</v>
      </c>
      <c r="B65" s="185" t="s">
        <v>877</v>
      </c>
      <c r="C65" s="185" t="s">
        <v>2262</v>
      </c>
      <c r="D65" s="185" t="s">
        <v>2263</v>
      </c>
      <c r="E65" s="185" t="s">
        <v>1868</v>
      </c>
      <c r="F65" s="186" t="s">
        <v>2264</v>
      </c>
      <c r="G65" s="185" t="s">
        <v>681</v>
      </c>
      <c r="H65" s="185" t="s">
        <v>2265</v>
      </c>
      <c r="I65" s="187">
        <v>9.079165524E9</v>
      </c>
      <c r="J65" s="136"/>
    </row>
    <row r="66">
      <c r="A66" s="184" t="s">
        <v>2278</v>
      </c>
      <c r="B66" s="185" t="s">
        <v>533</v>
      </c>
      <c r="C66" s="185" t="s">
        <v>622</v>
      </c>
      <c r="D66" s="185" t="s">
        <v>2186</v>
      </c>
      <c r="E66" s="185" t="s">
        <v>1868</v>
      </c>
      <c r="F66" s="186" t="s">
        <v>2279</v>
      </c>
      <c r="G66" s="185" t="s">
        <v>536</v>
      </c>
      <c r="H66" s="185" t="s">
        <v>2188</v>
      </c>
      <c r="I66" s="187">
        <v>9.35418293E9</v>
      </c>
      <c r="J66" s="136"/>
    </row>
    <row r="67">
      <c r="A67" s="184" t="s">
        <v>1903</v>
      </c>
      <c r="B67" s="185" t="s">
        <v>533</v>
      </c>
      <c r="C67" s="185" t="s">
        <v>622</v>
      </c>
      <c r="D67" s="185" t="s">
        <v>302</v>
      </c>
      <c r="E67" s="185" t="s">
        <v>1904</v>
      </c>
      <c r="F67" s="186" t="s">
        <v>1905</v>
      </c>
      <c r="G67" s="185" t="s">
        <v>625</v>
      </c>
      <c r="H67" s="185" t="s">
        <v>1906</v>
      </c>
      <c r="I67" s="187">
        <v>9.910278711E9</v>
      </c>
      <c r="J67" s="136"/>
    </row>
    <row r="68">
      <c r="A68" s="184" t="s">
        <v>1922</v>
      </c>
      <c r="B68" s="185" t="s">
        <v>826</v>
      </c>
      <c r="C68" s="185" t="s">
        <v>1457</v>
      </c>
      <c r="D68" s="185" t="s">
        <v>1923</v>
      </c>
      <c r="E68" s="185" t="s">
        <v>1904</v>
      </c>
      <c r="F68" s="186" t="s">
        <v>1924</v>
      </c>
      <c r="G68" s="185" t="s">
        <v>681</v>
      </c>
      <c r="H68" s="185" t="s">
        <v>1925</v>
      </c>
      <c r="I68" s="187">
        <v>9.318343864E9</v>
      </c>
      <c r="J68" s="136"/>
    </row>
    <row r="69">
      <c r="A69" s="184" t="s">
        <v>1944</v>
      </c>
      <c r="B69" s="185" t="s">
        <v>533</v>
      </c>
      <c r="C69" s="185" t="s">
        <v>1945</v>
      </c>
      <c r="D69" s="185" t="s">
        <v>1946</v>
      </c>
      <c r="E69" s="185" t="s">
        <v>1904</v>
      </c>
      <c r="F69" s="186" t="s">
        <v>1947</v>
      </c>
      <c r="G69" s="185" t="s">
        <v>625</v>
      </c>
      <c r="H69" s="185" t="s">
        <v>1948</v>
      </c>
      <c r="I69" s="187">
        <v>8.736073563E9</v>
      </c>
      <c r="J69" s="136"/>
    </row>
    <row r="70">
      <c r="A70" s="184" t="s">
        <v>1949</v>
      </c>
      <c r="B70" s="185" t="s">
        <v>1125</v>
      </c>
      <c r="C70" s="185" t="s">
        <v>1126</v>
      </c>
      <c r="D70" s="185" t="s">
        <v>1129</v>
      </c>
      <c r="E70" s="185" t="s">
        <v>1904</v>
      </c>
      <c r="F70" s="192" t="s">
        <v>1950</v>
      </c>
      <c r="G70" s="184" t="s">
        <v>536</v>
      </c>
      <c r="H70" s="185" t="s">
        <v>1130</v>
      </c>
      <c r="I70" s="187">
        <v>9.878353939E9</v>
      </c>
      <c r="J70" s="136"/>
    </row>
    <row r="71">
      <c r="A71" s="184" t="s">
        <v>1951</v>
      </c>
      <c r="B71" s="185" t="s">
        <v>1125</v>
      </c>
      <c r="C71" s="185" t="s">
        <v>1126</v>
      </c>
      <c r="D71" s="185" t="s">
        <v>1129</v>
      </c>
      <c r="E71" s="185" t="s">
        <v>1904</v>
      </c>
      <c r="F71" s="193" t="s">
        <v>1952</v>
      </c>
      <c r="G71" s="185" t="s">
        <v>536</v>
      </c>
      <c r="H71" s="185" t="s">
        <v>1130</v>
      </c>
      <c r="I71" s="187">
        <v>9.878353939E9</v>
      </c>
      <c r="J71" s="136"/>
    </row>
    <row r="72">
      <c r="A72" s="184" t="s">
        <v>1958</v>
      </c>
      <c r="B72" s="185" t="s">
        <v>1125</v>
      </c>
      <c r="C72" s="185" t="s">
        <v>1126</v>
      </c>
      <c r="D72" s="185" t="s">
        <v>1959</v>
      </c>
      <c r="E72" s="185" t="s">
        <v>1904</v>
      </c>
      <c r="F72" s="186" t="s">
        <v>1960</v>
      </c>
      <c r="G72" s="185" t="s">
        <v>681</v>
      </c>
      <c r="H72" s="185" t="s">
        <v>1961</v>
      </c>
      <c r="I72" s="187">
        <v>7.617631786E9</v>
      </c>
      <c r="J72" s="136"/>
    </row>
    <row r="73">
      <c r="A73" s="184" t="s">
        <v>1987</v>
      </c>
      <c r="B73" s="185" t="s">
        <v>533</v>
      </c>
      <c r="C73" s="185" t="s">
        <v>1988</v>
      </c>
      <c r="D73" s="185" t="s">
        <v>1989</v>
      </c>
      <c r="E73" s="185" t="s">
        <v>1904</v>
      </c>
      <c r="F73" s="186" t="s">
        <v>1990</v>
      </c>
      <c r="G73" s="185" t="s">
        <v>625</v>
      </c>
      <c r="H73" s="185" t="s">
        <v>1991</v>
      </c>
      <c r="I73" s="187">
        <v>9.532345317E9</v>
      </c>
      <c r="J73" s="136"/>
    </row>
    <row r="74">
      <c r="A74" s="184" t="s">
        <v>2036</v>
      </c>
      <c r="B74" s="185" t="s">
        <v>826</v>
      </c>
      <c r="C74" s="185" t="s">
        <v>2037</v>
      </c>
      <c r="D74" s="185" t="s">
        <v>2038</v>
      </c>
      <c r="E74" s="185" t="s">
        <v>1904</v>
      </c>
      <c r="F74" s="186" t="s">
        <v>2039</v>
      </c>
      <c r="G74" s="185" t="s">
        <v>625</v>
      </c>
      <c r="H74" s="185" t="s">
        <v>2040</v>
      </c>
      <c r="I74" s="187">
        <v>8.130200741E9</v>
      </c>
      <c r="J74" s="136"/>
    </row>
    <row r="75">
      <c r="A75" s="184" t="s">
        <v>2094</v>
      </c>
      <c r="B75" s="185" t="s">
        <v>533</v>
      </c>
      <c r="C75" s="185" t="s">
        <v>622</v>
      </c>
      <c r="D75" s="185" t="s">
        <v>1388</v>
      </c>
      <c r="E75" s="185" t="s">
        <v>1904</v>
      </c>
      <c r="F75" s="186" t="s">
        <v>2095</v>
      </c>
      <c r="G75" s="185" t="s">
        <v>681</v>
      </c>
      <c r="H75" s="185" t="s">
        <v>1390</v>
      </c>
      <c r="I75" s="187">
        <v>9.140542963E9</v>
      </c>
      <c r="J75" s="136"/>
    </row>
    <row r="76">
      <c r="A76" s="184" t="s">
        <v>2100</v>
      </c>
      <c r="B76" s="185" t="s">
        <v>533</v>
      </c>
      <c r="C76" s="185" t="s">
        <v>2065</v>
      </c>
      <c r="D76" s="185" t="s">
        <v>2101</v>
      </c>
      <c r="E76" s="185" t="s">
        <v>1904</v>
      </c>
      <c r="F76" s="186" t="s">
        <v>2102</v>
      </c>
      <c r="G76" s="185" t="s">
        <v>625</v>
      </c>
      <c r="H76" s="185" t="s">
        <v>2103</v>
      </c>
      <c r="I76" s="187">
        <v>9.990223392E9</v>
      </c>
      <c r="J76" s="136"/>
    </row>
    <row r="77">
      <c r="A77" s="184" t="s">
        <v>2233</v>
      </c>
      <c r="B77" s="185" t="s">
        <v>533</v>
      </c>
      <c r="C77" s="185" t="s">
        <v>622</v>
      </c>
      <c r="D77" s="185" t="s">
        <v>2234</v>
      </c>
      <c r="E77" s="185" t="s">
        <v>1904</v>
      </c>
      <c r="F77" s="186" t="s">
        <v>2235</v>
      </c>
      <c r="G77" s="185" t="s">
        <v>681</v>
      </c>
      <c r="H77" s="185" t="s">
        <v>2236</v>
      </c>
      <c r="I77" s="187">
        <v>8.057747756E9</v>
      </c>
      <c r="J77" s="136"/>
    </row>
    <row r="78">
      <c r="A78" s="184" t="s">
        <v>2290</v>
      </c>
      <c r="B78" s="185" t="s">
        <v>533</v>
      </c>
      <c r="C78" s="185" t="s">
        <v>622</v>
      </c>
      <c r="D78" s="185" t="s">
        <v>2291</v>
      </c>
      <c r="E78" s="185" t="s">
        <v>1904</v>
      </c>
      <c r="F78" s="186" t="s">
        <v>2292</v>
      </c>
      <c r="G78" s="185" t="s">
        <v>681</v>
      </c>
      <c r="H78" s="185" t="s">
        <v>2293</v>
      </c>
      <c r="I78" s="187">
        <v>8.057747756E9</v>
      </c>
      <c r="J78" s="136"/>
    </row>
    <row r="79">
      <c r="A79" s="184" t="s">
        <v>1874</v>
      </c>
      <c r="B79" s="185" t="s">
        <v>533</v>
      </c>
      <c r="C79" s="185" t="s">
        <v>622</v>
      </c>
      <c r="D79" s="185" t="s">
        <v>1875</v>
      </c>
      <c r="E79" s="185" t="s">
        <v>1876</v>
      </c>
      <c r="F79" s="186" t="s">
        <v>1877</v>
      </c>
      <c r="G79" s="185" t="s">
        <v>681</v>
      </c>
      <c r="H79" s="185" t="s">
        <v>1878</v>
      </c>
      <c r="I79" s="187">
        <v>8.972960066E9</v>
      </c>
      <c r="J79" s="136" t="s">
        <v>3766</v>
      </c>
    </row>
    <row r="80">
      <c r="A80" s="184" t="s">
        <v>1883</v>
      </c>
      <c r="B80" s="185" t="s">
        <v>533</v>
      </c>
      <c r="C80" s="185" t="s">
        <v>622</v>
      </c>
      <c r="D80" s="185" t="s">
        <v>1880</v>
      </c>
      <c r="E80" s="185" t="s">
        <v>1876</v>
      </c>
      <c r="F80" s="186" t="s">
        <v>1884</v>
      </c>
      <c r="G80" s="185" t="s">
        <v>625</v>
      </c>
      <c r="H80" s="185" t="s">
        <v>1882</v>
      </c>
      <c r="I80" s="187">
        <v>9.653002688E9</v>
      </c>
      <c r="J80" s="136"/>
    </row>
    <row r="81">
      <c r="A81" s="184" t="s">
        <v>1899</v>
      </c>
      <c r="B81" s="185" t="s">
        <v>533</v>
      </c>
      <c r="C81" s="185" t="s">
        <v>622</v>
      </c>
      <c r="D81" s="185" t="s">
        <v>1900</v>
      </c>
      <c r="E81" s="185" t="s">
        <v>1876</v>
      </c>
      <c r="F81" s="186" t="s">
        <v>1901</v>
      </c>
      <c r="G81" s="185" t="s">
        <v>681</v>
      </c>
      <c r="H81" s="185" t="s">
        <v>1902</v>
      </c>
      <c r="I81" s="187">
        <v>9.654905059E9</v>
      </c>
      <c r="J81" s="136"/>
    </row>
    <row r="82">
      <c r="A82" s="184" t="s">
        <v>1953</v>
      </c>
      <c r="B82" s="185" t="s">
        <v>1170</v>
      </c>
      <c r="C82" s="185" t="s">
        <v>1954</v>
      </c>
      <c r="D82" s="185" t="s">
        <v>1955</v>
      </c>
      <c r="E82" s="185" t="s">
        <v>1876</v>
      </c>
      <c r="F82" s="186" t="s">
        <v>1956</v>
      </c>
      <c r="G82" s="185" t="s">
        <v>681</v>
      </c>
      <c r="H82" s="185" t="s">
        <v>1957</v>
      </c>
      <c r="I82" s="187">
        <v>8.757847667E9</v>
      </c>
      <c r="J82" s="136"/>
    </row>
    <row r="83">
      <c r="A83" s="184" t="s">
        <v>2019</v>
      </c>
      <c r="B83" s="185" t="s">
        <v>826</v>
      </c>
      <c r="C83" s="185" t="s">
        <v>2020</v>
      </c>
      <c r="D83" s="185" t="s">
        <v>2021</v>
      </c>
      <c r="E83" s="185" t="s">
        <v>1876</v>
      </c>
      <c r="F83" s="186" t="s">
        <v>2022</v>
      </c>
      <c r="G83" s="185" t="s">
        <v>681</v>
      </c>
      <c r="H83" s="185" t="s">
        <v>2023</v>
      </c>
      <c r="I83" s="187">
        <v>9.958950576E9</v>
      </c>
      <c r="J83" s="136"/>
    </row>
    <row r="84">
      <c r="A84" s="184" t="s">
        <v>2041</v>
      </c>
      <c r="B84" s="185" t="s">
        <v>533</v>
      </c>
      <c r="C84" s="185" t="s">
        <v>2042</v>
      </c>
      <c r="D84" s="185" t="s">
        <v>2043</v>
      </c>
      <c r="E84" s="185" t="s">
        <v>1876</v>
      </c>
      <c r="F84" s="186" t="s">
        <v>2044</v>
      </c>
      <c r="G84" s="185" t="s">
        <v>536</v>
      </c>
      <c r="H84" s="185" t="s">
        <v>2045</v>
      </c>
      <c r="I84" s="187">
        <v>7.065200447E9</v>
      </c>
      <c r="J84" s="136" t="s">
        <v>3842</v>
      </c>
    </row>
    <row r="85">
      <c r="A85" s="184" t="s">
        <v>2051</v>
      </c>
      <c r="B85" s="185" t="s">
        <v>533</v>
      </c>
      <c r="C85" s="185" t="s">
        <v>804</v>
      </c>
      <c r="D85" s="185" t="s">
        <v>2052</v>
      </c>
      <c r="E85" s="185" t="s">
        <v>1876</v>
      </c>
      <c r="F85" s="186" t="s">
        <v>2053</v>
      </c>
      <c r="G85" s="185" t="s">
        <v>536</v>
      </c>
      <c r="H85" s="185" t="s">
        <v>2054</v>
      </c>
      <c r="I85" s="187">
        <v>8.707552754E9</v>
      </c>
      <c r="J85" s="136"/>
    </row>
    <row r="86">
      <c r="A86" s="184" t="s">
        <v>2055</v>
      </c>
      <c r="B86" s="185" t="s">
        <v>533</v>
      </c>
      <c r="C86" s="185" t="s">
        <v>622</v>
      </c>
      <c r="D86" s="185" t="s">
        <v>2056</v>
      </c>
      <c r="E86" s="185" t="s">
        <v>1876</v>
      </c>
      <c r="F86" s="186" t="s">
        <v>2057</v>
      </c>
      <c r="G86" s="185" t="s">
        <v>681</v>
      </c>
      <c r="H86" s="185" t="s">
        <v>2058</v>
      </c>
      <c r="I86" s="187">
        <v>8.789172839E9</v>
      </c>
      <c r="J86" s="136"/>
    </row>
    <row r="87">
      <c r="A87" s="184" t="s">
        <v>2069</v>
      </c>
      <c r="B87" s="185" t="s">
        <v>533</v>
      </c>
      <c r="C87" s="185" t="s">
        <v>622</v>
      </c>
      <c r="D87" s="185" t="s">
        <v>2070</v>
      </c>
      <c r="E87" s="185" t="s">
        <v>1876</v>
      </c>
      <c r="F87" s="186" t="s">
        <v>2071</v>
      </c>
      <c r="G87" s="185" t="s">
        <v>625</v>
      </c>
      <c r="H87" s="185" t="s">
        <v>2072</v>
      </c>
      <c r="I87" s="187">
        <v>9.971102196E9</v>
      </c>
      <c r="J87" s="136"/>
    </row>
    <row r="88">
      <c r="A88" s="184" t="s">
        <v>2078</v>
      </c>
      <c r="B88" s="185" t="s">
        <v>533</v>
      </c>
      <c r="C88" s="185" t="s">
        <v>622</v>
      </c>
      <c r="D88" s="185" t="s">
        <v>2079</v>
      </c>
      <c r="E88" s="185" t="s">
        <v>1876</v>
      </c>
      <c r="F88" s="186" t="s">
        <v>2080</v>
      </c>
      <c r="G88" s="185" t="s">
        <v>681</v>
      </c>
      <c r="H88" s="185" t="s">
        <v>2081</v>
      </c>
      <c r="I88" s="187">
        <v>7.76104292E9</v>
      </c>
      <c r="J88" s="136"/>
    </row>
    <row r="89">
      <c r="A89" s="184" t="s">
        <v>2092</v>
      </c>
      <c r="B89" s="185" t="s">
        <v>706</v>
      </c>
      <c r="C89" s="185" t="s">
        <v>710</v>
      </c>
      <c r="D89" s="185" t="s">
        <v>1318</v>
      </c>
      <c r="E89" s="185" t="s">
        <v>1876</v>
      </c>
      <c r="F89" s="186" t="s">
        <v>2093</v>
      </c>
      <c r="G89" s="185" t="s">
        <v>536</v>
      </c>
      <c r="H89" s="185" t="s">
        <v>1320</v>
      </c>
      <c r="I89" s="187">
        <v>8.878868783E9</v>
      </c>
      <c r="J89" s="136" t="s">
        <v>3890</v>
      </c>
    </row>
    <row r="90">
      <c r="A90" s="184" t="s">
        <v>2096</v>
      </c>
      <c r="B90" s="185" t="s">
        <v>826</v>
      </c>
      <c r="C90" s="185" t="s">
        <v>1457</v>
      </c>
      <c r="D90" s="185" t="s">
        <v>2097</v>
      </c>
      <c r="E90" s="185" t="s">
        <v>1876</v>
      </c>
      <c r="F90" s="186" t="s">
        <v>2098</v>
      </c>
      <c r="G90" s="185" t="s">
        <v>681</v>
      </c>
      <c r="H90" s="185" t="s">
        <v>2099</v>
      </c>
      <c r="I90" s="187">
        <v>9.310719128E9</v>
      </c>
      <c r="J90" s="136"/>
    </row>
    <row r="91">
      <c r="A91" s="184" t="s">
        <v>2104</v>
      </c>
      <c r="B91" s="185" t="s">
        <v>533</v>
      </c>
      <c r="C91" s="185" t="s">
        <v>565</v>
      </c>
      <c r="D91" s="185" t="s">
        <v>2105</v>
      </c>
      <c r="E91" s="185" t="s">
        <v>1876</v>
      </c>
      <c r="F91" s="186" t="s">
        <v>2106</v>
      </c>
      <c r="G91" s="185" t="s">
        <v>681</v>
      </c>
      <c r="H91" s="185" t="s">
        <v>2107</v>
      </c>
      <c r="I91" s="187">
        <v>9.958574668E9</v>
      </c>
      <c r="J91" s="136"/>
    </row>
    <row r="92">
      <c r="A92" s="184" t="s">
        <v>2108</v>
      </c>
      <c r="B92" s="185" t="s">
        <v>533</v>
      </c>
      <c r="C92" s="185" t="s">
        <v>622</v>
      </c>
      <c r="D92" s="185" t="s">
        <v>2109</v>
      </c>
      <c r="E92" s="185" t="s">
        <v>1876</v>
      </c>
      <c r="F92" s="186" t="s">
        <v>2110</v>
      </c>
      <c r="G92" s="185" t="s">
        <v>681</v>
      </c>
      <c r="H92" s="185" t="s">
        <v>2111</v>
      </c>
      <c r="I92" s="187">
        <v>9.654423859E9</v>
      </c>
      <c r="J92" s="136"/>
    </row>
    <row r="93">
      <c r="A93" s="184" t="s">
        <v>2115</v>
      </c>
      <c r="B93" s="185" t="s">
        <v>533</v>
      </c>
      <c r="C93" s="185" t="s">
        <v>2116</v>
      </c>
      <c r="D93" s="185" t="s">
        <v>2117</v>
      </c>
      <c r="E93" s="185" t="s">
        <v>1876</v>
      </c>
      <c r="F93" s="186" t="s">
        <v>2118</v>
      </c>
      <c r="G93" s="185" t="s">
        <v>536</v>
      </c>
      <c r="H93" s="185" t="s">
        <v>2119</v>
      </c>
      <c r="I93" s="187">
        <v>9.628871959E9</v>
      </c>
      <c r="J93" s="136"/>
    </row>
    <row r="94">
      <c r="A94" s="184" t="s">
        <v>2120</v>
      </c>
      <c r="B94" s="185" t="s">
        <v>533</v>
      </c>
      <c r="C94" s="185" t="s">
        <v>622</v>
      </c>
      <c r="D94" s="185" t="s">
        <v>1875</v>
      </c>
      <c r="E94" s="185" t="s">
        <v>1876</v>
      </c>
      <c r="F94" s="186" t="s">
        <v>2121</v>
      </c>
      <c r="G94" s="185" t="s">
        <v>681</v>
      </c>
      <c r="H94" s="185" t="s">
        <v>1878</v>
      </c>
      <c r="I94" s="187">
        <v>8.972960066E9</v>
      </c>
      <c r="J94" s="136"/>
    </row>
    <row r="95">
      <c r="A95" s="184" t="s">
        <v>2134</v>
      </c>
      <c r="B95" s="185" t="s">
        <v>533</v>
      </c>
      <c r="C95" s="185" t="s">
        <v>2065</v>
      </c>
      <c r="D95" s="185" t="s">
        <v>2135</v>
      </c>
      <c r="E95" s="185" t="s">
        <v>1876</v>
      </c>
      <c r="F95" s="186" t="s">
        <v>2136</v>
      </c>
      <c r="G95" s="185" t="s">
        <v>625</v>
      </c>
      <c r="H95" s="185" t="s">
        <v>2137</v>
      </c>
      <c r="I95" s="187">
        <v>9.389523215E9</v>
      </c>
      <c r="J95" s="136"/>
    </row>
    <row r="96">
      <c r="A96" s="184" t="s">
        <v>2162</v>
      </c>
      <c r="B96" s="185" t="s">
        <v>2163</v>
      </c>
      <c r="C96" s="185" t="s">
        <v>2164</v>
      </c>
      <c r="D96" s="185" t="s">
        <v>2165</v>
      </c>
      <c r="E96" s="185" t="s">
        <v>1876</v>
      </c>
      <c r="F96" s="186" t="s">
        <v>2166</v>
      </c>
      <c r="G96" s="185" t="s">
        <v>536</v>
      </c>
      <c r="H96" s="185" t="s">
        <v>2167</v>
      </c>
      <c r="I96" s="187">
        <v>9.818403555E9</v>
      </c>
      <c r="J96" s="136"/>
    </row>
    <row r="97">
      <c r="A97" s="184" t="s">
        <v>2192</v>
      </c>
      <c r="B97" s="185" t="s">
        <v>533</v>
      </c>
      <c r="C97" s="185" t="s">
        <v>1908</v>
      </c>
      <c r="D97" s="185" t="s">
        <v>2193</v>
      </c>
      <c r="E97" s="185" t="s">
        <v>1876</v>
      </c>
      <c r="F97" s="186" t="s">
        <v>2194</v>
      </c>
      <c r="G97" s="185" t="s">
        <v>681</v>
      </c>
      <c r="H97" s="185" t="s">
        <v>2195</v>
      </c>
      <c r="I97" s="187">
        <v>7.080313566E9</v>
      </c>
      <c r="J97" s="136"/>
    </row>
    <row r="98">
      <c r="A98" s="184" t="s">
        <v>2196</v>
      </c>
      <c r="B98" s="185" t="s">
        <v>533</v>
      </c>
      <c r="C98" s="185" t="s">
        <v>622</v>
      </c>
      <c r="D98" s="185" t="s">
        <v>401</v>
      </c>
      <c r="E98" s="185" t="s">
        <v>1876</v>
      </c>
      <c r="F98" s="186" t="s">
        <v>2197</v>
      </c>
      <c r="G98" s="185" t="s">
        <v>681</v>
      </c>
      <c r="H98" s="185" t="s">
        <v>1970</v>
      </c>
      <c r="I98" s="187">
        <v>7.654025369E9</v>
      </c>
      <c r="J98" s="136"/>
    </row>
    <row r="99">
      <c r="A99" s="184" t="s">
        <v>2198</v>
      </c>
      <c r="B99" s="185" t="s">
        <v>826</v>
      </c>
      <c r="C99" s="185" t="s">
        <v>2020</v>
      </c>
      <c r="D99" s="185" t="s">
        <v>2021</v>
      </c>
      <c r="E99" s="185" t="s">
        <v>1876</v>
      </c>
      <c r="F99" s="186" t="s">
        <v>2199</v>
      </c>
      <c r="G99" s="185" t="s">
        <v>681</v>
      </c>
      <c r="H99" s="185" t="s">
        <v>2023</v>
      </c>
      <c r="I99" s="187">
        <v>9.958950576E9</v>
      </c>
      <c r="J99" s="136"/>
    </row>
    <row r="100">
      <c r="A100" s="184" t="s">
        <v>2204</v>
      </c>
      <c r="B100" s="185" t="s">
        <v>766</v>
      </c>
      <c r="C100" s="185" t="s">
        <v>768</v>
      </c>
      <c r="D100" s="185" t="s">
        <v>769</v>
      </c>
      <c r="E100" s="185" t="s">
        <v>1876</v>
      </c>
      <c r="F100" s="186" t="s">
        <v>2205</v>
      </c>
      <c r="G100" s="185" t="s">
        <v>625</v>
      </c>
      <c r="H100" s="185" t="s">
        <v>770</v>
      </c>
      <c r="I100" s="187">
        <v>8.527683453E9</v>
      </c>
      <c r="J100" s="136" t="s">
        <v>3922</v>
      </c>
    </row>
    <row r="101">
      <c r="A101" s="184" t="s">
        <v>2209</v>
      </c>
      <c r="B101" s="185" t="s">
        <v>533</v>
      </c>
      <c r="C101" s="185" t="s">
        <v>1084</v>
      </c>
      <c r="D101" s="185" t="s">
        <v>2210</v>
      </c>
      <c r="E101" s="185" t="s">
        <v>1876</v>
      </c>
      <c r="F101" s="186" t="s">
        <v>2211</v>
      </c>
      <c r="G101" s="185" t="s">
        <v>625</v>
      </c>
      <c r="H101" s="185" t="s">
        <v>2212</v>
      </c>
      <c r="I101" s="187">
        <v>8.218986969E9</v>
      </c>
      <c r="J101" s="136"/>
    </row>
    <row r="102">
      <c r="A102" s="184" t="s">
        <v>2217</v>
      </c>
      <c r="B102" s="185" t="s">
        <v>533</v>
      </c>
      <c r="C102" s="185" t="s">
        <v>622</v>
      </c>
      <c r="D102" s="185" t="s">
        <v>2218</v>
      </c>
      <c r="E102" s="185" t="s">
        <v>1876</v>
      </c>
      <c r="F102" s="186" t="s">
        <v>2219</v>
      </c>
      <c r="G102" s="185" t="s">
        <v>536</v>
      </c>
      <c r="H102" s="185" t="s">
        <v>2220</v>
      </c>
      <c r="I102" s="187">
        <v>9.625531191E9</v>
      </c>
      <c r="J102" s="136"/>
    </row>
    <row r="103">
      <c r="A103" s="184" t="s">
        <v>2221</v>
      </c>
      <c r="B103" s="185" t="s">
        <v>826</v>
      </c>
      <c r="C103" s="185" t="s">
        <v>1351</v>
      </c>
      <c r="D103" s="185" t="s">
        <v>2222</v>
      </c>
      <c r="E103" s="185" t="s">
        <v>1876</v>
      </c>
      <c r="F103" s="186" t="s">
        <v>2223</v>
      </c>
      <c r="G103" s="185" t="s">
        <v>625</v>
      </c>
      <c r="H103" s="185" t="s">
        <v>2224</v>
      </c>
      <c r="I103" s="187">
        <v>8.742903796E9</v>
      </c>
      <c r="J103" s="136"/>
    </row>
    <row r="104">
      <c r="A104" s="184" t="s">
        <v>2241</v>
      </c>
      <c r="B104" s="185" t="s">
        <v>533</v>
      </c>
      <c r="C104" s="185" t="s">
        <v>2116</v>
      </c>
      <c r="D104" s="185" t="s">
        <v>2242</v>
      </c>
      <c r="E104" s="185" t="s">
        <v>1876</v>
      </c>
      <c r="F104" s="186" t="s">
        <v>2243</v>
      </c>
      <c r="G104" s="185" t="s">
        <v>536</v>
      </c>
      <c r="H104" s="185" t="s">
        <v>2244</v>
      </c>
      <c r="I104" s="187">
        <v>7.007787875E9</v>
      </c>
      <c r="J104" s="136"/>
    </row>
    <row r="105">
      <c r="A105" s="184" t="s">
        <v>2256</v>
      </c>
      <c r="B105" s="185" t="s">
        <v>533</v>
      </c>
      <c r="C105" s="185" t="s">
        <v>2257</v>
      </c>
      <c r="D105" s="185" t="s">
        <v>2258</v>
      </c>
      <c r="E105" s="185" t="s">
        <v>1876</v>
      </c>
      <c r="F105" s="186" t="s">
        <v>2259</v>
      </c>
      <c r="G105" s="185" t="s">
        <v>536</v>
      </c>
      <c r="H105" s="185" t="s">
        <v>2260</v>
      </c>
      <c r="I105" s="187">
        <v>8.318710375E9</v>
      </c>
      <c r="J105" s="136"/>
    </row>
    <row r="106">
      <c r="A106" s="184" t="s">
        <v>2266</v>
      </c>
      <c r="B106" s="185" t="s">
        <v>1170</v>
      </c>
      <c r="C106" s="185" t="s">
        <v>2267</v>
      </c>
      <c r="D106" s="185" t="s">
        <v>1875</v>
      </c>
      <c r="E106" s="185" t="s">
        <v>1876</v>
      </c>
      <c r="F106" s="186" t="s">
        <v>2268</v>
      </c>
      <c r="G106" s="185" t="s">
        <v>536</v>
      </c>
      <c r="H106" s="185" t="s">
        <v>2269</v>
      </c>
      <c r="I106" s="187">
        <v>6.202795049E9</v>
      </c>
      <c r="J106" s="136"/>
    </row>
    <row r="107">
      <c r="A107" s="184" t="s">
        <v>2274</v>
      </c>
      <c r="B107" s="185" t="s">
        <v>533</v>
      </c>
      <c r="C107" s="185" t="s">
        <v>622</v>
      </c>
      <c r="D107" s="185" t="s">
        <v>2275</v>
      </c>
      <c r="E107" s="185" t="s">
        <v>1876</v>
      </c>
      <c r="F107" s="186" t="s">
        <v>2276</v>
      </c>
      <c r="G107" s="185" t="s">
        <v>681</v>
      </c>
      <c r="H107" s="185" t="s">
        <v>2277</v>
      </c>
      <c r="I107" s="187">
        <v>7.061355417E9</v>
      </c>
      <c r="J107" s="136" t="s">
        <v>3969</v>
      </c>
    </row>
    <row r="108">
      <c r="A108" s="184" t="s">
        <v>2280</v>
      </c>
      <c r="B108" s="185" t="s">
        <v>533</v>
      </c>
      <c r="C108" s="185" t="s">
        <v>804</v>
      </c>
      <c r="D108" s="185" t="s">
        <v>2030</v>
      </c>
      <c r="E108" s="185" t="s">
        <v>1876</v>
      </c>
      <c r="F108" s="186" t="s">
        <v>2281</v>
      </c>
      <c r="G108" s="185" t="s">
        <v>625</v>
      </c>
      <c r="H108" s="185" t="s">
        <v>2032</v>
      </c>
      <c r="I108" s="187">
        <v>9.958513759E9</v>
      </c>
      <c r="J108" s="136" t="s">
        <v>2814</v>
      </c>
    </row>
    <row r="109">
      <c r="A109" s="184" t="s">
        <v>2282</v>
      </c>
      <c r="B109" s="185" t="s">
        <v>533</v>
      </c>
      <c r="C109" s="185" t="s">
        <v>1416</v>
      </c>
      <c r="D109" s="185" t="s">
        <v>2283</v>
      </c>
      <c r="E109" s="185" t="s">
        <v>1876</v>
      </c>
      <c r="F109" s="186" t="s">
        <v>2284</v>
      </c>
      <c r="G109" s="185" t="s">
        <v>681</v>
      </c>
      <c r="H109" s="185" t="s">
        <v>2285</v>
      </c>
      <c r="I109" s="187">
        <v>8.799190556E9</v>
      </c>
      <c r="J109" s="136" t="s">
        <v>3979</v>
      </c>
    </row>
    <row r="110">
      <c r="A110" s="184" t="s">
        <v>2286</v>
      </c>
      <c r="B110" s="185" t="s">
        <v>533</v>
      </c>
      <c r="C110" s="185" t="s">
        <v>622</v>
      </c>
      <c r="D110" s="185" t="s">
        <v>2287</v>
      </c>
      <c r="E110" s="185" t="s">
        <v>1876</v>
      </c>
      <c r="F110" s="186" t="s">
        <v>2288</v>
      </c>
      <c r="G110" s="185" t="s">
        <v>681</v>
      </c>
      <c r="H110" s="185" t="s">
        <v>2289</v>
      </c>
      <c r="I110" s="187">
        <v>9.999971805E9</v>
      </c>
      <c r="J110" s="136" t="s">
        <v>3983</v>
      </c>
    </row>
    <row r="111">
      <c r="A111" s="184" t="s">
        <v>2294</v>
      </c>
      <c r="B111" s="185" t="s">
        <v>533</v>
      </c>
      <c r="C111" s="185" t="s">
        <v>622</v>
      </c>
      <c r="D111" s="185" t="s">
        <v>2295</v>
      </c>
      <c r="E111" s="185" t="s">
        <v>1876</v>
      </c>
      <c r="F111" s="186" t="s">
        <v>2296</v>
      </c>
      <c r="G111" s="185" t="s">
        <v>536</v>
      </c>
      <c r="H111" s="185" t="s">
        <v>2297</v>
      </c>
      <c r="I111" s="187">
        <v>7.048905197E9</v>
      </c>
      <c r="J111" s="136" t="s">
        <v>3992</v>
      </c>
    </row>
    <row r="112">
      <c r="A112" s="184" t="s">
        <v>2298</v>
      </c>
      <c r="B112" s="185" t="s">
        <v>533</v>
      </c>
      <c r="C112" s="185" t="s">
        <v>2116</v>
      </c>
      <c r="D112" s="185" t="s">
        <v>2299</v>
      </c>
      <c r="E112" s="185" t="s">
        <v>1876</v>
      </c>
      <c r="F112" s="186" t="s">
        <v>2300</v>
      </c>
      <c r="G112" s="185" t="s">
        <v>536</v>
      </c>
      <c r="H112" s="185" t="s">
        <v>2301</v>
      </c>
      <c r="I112" s="187">
        <v>8.824762451E9</v>
      </c>
      <c r="J112" s="136"/>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s>
  <drawing r:id="rId11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s>
  <sheetData>
    <row r="1">
      <c r="A1" s="191" t="s">
        <v>2815</v>
      </c>
    </row>
    <row r="2">
      <c r="A2" s="17" t="s">
        <v>2816</v>
      </c>
    </row>
    <row r="3">
      <c r="A3" s="17" t="s">
        <v>2817</v>
      </c>
    </row>
    <row r="4">
      <c r="A4" s="17" t="s">
        <v>2818</v>
      </c>
    </row>
    <row r="5">
      <c r="A5" s="17" t="s">
        <v>2819</v>
      </c>
    </row>
    <row r="6">
      <c r="A6" s="17" t="s">
        <v>2820</v>
      </c>
    </row>
    <row r="7">
      <c r="A7" s="17" t="s">
        <v>2821</v>
      </c>
    </row>
    <row r="8">
      <c r="A8" s="17" t="s">
        <v>2822</v>
      </c>
    </row>
    <row r="9">
      <c r="A9" s="17" t="s">
        <v>2823</v>
      </c>
    </row>
    <row r="10">
      <c r="A10" s="17" t="s">
        <v>2824</v>
      </c>
    </row>
    <row r="11">
      <c r="A11" s="17" t="s">
        <v>2825</v>
      </c>
    </row>
    <row r="12">
      <c r="A12" s="17" t="s">
        <v>2826</v>
      </c>
    </row>
    <row r="13">
      <c r="A13" s="17" t="s">
        <v>2827</v>
      </c>
    </row>
    <row r="14">
      <c r="A14" s="17" t="s">
        <v>2828</v>
      </c>
    </row>
    <row r="15">
      <c r="A15" s="17" t="s">
        <v>2829</v>
      </c>
    </row>
    <row r="16">
      <c r="A16" s="17" t="s">
        <v>2830</v>
      </c>
    </row>
    <row r="17">
      <c r="A17" s="17" t="s">
        <v>2831</v>
      </c>
    </row>
    <row r="18">
      <c r="A18" s="17" t="s">
        <v>2832</v>
      </c>
    </row>
    <row r="19">
      <c r="A19" s="17" t="s">
        <v>2833</v>
      </c>
    </row>
    <row r="20">
      <c r="A20" s="17" t="s">
        <v>2834</v>
      </c>
    </row>
    <row r="21">
      <c r="A21" s="17" t="s">
        <v>2835</v>
      </c>
    </row>
    <row r="22">
      <c r="A22" s="17" t="s">
        <v>2836</v>
      </c>
    </row>
    <row r="23">
      <c r="A23" s="17" t="s">
        <v>2837</v>
      </c>
    </row>
    <row r="24">
      <c r="A24" s="17" t="s">
        <v>2838</v>
      </c>
    </row>
    <row r="25">
      <c r="A25" s="17" t="s">
        <v>2839</v>
      </c>
    </row>
    <row r="26">
      <c r="A26" s="17" t="s">
        <v>2840</v>
      </c>
    </row>
    <row r="27">
      <c r="A27" s="17" t="s">
        <v>2841</v>
      </c>
    </row>
    <row r="28">
      <c r="A28" s="17" t="s">
        <v>2842</v>
      </c>
    </row>
    <row r="29">
      <c r="A29" s="17" t="s">
        <v>2843</v>
      </c>
    </row>
    <row r="30">
      <c r="A30" s="17" t="s">
        <v>2844</v>
      </c>
    </row>
    <row r="31">
      <c r="A31" s="17" t="s">
        <v>2845</v>
      </c>
    </row>
    <row r="32">
      <c r="A32" s="17" t="s">
        <v>2846</v>
      </c>
    </row>
    <row r="33">
      <c r="A33" s="17" t="s">
        <v>2847</v>
      </c>
    </row>
    <row r="34">
      <c r="A34" s="17" t="s">
        <v>2848</v>
      </c>
    </row>
    <row r="35">
      <c r="A35" s="17" t="s">
        <v>2849</v>
      </c>
    </row>
    <row r="36">
      <c r="A36" s="17" t="s">
        <v>2850</v>
      </c>
    </row>
    <row r="37">
      <c r="A37" s="17" t="s">
        <v>2851</v>
      </c>
    </row>
    <row r="38">
      <c r="A38" s="17" t="s">
        <v>2852</v>
      </c>
    </row>
    <row r="39">
      <c r="A39" s="17" t="s">
        <v>2853</v>
      </c>
    </row>
    <row r="40">
      <c r="A40" s="17" t="s">
        <v>2854</v>
      </c>
    </row>
    <row r="41">
      <c r="A41" s="17" t="s">
        <v>2855</v>
      </c>
    </row>
    <row r="42">
      <c r="A42" s="17" t="s">
        <v>2856</v>
      </c>
    </row>
    <row r="43">
      <c r="A43" s="17" t="s">
        <v>2857</v>
      </c>
    </row>
    <row r="44">
      <c r="A44" s="17" t="s">
        <v>2858</v>
      </c>
    </row>
    <row r="45">
      <c r="A45" s="17" t="s">
        <v>2859</v>
      </c>
    </row>
    <row r="46">
      <c r="A46" s="17" t="s">
        <v>2860</v>
      </c>
    </row>
    <row r="47">
      <c r="A47" s="17" t="s">
        <v>2861</v>
      </c>
    </row>
    <row r="48">
      <c r="A48" s="17" t="s">
        <v>2862</v>
      </c>
    </row>
    <row r="49">
      <c r="A49" s="17" t="s">
        <v>2863</v>
      </c>
    </row>
    <row r="50">
      <c r="A50" s="17" t="s">
        <v>2864</v>
      </c>
    </row>
    <row r="51">
      <c r="A51" s="17" t="s">
        <v>2865</v>
      </c>
    </row>
    <row r="52">
      <c r="A52" s="17" t="s">
        <v>2866</v>
      </c>
    </row>
    <row r="53">
      <c r="A53" s="17" t="s">
        <v>2867</v>
      </c>
    </row>
    <row r="54">
      <c r="A54" s="17" t="s">
        <v>2868</v>
      </c>
    </row>
    <row r="55">
      <c r="A55" s="17" t="s">
        <v>2869</v>
      </c>
    </row>
    <row r="56">
      <c r="A56" s="17" t="s">
        <v>2870</v>
      </c>
    </row>
    <row r="57">
      <c r="A57" s="17" t="s">
        <v>2871</v>
      </c>
    </row>
    <row r="58">
      <c r="A58" s="17" t="s">
        <v>2872</v>
      </c>
    </row>
    <row r="59">
      <c r="A59" s="17" t="s">
        <v>2873</v>
      </c>
    </row>
    <row r="60">
      <c r="A60" s="17" t="s">
        <v>2874</v>
      </c>
    </row>
    <row r="61">
      <c r="A61" s="17" t="s">
        <v>2875</v>
      </c>
    </row>
    <row r="62">
      <c r="A62" s="17" t="s">
        <v>2876</v>
      </c>
    </row>
    <row r="63">
      <c r="A63" s="17" t="s">
        <v>2877</v>
      </c>
    </row>
    <row r="64">
      <c r="A64" s="17" t="s">
        <v>2878</v>
      </c>
    </row>
    <row r="65">
      <c r="A65" s="17" t="s">
        <v>2879</v>
      </c>
    </row>
    <row r="66">
      <c r="A66" s="17" t="s">
        <v>2880</v>
      </c>
    </row>
    <row r="67">
      <c r="A67" s="17" t="s">
        <v>2881</v>
      </c>
    </row>
    <row r="68">
      <c r="A68" s="17" t="s">
        <v>2882</v>
      </c>
    </row>
    <row r="69">
      <c r="A69" s="17" t="s">
        <v>2883</v>
      </c>
    </row>
    <row r="70">
      <c r="A70" s="17" t="s">
        <v>2884</v>
      </c>
    </row>
    <row r="71">
      <c r="A71" s="17" t="s">
        <v>2885</v>
      </c>
    </row>
    <row r="72">
      <c r="A72" s="17" t="s">
        <v>2886</v>
      </c>
    </row>
    <row r="73">
      <c r="A73" s="17" t="s">
        <v>2887</v>
      </c>
    </row>
    <row r="74">
      <c r="A74" s="17" t="s">
        <v>2888</v>
      </c>
    </row>
    <row r="75">
      <c r="A75" s="17" t="s">
        <v>2889</v>
      </c>
    </row>
    <row r="76">
      <c r="A76" s="17" t="s">
        <v>2890</v>
      </c>
    </row>
    <row r="77">
      <c r="A77" s="17" t="s">
        <v>2891</v>
      </c>
    </row>
    <row r="78">
      <c r="A78" s="17" t="s">
        <v>2893</v>
      </c>
    </row>
    <row r="79">
      <c r="A79" s="17" t="s">
        <v>2894</v>
      </c>
    </row>
    <row r="80">
      <c r="A80" s="17" t="s">
        <v>2895</v>
      </c>
    </row>
    <row r="81">
      <c r="A81" s="17" t="s">
        <v>2896</v>
      </c>
    </row>
    <row r="82">
      <c r="A82" s="17" t="s">
        <v>2897</v>
      </c>
    </row>
    <row r="83">
      <c r="A83" s="17" t="s">
        <v>2898</v>
      </c>
    </row>
    <row r="84">
      <c r="A84" s="17" t="s">
        <v>2899</v>
      </c>
    </row>
    <row r="85">
      <c r="A85" s="17" t="s">
        <v>2900</v>
      </c>
    </row>
    <row r="86">
      <c r="A86" s="17" t="s">
        <v>2901</v>
      </c>
    </row>
    <row r="87">
      <c r="A87" s="17" t="s">
        <v>2902</v>
      </c>
    </row>
    <row r="88">
      <c r="A88" s="17" t="s">
        <v>2903</v>
      </c>
    </row>
    <row r="89">
      <c r="A89" s="17" t="s">
        <v>2904</v>
      </c>
    </row>
    <row r="90">
      <c r="A90" s="17" t="s">
        <v>2905</v>
      </c>
    </row>
    <row r="91">
      <c r="A91" s="17" t="s">
        <v>2906</v>
      </c>
    </row>
    <row r="92">
      <c r="A92" s="17" t="s">
        <v>2907</v>
      </c>
    </row>
    <row r="93">
      <c r="A93" s="17" t="s">
        <v>2908</v>
      </c>
    </row>
    <row r="94">
      <c r="A94" s="17" t="s">
        <v>2909</v>
      </c>
    </row>
    <row r="95">
      <c r="A95" s="17" t="s">
        <v>2910</v>
      </c>
    </row>
    <row r="96">
      <c r="A96" s="17" t="s">
        <v>2911</v>
      </c>
    </row>
    <row r="97">
      <c r="A97" s="17" t="s">
        <v>2912</v>
      </c>
    </row>
    <row r="98">
      <c r="A98" s="17" t="s">
        <v>2913</v>
      </c>
    </row>
    <row r="99">
      <c r="A99" s="17" t="s">
        <v>2914</v>
      </c>
    </row>
    <row r="100">
      <c r="A100" s="17" t="s">
        <v>2915</v>
      </c>
    </row>
    <row r="101">
      <c r="A101" s="17" t="s">
        <v>2916</v>
      </c>
    </row>
    <row r="102">
      <c r="A102" s="17" t="s">
        <v>2917</v>
      </c>
    </row>
    <row r="103">
      <c r="A103" s="17" t="s">
        <v>2918</v>
      </c>
    </row>
    <row r="104">
      <c r="A104" s="17" t="s">
        <v>2919</v>
      </c>
    </row>
    <row r="105">
      <c r="A105" s="17" t="s">
        <v>2920</v>
      </c>
    </row>
    <row r="106">
      <c r="A106" s="17" t="s">
        <v>2921</v>
      </c>
    </row>
    <row r="107">
      <c r="A107" s="17" t="s">
        <v>2922</v>
      </c>
    </row>
    <row r="108">
      <c r="A108" s="17" t="s">
        <v>2923</v>
      </c>
    </row>
    <row r="109">
      <c r="A109" s="17" t="s">
        <v>2924</v>
      </c>
    </row>
    <row r="110">
      <c r="A110" s="17" t="s">
        <v>2925</v>
      </c>
    </row>
    <row r="111">
      <c r="A111" s="17" t="s">
        <v>2926</v>
      </c>
    </row>
    <row r="112">
      <c r="A112" s="17" t="s">
        <v>2927</v>
      </c>
    </row>
    <row r="113">
      <c r="A113" s="17" t="s">
        <v>2928</v>
      </c>
    </row>
    <row r="114">
      <c r="A114" s="17" t="s">
        <v>2929</v>
      </c>
    </row>
    <row r="115">
      <c r="A115" s="17" t="s">
        <v>2930</v>
      </c>
    </row>
    <row r="116">
      <c r="A116" s="17" t="s">
        <v>2931</v>
      </c>
    </row>
    <row r="117">
      <c r="A117" s="17" t="s">
        <v>2932</v>
      </c>
    </row>
    <row r="118">
      <c r="A118" s="17" t="s">
        <v>2933</v>
      </c>
    </row>
    <row r="119">
      <c r="A119" s="17" t="s">
        <v>2934</v>
      </c>
    </row>
    <row r="120">
      <c r="A120" s="17" t="s">
        <v>2935</v>
      </c>
    </row>
    <row r="121">
      <c r="A121" s="17" t="s">
        <v>2936</v>
      </c>
    </row>
    <row r="122">
      <c r="A122" s="17" t="s">
        <v>2937</v>
      </c>
    </row>
    <row r="123">
      <c r="A123" s="17" t="s">
        <v>2938</v>
      </c>
    </row>
    <row r="124">
      <c r="A124" s="17" t="s">
        <v>2939</v>
      </c>
    </row>
    <row r="125">
      <c r="A125" s="17" t="s">
        <v>2940</v>
      </c>
    </row>
    <row r="126">
      <c r="A126" s="17" t="s">
        <v>2941</v>
      </c>
    </row>
    <row r="127">
      <c r="A127" s="17" t="s">
        <v>2942</v>
      </c>
    </row>
    <row r="128">
      <c r="A128" s="17" t="s">
        <v>2943</v>
      </c>
    </row>
    <row r="129">
      <c r="A129" s="17" t="s">
        <v>2944</v>
      </c>
    </row>
    <row r="130">
      <c r="A130" s="17" t="s">
        <v>2945</v>
      </c>
    </row>
    <row r="131">
      <c r="A131" s="17" t="s">
        <v>2946</v>
      </c>
    </row>
    <row r="132">
      <c r="A132" s="17" t="s">
        <v>2947</v>
      </c>
    </row>
    <row r="133">
      <c r="A133" s="17" t="s">
        <v>2948</v>
      </c>
    </row>
    <row r="134">
      <c r="A134" s="17" t="s">
        <v>2949</v>
      </c>
    </row>
    <row r="135">
      <c r="A135" s="17" t="s">
        <v>2950</v>
      </c>
    </row>
    <row r="136">
      <c r="A136" s="17" t="s">
        <v>2951</v>
      </c>
    </row>
    <row r="137">
      <c r="A137" s="17" t="s">
        <v>2952</v>
      </c>
    </row>
    <row r="138">
      <c r="A138" s="17" t="s">
        <v>2953</v>
      </c>
    </row>
    <row r="139">
      <c r="A139" s="17" t="s">
        <v>2954</v>
      </c>
    </row>
    <row r="140">
      <c r="A140" s="17" t="s">
        <v>2955</v>
      </c>
    </row>
    <row r="141">
      <c r="A141" s="17" t="s">
        <v>2956</v>
      </c>
    </row>
    <row r="142">
      <c r="A142" s="17" t="s">
        <v>2957</v>
      </c>
    </row>
    <row r="143">
      <c r="A143" s="17" t="s">
        <v>2958</v>
      </c>
    </row>
    <row r="144">
      <c r="A144" s="17" t="s">
        <v>2959</v>
      </c>
    </row>
    <row r="145">
      <c r="A145" s="17" t="s">
        <v>2960</v>
      </c>
    </row>
    <row r="146">
      <c r="A146" s="17" t="s">
        <v>2961</v>
      </c>
    </row>
    <row r="147">
      <c r="A147" s="17" t="s">
        <v>2962</v>
      </c>
    </row>
    <row r="148">
      <c r="A148" s="17" t="s">
        <v>2963</v>
      </c>
    </row>
    <row r="149">
      <c r="A149" s="17" t="s">
        <v>2964</v>
      </c>
    </row>
    <row r="150">
      <c r="A150" s="17" t="s">
        <v>2965</v>
      </c>
    </row>
    <row r="151">
      <c r="A151" s="17" t="s">
        <v>2966</v>
      </c>
    </row>
    <row r="152">
      <c r="A152" s="17" t="s">
        <v>2967</v>
      </c>
    </row>
    <row r="153">
      <c r="A153" s="17" t="s">
        <v>2968</v>
      </c>
    </row>
    <row r="154">
      <c r="A154" s="17" t="s">
        <v>2969</v>
      </c>
    </row>
    <row r="155">
      <c r="A155" s="17" t="s">
        <v>2970</v>
      </c>
    </row>
    <row r="156">
      <c r="A156" s="17" t="s">
        <v>2971</v>
      </c>
    </row>
    <row r="157">
      <c r="A157" s="17" t="s">
        <v>2972</v>
      </c>
    </row>
    <row r="158">
      <c r="A158" s="17" t="s">
        <v>2973</v>
      </c>
    </row>
    <row r="159">
      <c r="A159" s="17" t="s">
        <v>2974</v>
      </c>
    </row>
    <row r="160">
      <c r="A160" s="17" t="s">
        <v>2975</v>
      </c>
    </row>
    <row r="161">
      <c r="A161" s="17" t="s">
        <v>2976</v>
      </c>
    </row>
    <row r="162">
      <c r="A162" s="17" t="s">
        <v>2977</v>
      </c>
    </row>
    <row r="163">
      <c r="A163" s="17" t="s">
        <v>2978</v>
      </c>
    </row>
    <row r="164">
      <c r="A164" s="17" t="s">
        <v>2979</v>
      </c>
    </row>
    <row r="165">
      <c r="A165" s="17" t="s">
        <v>2980</v>
      </c>
    </row>
    <row r="166">
      <c r="A166" s="17" t="s">
        <v>2981</v>
      </c>
    </row>
    <row r="167">
      <c r="A167" s="17" t="s">
        <v>2982</v>
      </c>
    </row>
    <row r="168">
      <c r="A168" s="17" t="s">
        <v>2983</v>
      </c>
    </row>
    <row r="169">
      <c r="A169" s="17" t="s">
        <v>2984</v>
      </c>
    </row>
    <row r="170">
      <c r="A170" s="17" t="s">
        <v>2985</v>
      </c>
    </row>
    <row r="171">
      <c r="A171" s="17" t="s">
        <v>2986</v>
      </c>
    </row>
    <row r="172">
      <c r="A172" s="17" t="s">
        <v>2987</v>
      </c>
    </row>
    <row r="173">
      <c r="A173" s="17" t="s">
        <v>2988</v>
      </c>
    </row>
    <row r="174">
      <c r="A174" s="17" t="s">
        <v>2989</v>
      </c>
    </row>
    <row r="175">
      <c r="A175" s="17" t="s">
        <v>2990</v>
      </c>
    </row>
    <row r="176">
      <c r="A176" s="17" t="s">
        <v>2991</v>
      </c>
    </row>
    <row r="177">
      <c r="A177" s="17" t="s">
        <v>2992</v>
      </c>
    </row>
    <row r="178">
      <c r="A178" s="17" t="s">
        <v>2993</v>
      </c>
    </row>
    <row r="179">
      <c r="A179" s="17" t="s">
        <v>2994</v>
      </c>
    </row>
    <row r="180">
      <c r="A180" s="17" t="s">
        <v>2995</v>
      </c>
    </row>
    <row r="181">
      <c r="A181" s="17" t="s">
        <v>2996</v>
      </c>
    </row>
    <row r="182">
      <c r="A182" s="17" t="s">
        <v>2997</v>
      </c>
    </row>
    <row r="183">
      <c r="A183" s="17" t="s">
        <v>2998</v>
      </c>
    </row>
    <row r="184">
      <c r="A184" s="17" t="s">
        <v>2999</v>
      </c>
    </row>
    <row r="185">
      <c r="A185" s="17" t="s">
        <v>3000</v>
      </c>
    </row>
    <row r="186">
      <c r="A186" s="17" t="s">
        <v>3001</v>
      </c>
    </row>
    <row r="187">
      <c r="A187" s="17" t="s">
        <v>3002</v>
      </c>
    </row>
    <row r="188">
      <c r="A188" s="17" t="s">
        <v>3003</v>
      </c>
    </row>
    <row r="189">
      <c r="A189" s="17" t="s">
        <v>3004</v>
      </c>
    </row>
    <row r="190">
      <c r="A190" s="17" t="s">
        <v>3005</v>
      </c>
    </row>
    <row r="191">
      <c r="A191" s="17" t="s">
        <v>3006</v>
      </c>
    </row>
    <row r="192">
      <c r="A192" s="17" t="s">
        <v>3007</v>
      </c>
    </row>
    <row r="193">
      <c r="A193" s="17" t="s">
        <v>3008</v>
      </c>
    </row>
    <row r="194">
      <c r="A194" s="17" t="s">
        <v>3009</v>
      </c>
    </row>
    <row r="195">
      <c r="A195" s="17" t="s">
        <v>3010</v>
      </c>
    </row>
    <row r="196">
      <c r="A196" s="17" t="s">
        <v>3011</v>
      </c>
    </row>
    <row r="197">
      <c r="A197" s="17" t="s">
        <v>3012</v>
      </c>
    </row>
    <row r="198">
      <c r="A198" s="17" t="s">
        <v>3013</v>
      </c>
    </row>
    <row r="199">
      <c r="A199" s="17" t="s">
        <v>3014</v>
      </c>
    </row>
    <row r="200">
      <c r="A200" s="17" t="s">
        <v>3015</v>
      </c>
    </row>
    <row r="201">
      <c r="A201" s="17" t="s">
        <v>3016</v>
      </c>
    </row>
    <row r="202">
      <c r="A202" s="17" t="s">
        <v>3017</v>
      </c>
    </row>
    <row r="203">
      <c r="A203" s="17" t="s">
        <v>3018</v>
      </c>
    </row>
    <row r="204">
      <c r="A204" s="17" t="s">
        <v>3019</v>
      </c>
    </row>
    <row r="205">
      <c r="A205" s="17" t="s">
        <v>3020</v>
      </c>
    </row>
    <row r="206">
      <c r="A206" s="17" t="s">
        <v>3021</v>
      </c>
    </row>
    <row r="207">
      <c r="A207" s="17" t="s">
        <v>3022</v>
      </c>
    </row>
    <row r="208">
      <c r="A208" s="17" t="s">
        <v>3023</v>
      </c>
    </row>
    <row r="209">
      <c r="A209" s="17" t="s">
        <v>3024</v>
      </c>
    </row>
    <row r="210">
      <c r="A210" s="17" t="s">
        <v>3025</v>
      </c>
    </row>
    <row r="211">
      <c r="A211" s="17" t="s">
        <v>3026</v>
      </c>
    </row>
    <row r="212">
      <c r="A212" s="17" t="s">
        <v>3027</v>
      </c>
    </row>
    <row r="213">
      <c r="A213" s="17" t="s">
        <v>3028</v>
      </c>
    </row>
    <row r="214">
      <c r="A214" s="17" t="s">
        <v>3029</v>
      </c>
    </row>
    <row r="215">
      <c r="A215" s="17" t="s">
        <v>3030</v>
      </c>
    </row>
    <row r="216">
      <c r="A216" s="17" t="s">
        <v>3031</v>
      </c>
    </row>
    <row r="217">
      <c r="A217" s="17" t="s">
        <v>3032</v>
      </c>
    </row>
    <row r="218">
      <c r="A218" s="17" t="s">
        <v>3033</v>
      </c>
    </row>
    <row r="219">
      <c r="A219" s="17" t="s">
        <v>3034</v>
      </c>
    </row>
    <row r="220">
      <c r="A220" s="17" t="s">
        <v>3035</v>
      </c>
    </row>
    <row r="221">
      <c r="A221" s="17" t="s">
        <v>3036</v>
      </c>
    </row>
    <row r="222">
      <c r="A222" s="17" t="s">
        <v>3037</v>
      </c>
    </row>
    <row r="223">
      <c r="A223" s="17" t="s">
        <v>3038</v>
      </c>
    </row>
    <row r="224">
      <c r="A224" s="17" t="s">
        <v>3039</v>
      </c>
    </row>
    <row r="225">
      <c r="A225" s="17" t="s">
        <v>3040</v>
      </c>
    </row>
    <row r="226">
      <c r="A226" s="17" t="s">
        <v>3041</v>
      </c>
    </row>
    <row r="227">
      <c r="A227" s="17" t="s">
        <v>3042</v>
      </c>
    </row>
    <row r="228">
      <c r="A228" s="17" t="s">
        <v>3043</v>
      </c>
    </row>
    <row r="229">
      <c r="A229" s="17" t="s">
        <v>3044</v>
      </c>
    </row>
    <row r="230">
      <c r="A230" s="17" t="s">
        <v>3045</v>
      </c>
    </row>
    <row r="231">
      <c r="A231" s="17" t="s">
        <v>3046</v>
      </c>
    </row>
    <row r="232">
      <c r="A232" s="17" t="s">
        <v>3047</v>
      </c>
    </row>
    <row r="233">
      <c r="A233" s="17" t="s">
        <v>3048</v>
      </c>
    </row>
    <row r="234">
      <c r="A234" s="17" t="s">
        <v>3049</v>
      </c>
    </row>
    <row r="235">
      <c r="A235" s="17" t="s">
        <v>3050</v>
      </c>
    </row>
    <row r="236">
      <c r="A236" s="17" t="s">
        <v>3051</v>
      </c>
    </row>
    <row r="237">
      <c r="A237" s="17" t="s">
        <v>3052</v>
      </c>
    </row>
    <row r="238">
      <c r="A238" s="17" t="s">
        <v>3053</v>
      </c>
    </row>
    <row r="239">
      <c r="A239" s="17" t="s">
        <v>3054</v>
      </c>
    </row>
    <row r="240">
      <c r="A240" s="17" t="s">
        <v>3055</v>
      </c>
    </row>
    <row r="241">
      <c r="A241" s="17" t="s">
        <v>3056</v>
      </c>
    </row>
    <row r="242">
      <c r="A242" s="17" t="s">
        <v>3057</v>
      </c>
    </row>
    <row r="243">
      <c r="A243" s="17" t="s">
        <v>3058</v>
      </c>
    </row>
    <row r="244">
      <c r="A244" s="17" t="s">
        <v>3059</v>
      </c>
    </row>
    <row r="245">
      <c r="A245" s="17" t="s">
        <v>3060</v>
      </c>
    </row>
    <row r="246">
      <c r="A246" s="17" t="s">
        <v>3061</v>
      </c>
    </row>
    <row r="247">
      <c r="A247" s="17" t="s">
        <v>3062</v>
      </c>
    </row>
    <row r="248">
      <c r="A248" s="17" t="s">
        <v>3063</v>
      </c>
    </row>
    <row r="249">
      <c r="A249" s="17" t="s">
        <v>3064</v>
      </c>
    </row>
    <row r="250">
      <c r="A250" s="17" t="s">
        <v>3065</v>
      </c>
    </row>
    <row r="251">
      <c r="A251" s="17" t="s">
        <v>3066</v>
      </c>
    </row>
    <row r="252">
      <c r="A252" s="17" t="s">
        <v>3067</v>
      </c>
    </row>
    <row r="253">
      <c r="A253" s="17" t="s">
        <v>3068</v>
      </c>
    </row>
    <row r="254">
      <c r="A254" s="17" t="s">
        <v>3069</v>
      </c>
    </row>
    <row r="255">
      <c r="A255" s="17" t="s">
        <v>3070</v>
      </c>
    </row>
    <row r="256">
      <c r="A256" s="17" t="s">
        <v>3071</v>
      </c>
    </row>
    <row r="257">
      <c r="A257" s="17" t="s">
        <v>3072</v>
      </c>
    </row>
    <row r="258">
      <c r="A258" s="17" t="s">
        <v>3073</v>
      </c>
    </row>
    <row r="259">
      <c r="A259" s="17" t="s">
        <v>3074</v>
      </c>
    </row>
    <row r="260">
      <c r="A260" s="17" t="s">
        <v>3075</v>
      </c>
    </row>
    <row r="261">
      <c r="A261" s="17" t="s">
        <v>3076</v>
      </c>
    </row>
    <row r="262">
      <c r="A262" s="17" t="s">
        <v>3077</v>
      </c>
    </row>
    <row r="263">
      <c r="A263" s="17" t="s">
        <v>3078</v>
      </c>
    </row>
    <row r="264">
      <c r="A264" s="17" t="s">
        <v>3079</v>
      </c>
    </row>
    <row r="265">
      <c r="A265" s="17" t="s">
        <v>3080</v>
      </c>
    </row>
    <row r="266">
      <c r="A266" s="17" t="s">
        <v>3081</v>
      </c>
    </row>
    <row r="267">
      <c r="A267" s="17" t="s">
        <v>3082</v>
      </c>
    </row>
    <row r="268">
      <c r="A268" s="17" t="s">
        <v>3083</v>
      </c>
    </row>
    <row r="269">
      <c r="A269" s="17" t="s">
        <v>3084</v>
      </c>
    </row>
    <row r="270">
      <c r="A270" s="17" t="s">
        <v>3085</v>
      </c>
    </row>
    <row r="271">
      <c r="A271" s="17" t="s">
        <v>3086</v>
      </c>
    </row>
    <row r="272">
      <c r="A272" s="17" t="s">
        <v>3087</v>
      </c>
    </row>
    <row r="273">
      <c r="A273" s="17" t="s">
        <v>3088</v>
      </c>
    </row>
    <row r="274">
      <c r="A274" s="17" t="s">
        <v>3089</v>
      </c>
    </row>
    <row r="275">
      <c r="A275" s="17" t="s">
        <v>3090</v>
      </c>
    </row>
    <row r="276">
      <c r="A276" s="17" t="s">
        <v>3091</v>
      </c>
    </row>
    <row r="277">
      <c r="A277" s="17" t="s">
        <v>3092</v>
      </c>
    </row>
    <row r="278">
      <c r="A278" s="17" t="s">
        <v>3093</v>
      </c>
    </row>
    <row r="279">
      <c r="A279" s="17" t="s">
        <v>3094</v>
      </c>
    </row>
    <row r="280">
      <c r="A280" s="17" t="s">
        <v>3095</v>
      </c>
    </row>
    <row r="281">
      <c r="A281" s="17" t="s">
        <v>3096</v>
      </c>
    </row>
    <row r="282">
      <c r="A282" s="17" t="s">
        <v>3097</v>
      </c>
    </row>
    <row r="283">
      <c r="A283" s="17" t="s">
        <v>3098</v>
      </c>
    </row>
    <row r="284">
      <c r="A284" s="17" t="s">
        <v>3099</v>
      </c>
    </row>
    <row r="285">
      <c r="A285" s="17" t="s">
        <v>3100</v>
      </c>
    </row>
    <row r="286">
      <c r="A286" s="17" t="s">
        <v>3101</v>
      </c>
    </row>
    <row r="287">
      <c r="A287" s="17" t="s">
        <v>3102</v>
      </c>
    </row>
    <row r="288">
      <c r="A288" s="17" t="s">
        <v>3103</v>
      </c>
    </row>
    <row r="289">
      <c r="A289" s="17" t="s">
        <v>3104</v>
      </c>
    </row>
    <row r="290">
      <c r="A290" s="17" t="s">
        <v>3105</v>
      </c>
    </row>
    <row r="291">
      <c r="A291" s="17" t="s">
        <v>3106</v>
      </c>
    </row>
    <row r="292">
      <c r="A292" s="17" t="s">
        <v>3107</v>
      </c>
    </row>
    <row r="293">
      <c r="A293" s="17" t="s">
        <v>3108</v>
      </c>
    </row>
    <row r="294">
      <c r="A294" s="17" t="s">
        <v>3109</v>
      </c>
    </row>
    <row r="295">
      <c r="A295" s="17" t="s">
        <v>3110</v>
      </c>
    </row>
    <row r="296">
      <c r="A296" s="17" t="s">
        <v>3111</v>
      </c>
    </row>
    <row r="297">
      <c r="A297" s="17" t="s">
        <v>3112</v>
      </c>
    </row>
    <row r="298">
      <c r="A298" s="17" t="s">
        <v>3113</v>
      </c>
    </row>
    <row r="299">
      <c r="A299" s="17" t="s">
        <v>3114</v>
      </c>
    </row>
    <row r="300">
      <c r="A300" s="17" t="s">
        <v>3115</v>
      </c>
    </row>
    <row r="301">
      <c r="A301" s="17" t="s">
        <v>3116</v>
      </c>
    </row>
    <row r="302">
      <c r="A302" s="17" t="s">
        <v>3117</v>
      </c>
    </row>
    <row r="303">
      <c r="A303" s="17" t="s">
        <v>3118</v>
      </c>
    </row>
    <row r="304">
      <c r="A304" s="17" t="s">
        <v>3119</v>
      </c>
    </row>
    <row r="305">
      <c r="A305" s="17" t="s">
        <v>3120</v>
      </c>
    </row>
    <row r="306">
      <c r="A306" s="17" t="s">
        <v>3121</v>
      </c>
    </row>
    <row r="307">
      <c r="A307" s="17" t="s">
        <v>3122</v>
      </c>
    </row>
    <row r="308">
      <c r="A308" s="17" t="s">
        <v>3123</v>
      </c>
    </row>
    <row r="309">
      <c r="A309" s="17" t="s">
        <v>3124</v>
      </c>
    </row>
    <row r="310">
      <c r="A310" s="17" t="s">
        <v>3125</v>
      </c>
    </row>
    <row r="311">
      <c r="A311" s="17" t="s">
        <v>3126</v>
      </c>
    </row>
    <row r="312">
      <c r="A312" s="17" t="s">
        <v>3127</v>
      </c>
    </row>
    <row r="313">
      <c r="A313" s="17" t="s">
        <v>3128</v>
      </c>
    </row>
    <row r="314">
      <c r="A314" s="17" t="s">
        <v>3129</v>
      </c>
    </row>
    <row r="315">
      <c r="A315" s="17" t="s">
        <v>3130</v>
      </c>
    </row>
    <row r="316">
      <c r="A316" s="17" t="s">
        <v>3131</v>
      </c>
    </row>
    <row r="317">
      <c r="A317" s="17" t="s">
        <v>3132</v>
      </c>
    </row>
    <row r="318">
      <c r="A318" s="17" t="s">
        <v>3133</v>
      </c>
    </row>
    <row r="319">
      <c r="A319" s="17" t="s">
        <v>3135</v>
      </c>
    </row>
    <row r="320">
      <c r="A320" s="17" t="s">
        <v>3136</v>
      </c>
    </row>
    <row r="321">
      <c r="A321" s="17" t="s">
        <v>3137</v>
      </c>
    </row>
    <row r="322">
      <c r="A322" s="17" t="s">
        <v>3138</v>
      </c>
    </row>
    <row r="323">
      <c r="A323" s="17" t="s">
        <v>3139</v>
      </c>
    </row>
    <row r="324">
      <c r="A324" s="17" t="s">
        <v>3140</v>
      </c>
    </row>
    <row r="325">
      <c r="A325" s="17" t="s">
        <v>3141</v>
      </c>
    </row>
    <row r="326">
      <c r="A326" s="17" t="s">
        <v>3142</v>
      </c>
    </row>
    <row r="327">
      <c r="A327" s="17" t="s">
        <v>3144</v>
      </c>
    </row>
    <row r="328">
      <c r="A328" s="17" t="s">
        <v>3145</v>
      </c>
    </row>
    <row r="329">
      <c r="A329" s="17" t="s">
        <v>3146</v>
      </c>
    </row>
    <row r="330">
      <c r="A330" s="17" t="s">
        <v>3147</v>
      </c>
    </row>
    <row r="331">
      <c r="A331" s="17" t="s">
        <v>3148</v>
      </c>
    </row>
    <row r="332">
      <c r="A332" s="17" t="s">
        <v>3149</v>
      </c>
    </row>
    <row r="333">
      <c r="A333" s="17" t="s">
        <v>3150</v>
      </c>
    </row>
    <row r="334">
      <c r="A334" s="17" t="s">
        <v>3151</v>
      </c>
    </row>
    <row r="335">
      <c r="A335" s="17" t="s">
        <v>3152</v>
      </c>
    </row>
    <row r="336">
      <c r="A336" s="17" t="s">
        <v>3153</v>
      </c>
    </row>
    <row r="337">
      <c r="A337" s="17" t="s">
        <v>3154</v>
      </c>
    </row>
    <row r="338">
      <c r="A338" s="17" t="s">
        <v>3155</v>
      </c>
    </row>
    <row r="339">
      <c r="A339" s="17" t="s">
        <v>3156</v>
      </c>
    </row>
    <row r="340">
      <c r="A340" s="17" t="s">
        <v>3157</v>
      </c>
    </row>
    <row r="341">
      <c r="A341" s="17" t="s">
        <v>3158</v>
      </c>
    </row>
    <row r="342">
      <c r="A342" s="17" t="s">
        <v>3159</v>
      </c>
    </row>
    <row r="343">
      <c r="A343" s="17" t="s">
        <v>3160</v>
      </c>
    </row>
    <row r="344">
      <c r="A344" s="17" t="s">
        <v>3161</v>
      </c>
    </row>
    <row r="345">
      <c r="A345" s="17" t="s">
        <v>3162</v>
      </c>
    </row>
    <row r="346">
      <c r="A346" s="17" t="s">
        <v>3163</v>
      </c>
    </row>
    <row r="347">
      <c r="A347" s="17" t="s">
        <v>3164</v>
      </c>
    </row>
    <row r="348">
      <c r="A348" s="17" t="s">
        <v>3165</v>
      </c>
    </row>
    <row r="349">
      <c r="A349" s="17" t="s">
        <v>3166</v>
      </c>
    </row>
    <row r="350">
      <c r="A350" s="17" t="s">
        <v>3167</v>
      </c>
    </row>
    <row r="351">
      <c r="A351" s="17" t="s">
        <v>3168</v>
      </c>
    </row>
    <row r="352">
      <c r="A352" s="17" t="s">
        <v>3169</v>
      </c>
    </row>
    <row r="353">
      <c r="A353" s="17" t="s">
        <v>3170</v>
      </c>
    </row>
    <row r="354">
      <c r="A354" s="17" t="s">
        <v>3171</v>
      </c>
    </row>
    <row r="355">
      <c r="A355" s="17" t="s">
        <v>3173</v>
      </c>
    </row>
    <row r="356">
      <c r="A356" s="17" t="s">
        <v>3174</v>
      </c>
    </row>
    <row r="357">
      <c r="A357" s="17" t="s">
        <v>3175</v>
      </c>
    </row>
    <row r="358">
      <c r="A358" s="17" t="s">
        <v>3176</v>
      </c>
    </row>
    <row r="359">
      <c r="A359" s="17" t="s">
        <v>3177</v>
      </c>
    </row>
    <row r="360">
      <c r="A360" s="17" t="s">
        <v>3178</v>
      </c>
    </row>
    <row r="361">
      <c r="A361" s="17" t="s">
        <v>3179</v>
      </c>
    </row>
    <row r="362">
      <c r="A362" s="17" t="s">
        <v>3180</v>
      </c>
    </row>
    <row r="363">
      <c r="A363" s="17" t="s">
        <v>3181</v>
      </c>
    </row>
    <row r="364">
      <c r="A364" s="17" t="s">
        <v>3182</v>
      </c>
    </row>
    <row r="365">
      <c r="A365" s="17" t="s">
        <v>3183</v>
      </c>
    </row>
    <row r="366">
      <c r="A366" s="17" t="s">
        <v>3184</v>
      </c>
    </row>
    <row r="367">
      <c r="A367" s="17" t="s">
        <v>3185</v>
      </c>
    </row>
    <row r="368">
      <c r="A368" s="17" t="s">
        <v>3186</v>
      </c>
    </row>
    <row r="369">
      <c r="A369" s="17" t="s">
        <v>3187</v>
      </c>
    </row>
    <row r="370">
      <c r="A370" s="17" t="s">
        <v>3188</v>
      </c>
    </row>
    <row r="371">
      <c r="A371" s="17" t="s">
        <v>3189</v>
      </c>
    </row>
    <row r="372">
      <c r="A372" s="17" t="s">
        <v>3190</v>
      </c>
    </row>
    <row r="373">
      <c r="A373" s="17" t="s">
        <v>3191</v>
      </c>
    </row>
    <row r="374">
      <c r="A374" s="17" t="s">
        <v>3192</v>
      </c>
    </row>
    <row r="375">
      <c r="A375" s="17" t="s">
        <v>3193</v>
      </c>
    </row>
    <row r="376">
      <c r="A376" s="17" t="s">
        <v>3194</v>
      </c>
    </row>
    <row r="377">
      <c r="A377" s="17" t="s">
        <v>3195</v>
      </c>
    </row>
    <row r="378">
      <c r="A378" s="17" t="s">
        <v>3196</v>
      </c>
    </row>
    <row r="379">
      <c r="A379" s="17" t="s">
        <v>3197</v>
      </c>
    </row>
    <row r="380">
      <c r="A380" s="17" t="s">
        <v>3198</v>
      </c>
    </row>
    <row r="381">
      <c r="A381" s="17" t="s">
        <v>3199</v>
      </c>
    </row>
    <row r="382">
      <c r="A382" s="17" t="s">
        <v>3200</v>
      </c>
    </row>
    <row r="383">
      <c r="A383" s="17" t="s">
        <v>3201</v>
      </c>
    </row>
    <row r="384">
      <c r="A384" s="17" t="s">
        <v>3203</v>
      </c>
    </row>
    <row r="385">
      <c r="A385" s="17" t="s">
        <v>3204</v>
      </c>
    </row>
    <row r="386">
      <c r="A386" s="17" t="s">
        <v>3205</v>
      </c>
    </row>
    <row r="387">
      <c r="A387" s="17" t="s">
        <v>3206</v>
      </c>
    </row>
    <row r="388">
      <c r="A388" s="17" t="s">
        <v>3207</v>
      </c>
    </row>
    <row r="389">
      <c r="A389" s="17" t="s">
        <v>3208</v>
      </c>
    </row>
    <row r="390">
      <c r="A390" s="17" t="s">
        <v>3209</v>
      </c>
    </row>
    <row r="391">
      <c r="A391" s="17" t="s">
        <v>3210</v>
      </c>
    </row>
    <row r="392">
      <c r="A392" s="17" t="s">
        <v>3211</v>
      </c>
    </row>
    <row r="393">
      <c r="A393" s="17" t="s">
        <v>3212</v>
      </c>
    </row>
    <row r="394">
      <c r="A394" s="17" t="s">
        <v>3213</v>
      </c>
    </row>
    <row r="395">
      <c r="A395" s="17" t="s">
        <v>3214</v>
      </c>
    </row>
    <row r="396">
      <c r="A396" s="17" t="s">
        <v>3215</v>
      </c>
    </row>
    <row r="397">
      <c r="A397" s="17" t="s">
        <v>3216</v>
      </c>
    </row>
    <row r="398">
      <c r="A398" s="17" t="s">
        <v>3217</v>
      </c>
    </row>
    <row r="399">
      <c r="A399" s="17" t="s">
        <v>3218</v>
      </c>
    </row>
    <row r="400">
      <c r="A400" s="17" t="s">
        <v>3219</v>
      </c>
    </row>
    <row r="401">
      <c r="A401" s="17" t="s">
        <v>3220</v>
      </c>
    </row>
    <row r="402">
      <c r="A402" s="17" t="s">
        <v>3221</v>
      </c>
    </row>
    <row r="403">
      <c r="A403" s="17" t="s">
        <v>3222</v>
      </c>
    </row>
    <row r="404">
      <c r="A404" s="17" t="s">
        <v>3223</v>
      </c>
    </row>
    <row r="405">
      <c r="A405" s="17" t="s">
        <v>3224</v>
      </c>
    </row>
    <row r="406">
      <c r="A406" s="17" t="s">
        <v>3225</v>
      </c>
    </row>
    <row r="407">
      <c r="A407" s="17" t="s">
        <v>3226</v>
      </c>
    </row>
    <row r="408">
      <c r="A408" s="17" t="s">
        <v>3227</v>
      </c>
    </row>
    <row r="409">
      <c r="A409" s="17" t="s">
        <v>3228</v>
      </c>
    </row>
    <row r="410">
      <c r="A410" s="17" t="s">
        <v>3229</v>
      </c>
    </row>
    <row r="411">
      <c r="A411" s="17" t="s">
        <v>3230</v>
      </c>
    </row>
    <row r="412">
      <c r="A412" s="17" t="s">
        <v>3231</v>
      </c>
    </row>
    <row r="413">
      <c r="A413" s="17" t="s">
        <v>3232</v>
      </c>
    </row>
    <row r="414">
      <c r="A414" s="17" t="s">
        <v>3233</v>
      </c>
    </row>
    <row r="415">
      <c r="A415" s="17" t="s">
        <v>3234</v>
      </c>
    </row>
    <row r="416">
      <c r="A416" s="17" t="s">
        <v>3235</v>
      </c>
    </row>
    <row r="417">
      <c r="A417" s="17" t="s">
        <v>3236</v>
      </c>
    </row>
    <row r="418">
      <c r="A418" s="17" t="s">
        <v>3237</v>
      </c>
    </row>
    <row r="419">
      <c r="A419" s="17" t="s">
        <v>3238</v>
      </c>
    </row>
    <row r="420">
      <c r="A420" s="17" t="s">
        <v>3239</v>
      </c>
    </row>
    <row r="421">
      <c r="A421" s="17" t="s">
        <v>3240</v>
      </c>
    </row>
    <row r="422">
      <c r="A422" s="17" t="s">
        <v>3241</v>
      </c>
    </row>
    <row r="423">
      <c r="A423" s="17" t="s">
        <v>3242</v>
      </c>
    </row>
    <row r="424">
      <c r="A424" s="17" t="s">
        <v>3243</v>
      </c>
    </row>
    <row r="425">
      <c r="A425" s="17" t="s">
        <v>3244</v>
      </c>
    </row>
    <row r="426">
      <c r="A426" s="17" t="s">
        <v>3245</v>
      </c>
    </row>
    <row r="427">
      <c r="A427" s="17" t="s">
        <v>3246</v>
      </c>
    </row>
    <row r="428">
      <c r="A428" s="17" t="s">
        <v>3247</v>
      </c>
    </row>
    <row r="429">
      <c r="A429" s="17" t="s">
        <v>3248</v>
      </c>
    </row>
    <row r="430">
      <c r="A430" s="17" t="s">
        <v>3249</v>
      </c>
    </row>
    <row r="431">
      <c r="A431" s="17" t="s">
        <v>3250</v>
      </c>
    </row>
    <row r="432">
      <c r="A432" s="17" t="s">
        <v>3251</v>
      </c>
    </row>
    <row r="433">
      <c r="A433" s="17" t="s">
        <v>3252</v>
      </c>
    </row>
    <row r="434">
      <c r="A434" s="17" t="s">
        <v>3253</v>
      </c>
    </row>
    <row r="435">
      <c r="A435" s="17" t="s">
        <v>3254</v>
      </c>
    </row>
    <row r="436">
      <c r="A436" s="17" t="s">
        <v>3255</v>
      </c>
    </row>
    <row r="437">
      <c r="A437" s="17" t="s">
        <v>3256</v>
      </c>
    </row>
    <row r="438">
      <c r="A438" s="17" t="s">
        <v>3257</v>
      </c>
    </row>
    <row r="439">
      <c r="A439" s="17" t="s">
        <v>3258</v>
      </c>
    </row>
    <row r="440">
      <c r="A440" s="17" t="s">
        <v>3259</v>
      </c>
    </row>
    <row r="441">
      <c r="A441" s="17" t="s">
        <v>3260</v>
      </c>
    </row>
    <row r="442">
      <c r="A442" s="17" t="s">
        <v>3261</v>
      </c>
    </row>
    <row r="443">
      <c r="A443" s="17" t="s">
        <v>3262</v>
      </c>
    </row>
    <row r="444">
      <c r="A444" s="17" t="s">
        <v>3263</v>
      </c>
    </row>
    <row r="445">
      <c r="A445" s="17" t="s">
        <v>3264</v>
      </c>
    </row>
    <row r="446">
      <c r="A446" s="17" t="s">
        <v>3265</v>
      </c>
    </row>
    <row r="447">
      <c r="A447" s="17" t="s">
        <v>3266</v>
      </c>
    </row>
    <row r="448">
      <c r="A448" s="17" t="s">
        <v>3267</v>
      </c>
    </row>
    <row r="449">
      <c r="A449" s="17" t="s">
        <v>3268</v>
      </c>
    </row>
    <row r="450">
      <c r="A450" s="17" t="s">
        <v>3269</v>
      </c>
    </row>
    <row r="451">
      <c r="A451" s="17" t="s">
        <v>3270</v>
      </c>
    </row>
    <row r="452">
      <c r="A452" s="17" t="s">
        <v>3271</v>
      </c>
    </row>
    <row r="453">
      <c r="A453" s="17" t="s">
        <v>3272</v>
      </c>
    </row>
    <row r="454">
      <c r="A454" s="17" t="s">
        <v>3273</v>
      </c>
    </row>
    <row r="455">
      <c r="A455" s="17" t="s">
        <v>3274</v>
      </c>
    </row>
    <row r="456">
      <c r="A456" s="17" t="s">
        <v>3275</v>
      </c>
    </row>
    <row r="457">
      <c r="A457" s="17" t="s">
        <v>3276</v>
      </c>
    </row>
    <row r="458">
      <c r="A458" s="17" t="s">
        <v>3277</v>
      </c>
    </row>
    <row r="459">
      <c r="A459" s="17" t="s">
        <v>3278</v>
      </c>
    </row>
    <row r="460">
      <c r="A460" s="17" t="s">
        <v>3279</v>
      </c>
    </row>
    <row r="461">
      <c r="A461" s="17" t="s">
        <v>3280</v>
      </c>
    </row>
    <row r="462">
      <c r="A462" s="17" t="s">
        <v>3281</v>
      </c>
    </row>
    <row r="463">
      <c r="A463" s="17" t="s">
        <v>3282</v>
      </c>
    </row>
    <row r="464">
      <c r="A464" s="17" t="s">
        <v>3283</v>
      </c>
    </row>
    <row r="465">
      <c r="A465" s="17" t="s">
        <v>3284</v>
      </c>
    </row>
    <row r="466">
      <c r="A466" s="17" t="s">
        <v>3285</v>
      </c>
    </row>
    <row r="467">
      <c r="A467" s="17" t="s">
        <v>3286</v>
      </c>
    </row>
    <row r="468">
      <c r="A468" s="17" t="s">
        <v>3287</v>
      </c>
    </row>
    <row r="469">
      <c r="A469" s="17" t="s">
        <v>3288</v>
      </c>
    </row>
    <row r="470">
      <c r="A470" s="17" t="s">
        <v>3289</v>
      </c>
    </row>
    <row r="471">
      <c r="A471" s="17" t="s">
        <v>3290</v>
      </c>
    </row>
    <row r="472">
      <c r="A472" s="17" t="s">
        <v>3291</v>
      </c>
    </row>
    <row r="473">
      <c r="A473" s="17" t="s">
        <v>3292</v>
      </c>
    </row>
    <row r="474">
      <c r="A474" s="17" t="s">
        <v>3293</v>
      </c>
    </row>
    <row r="475">
      <c r="A475" s="17" t="s">
        <v>3294</v>
      </c>
    </row>
    <row r="476">
      <c r="A476" s="17" t="s">
        <v>3295</v>
      </c>
    </row>
    <row r="477">
      <c r="A477" s="17" t="s">
        <v>3296</v>
      </c>
    </row>
    <row r="478">
      <c r="A478" s="17" t="s">
        <v>3297</v>
      </c>
    </row>
    <row r="479">
      <c r="A479" s="17" t="s">
        <v>3298</v>
      </c>
    </row>
    <row r="480">
      <c r="A480" s="17" t="s">
        <v>3299</v>
      </c>
    </row>
    <row r="481">
      <c r="A481" s="17" t="s">
        <v>3300</v>
      </c>
    </row>
    <row r="482">
      <c r="A482" s="17" t="s">
        <v>3301</v>
      </c>
    </row>
    <row r="483">
      <c r="A483" s="17" t="s">
        <v>3302</v>
      </c>
    </row>
    <row r="484">
      <c r="A484" s="17" t="s">
        <v>3303</v>
      </c>
    </row>
    <row r="485">
      <c r="A485" s="17" t="s">
        <v>3304</v>
      </c>
    </row>
    <row r="486">
      <c r="A486" s="17" t="s">
        <v>3305</v>
      </c>
    </row>
    <row r="487">
      <c r="A487" s="17" t="s">
        <v>3306</v>
      </c>
    </row>
    <row r="488">
      <c r="A488" s="17" t="s">
        <v>3307</v>
      </c>
    </row>
    <row r="489">
      <c r="A489" s="17" t="s">
        <v>3308</v>
      </c>
    </row>
    <row r="490">
      <c r="A490" s="17" t="s">
        <v>3309</v>
      </c>
    </row>
    <row r="491">
      <c r="A491" s="17" t="s">
        <v>3310</v>
      </c>
    </row>
    <row r="492">
      <c r="A492" s="17" t="s">
        <v>3311</v>
      </c>
    </row>
    <row r="493">
      <c r="A493" s="17" t="s">
        <v>3312</v>
      </c>
    </row>
    <row r="494">
      <c r="A494" s="17" t="s">
        <v>3313</v>
      </c>
    </row>
    <row r="495">
      <c r="A495" s="17" t="s">
        <v>3314</v>
      </c>
    </row>
    <row r="496">
      <c r="A496" s="17" t="s">
        <v>3315</v>
      </c>
    </row>
    <row r="497">
      <c r="A497" s="17" t="s">
        <v>3316</v>
      </c>
    </row>
    <row r="498">
      <c r="A498" s="17" t="s">
        <v>3317</v>
      </c>
    </row>
    <row r="499">
      <c r="A499" s="17" t="s">
        <v>3318</v>
      </c>
    </row>
    <row r="500">
      <c r="A500" s="17" t="s">
        <v>3319</v>
      </c>
    </row>
    <row r="501">
      <c r="A501" s="17" t="s">
        <v>3320</v>
      </c>
    </row>
    <row r="502">
      <c r="A502" s="17" t="s">
        <v>3321</v>
      </c>
    </row>
    <row r="503">
      <c r="A503" s="17" t="s">
        <v>3322</v>
      </c>
    </row>
    <row r="504">
      <c r="A504" s="17" t="s">
        <v>3323</v>
      </c>
    </row>
    <row r="505">
      <c r="A505" s="17" t="s">
        <v>3324</v>
      </c>
    </row>
    <row r="506">
      <c r="A506" s="17" t="s">
        <v>3325</v>
      </c>
    </row>
    <row r="507">
      <c r="A507" s="17" t="s">
        <v>3326</v>
      </c>
    </row>
    <row r="508">
      <c r="A508" s="17" t="s">
        <v>3327</v>
      </c>
    </row>
    <row r="509">
      <c r="A509" s="17" t="s">
        <v>3328</v>
      </c>
    </row>
    <row r="510">
      <c r="A510" s="17" t="s">
        <v>3329</v>
      </c>
    </row>
    <row r="511">
      <c r="A511" s="17" t="s">
        <v>3330</v>
      </c>
    </row>
    <row r="512">
      <c r="A512" s="17" t="s">
        <v>3331</v>
      </c>
    </row>
    <row r="513">
      <c r="A513" s="17" t="s">
        <v>3332</v>
      </c>
    </row>
    <row r="514">
      <c r="A514" s="17" t="s">
        <v>3333</v>
      </c>
    </row>
    <row r="515">
      <c r="A515" s="17" t="s">
        <v>3334</v>
      </c>
    </row>
    <row r="516">
      <c r="A516" s="17" t="s">
        <v>3335</v>
      </c>
    </row>
    <row r="517">
      <c r="A517" s="17" t="s">
        <v>3336</v>
      </c>
    </row>
    <row r="518">
      <c r="A518" s="17" t="s">
        <v>3337</v>
      </c>
    </row>
    <row r="519">
      <c r="A519" s="17" t="s">
        <v>3338</v>
      </c>
    </row>
    <row r="520">
      <c r="A520" s="17" t="s">
        <v>3339</v>
      </c>
    </row>
    <row r="521">
      <c r="A521" s="17" t="s">
        <v>3340</v>
      </c>
    </row>
    <row r="522">
      <c r="A522" s="17" t="s">
        <v>3341</v>
      </c>
    </row>
    <row r="523">
      <c r="A523" s="17" t="s">
        <v>3342</v>
      </c>
    </row>
    <row r="524">
      <c r="A524" s="17" t="s">
        <v>3343</v>
      </c>
    </row>
    <row r="525">
      <c r="A525" s="17" t="s">
        <v>3344</v>
      </c>
    </row>
    <row r="526">
      <c r="A526" s="17" t="s">
        <v>3345</v>
      </c>
    </row>
    <row r="527">
      <c r="A527" s="17" t="s">
        <v>3346</v>
      </c>
    </row>
    <row r="528">
      <c r="A528" s="17" t="s">
        <v>3347</v>
      </c>
    </row>
    <row r="529">
      <c r="A529" s="17" t="s">
        <v>3348</v>
      </c>
    </row>
    <row r="530">
      <c r="A530" s="17" t="s">
        <v>3349</v>
      </c>
    </row>
    <row r="531">
      <c r="A531" s="17" t="s">
        <v>3350</v>
      </c>
    </row>
    <row r="532">
      <c r="A532" s="17" t="s">
        <v>3351</v>
      </c>
    </row>
    <row r="533">
      <c r="A533" s="17" t="s">
        <v>3352</v>
      </c>
    </row>
    <row r="534">
      <c r="A534" s="17" t="s">
        <v>3353</v>
      </c>
    </row>
    <row r="535">
      <c r="A535" s="17" t="s">
        <v>3354</v>
      </c>
    </row>
    <row r="536">
      <c r="A536" s="17" t="s">
        <v>3355</v>
      </c>
    </row>
    <row r="537">
      <c r="A537" s="17" t="s">
        <v>3356</v>
      </c>
    </row>
    <row r="538">
      <c r="A538" s="17" t="s">
        <v>3357</v>
      </c>
    </row>
    <row r="539">
      <c r="A539" s="17" t="s">
        <v>3358</v>
      </c>
    </row>
    <row r="540">
      <c r="A540" s="17" t="s">
        <v>3359</v>
      </c>
    </row>
    <row r="541">
      <c r="A541" s="17" t="s">
        <v>3360</v>
      </c>
    </row>
    <row r="542">
      <c r="A542" s="17" t="s">
        <v>3361</v>
      </c>
    </row>
    <row r="543">
      <c r="A543" s="17" t="s">
        <v>3362</v>
      </c>
    </row>
    <row r="544">
      <c r="A544" s="17" t="s">
        <v>3363</v>
      </c>
    </row>
    <row r="545">
      <c r="A545" s="17" t="s">
        <v>3364</v>
      </c>
    </row>
    <row r="546">
      <c r="A546" s="17" t="s">
        <v>3365</v>
      </c>
    </row>
    <row r="547">
      <c r="A547" s="17" t="s">
        <v>3366</v>
      </c>
    </row>
    <row r="548">
      <c r="A548" s="17" t="s">
        <v>3367</v>
      </c>
    </row>
    <row r="549">
      <c r="A549" s="17" t="s">
        <v>3368</v>
      </c>
    </row>
    <row r="550">
      <c r="A550" s="17" t="s">
        <v>3369</v>
      </c>
    </row>
    <row r="551">
      <c r="A551" s="17" t="s">
        <v>3370</v>
      </c>
    </row>
    <row r="552">
      <c r="A552" s="17" t="s">
        <v>3371</v>
      </c>
    </row>
    <row r="553">
      <c r="A553" s="17" t="s">
        <v>3372</v>
      </c>
    </row>
    <row r="554">
      <c r="A554" s="17" t="s">
        <v>3373</v>
      </c>
    </row>
    <row r="555">
      <c r="A555" s="17" t="s">
        <v>3374</v>
      </c>
    </row>
    <row r="556">
      <c r="A556" s="17" t="s">
        <v>3375</v>
      </c>
    </row>
    <row r="557">
      <c r="A557" s="17" t="s">
        <v>3376</v>
      </c>
    </row>
    <row r="558">
      <c r="A558" s="17" t="s">
        <v>3377</v>
      </c>
    </row>
    <row r="559">
      <c r="A559" s="17" t="s">
        <v>3378</v>
      </c>
    </row>
    <row r="560">
      <c r="A560" s="17" t="s">
        <v>3379</v>
      </c>
    </row>
    <row r="561">
      <c r="A561" s="17" t="s">
        <v>3380</v>
      </c>
    </row>
    <row r="562">
      <c r="A562" s="17" t="s">
        <v>3381</v>
      </c>
    </row>
    <row r="563">
      <c r="A563" s="17" t="s">
        <v>3382</v>
      </c>
    </row>
    <row r="564">
      <c r="A564" s="17" t="s">
        <v>3383</v>
      </c>
    </row>
    <row r="565">
      <c r="A565" s="17" t="s">
        <v>3384</v>
      </c>
    </row>
    <row r="566">
      <c r="A566" s="17" t="s">
        <v>3385</v>
      </c>
    </row>
    <row r="567">
      <c r="A567" s="17" t="s">
        <v>3386</v>
      </c>
    </row>
    <row r="568">
      <c r="A568" s="17" t="s">
        <v>3387</v>
      </c>
    </row>
    <row r="569">
      <c r="A569" s="17" t="s">
        <v>3388</v>
      </c>
    </row>
    <row r="570">
      <c r="A570" s="17" t="s">
        <v>3389</v>
      </c>
    </row>
    <row r="571">
      <c r="A571" s="17" t="s">
        <v>3390</v>
      </c>
    </row>
    <row r="572">
      <c r="A572" s="17" t="s">
        <v>3391</v>
      </c>
    </row>
    <row r="573">
      <c r="A573" s="17" t="s">
        <v>3392</v>
      </c>
    </row>
    <row r="574">
      <c r="A574" s="17" t="s">
        <v>3393</v>
      </c>
    </row>
    <row r="575">
      <c r="A575" s="17" t="s">
        <v>3394</v>
      </c>
    </row>
    <row r="576">
      <c r="A576" s="17" t="s">
        <v>3395</v>
      </c>
    </row>
    <row r="577">
      <c r="A577" s="17" t="s">
        <v>3396</v>
      </c>
    </row>
    <row r="578">
      <c r="A578" s="17" t="s">
        <v>3397</v>
      </c>
    </row>
    <row r="579">
      <c r="A579" s="17" t="s">
        <v>3398</v>
      </c>
    </row>
    <row r="580">
      <c r="A580" s="17" t="s">
        <v>3399</v>
      </c>
    </row>
    <row r="581">
      <c r="A581" s="17" t="s">
        <v>3400</v>
      </c>
    </row>
    <row r="582">
      <c r="A582" s="17" t="s">
        <v>3401</v>
      </c>
    </row>
    <row r="583">
      <c r="A583" s="17" t="s">
        <v>3402</v>
      </c>
    </row>
    <row r="584">
      <c r="A584" s="17" t="s">
        <v>3403</v>
      </c>
    </row>
    <row r="585">
      <c r="A585" s="17" t="s">
        <v>3404</v>
      </c>
    </row>
    <row r="586">
      <c r="A586" s="17" t="s">
        <v>3405</v>
      </c>
    </row>
    <row r="587">
      <c r="A587" s="17" t="s">
        <v>3406</v>
      </c>
    </row>
    <row r="588">
      <c r="A588" s="17" t="s">
        <v>3407</v>
      </c>
    </row>
    <row r="589">
      <c r="A589" s="17" t="s">
        <v>3408</v>
      </c>
    </row>
    <row r="590">
      <c r="A590" s="17" t="s">
        <v>3409</v>
      </c>
    </row>
    <row r="591">
      <c r="A591" s="17" t="s">
        <v>3410</v>
      </c>
    </row>
    <row r="592">
      <c r="A592" s="17" t="s">
        <v>3411</v>
      </c>
    </row>
    <row r="593">
      <c r="A593" s="17" t="s">
        <v>3412</v>
      </c>
    </row>
    <row r="594">
      <c r="A594" s="17" t="s">
        <v>3413</v>
      </c>
    </row>
    <row r="595">
      <c r="A595" s="17" t="s">
        <v>3414</v>
      </c>
    </row>
    <row r="596">
      <c r="A596" s="17" t="s">
        <v>3415</v>
      </c>
    </row>
    <row r="597">
      <c r="A597" s="17" t="s">
        <v>3416</v>
      </c>
    </row>
    <row r="598">
      <c r="A598" s="17" t="s">
        <v>3417</v>
      </c>
    </row>
    <row r="599">
      <c r="A599" s="17" t="s">
        <v>3418</v>
      </c>
    </row>
    <row r="600">
      <c r="A600" s="17" t="s">
        <v>3419</v>
      </c>
    </row>
    <row r="601">
      <c r="A601" s="17" t="s">
        <v>3420</v>
      </c>
    </row>
    <row r="602">
      <c r="A602" s="17" t="s">
        <v>3421</v>
      </c>
    </row>
    <row r="603">
      <c r="A603" s="17" t="s">
        <v>3422</v>
      </c>
    </row>
    <row r="604">
      <c r="A604" s="17" t="s">
        <v>3423</v>
      </c>
    </row>
    <row r="605">
      <c r="A605" s="17" t="s">
        <v>3424</v>
      </c>
    </row>
    <row r="606">
      <c r="A606" s="17" t="s">
        <v>3425</v>
      </c>
    </row>
    <row r="607">
      <c r="A607" s="17" t="s">
        <v>3426</v>
      </c>
    </row>
    <row r="608">
      <c r="A608" s="17" t="s">
        <v>3427</v>
      </c>
    </row>
    <row r="609">
      <c r="A609" s="17" t="s">
        <v>3428</v>
      </c>
    </row>
    <row r="610">
      <c r="A610" s="17" t="s">
        <v>3429</v>
      </c>
    </row>
    <row r="611">
      <c r="A611" s="17" t="s">
        <v>3430</v>
      </c>
    </row>
    <row r="612">
      <c r="A612" s="17" t="s">
        <v>3431</v>
      </c>
    </row>
    <row r="613">
      <c r="A613" s="17" t="s">
        <v>3432</v>
      </c>
    </row>
    <row r="614">
      <c r="A614" s="17" t="s">
        <v>3433</v>
      </c>
    </row>
    <row r="615">
      <c r="A615" s="17" t="s">
        <v>3434</v>
      </c>
    </row>
    <row r="616">
      <c r="A616" s="17" t="s">
        <v>3435</v>
      </c>
    </row>
    <row r="617">
      <c r="A617" s="17" t="s">
        <v>3436</v>
      </c>
    </row>
    <row r="618">
      <c r="A618" s="17" t="s">
        <v>3437</v>
      </c>
    </row>
    <row r="619">
      <c r="A619" s="17" t="s">
        <v>3438</v>
      </c>
    </row>
    <row r="620">
      <c r="A620" s="17" t="s">
        <v>3439</v>
      </c>
    </row>
    <row r="621">
      <c r="A621" s="17" t="s">
        <v>3440</v>
      </c>
    </row>
    <row r="622">
      <c r="A622" s="17" t="s">
        <v>3441</v>
      </c>
    </row>
    <row r="623">
      <c r="A623" s="17" t="s">
        <v>3442</v>
      </c>
    </row>
    <row r="624">
      <c r="A624" s="17" t="s">
        <v>3443</v>
      </c>
    </row>
    <row r="625">
      <c r="A625" s="17" t="s">
        <v>3444</v>
      </c>
    </row>
    <row r="626">
      <c r="A626" s="17" t="s">
        <v>3445</v>
      </c>
    </row>
    <row r="627">
      <c r="A627" s="17" t="s">
        <v>3446</v>
      </c>
    </row>
    <row r="628">
      <c r="A628" s="17" t="s">
        <v>3447</v>
      </c>
    </row>
    <row r="629">
      <c r="A629" s="17" t="s">
        <v>3448</v>
      </c>
    </row>
    <row r="630">
      <c r="A630" s="17" t="s">
        <v>3449</v>
      </c>
    </row>
    <row r="631">
      <c r="A631" s="17" t="s">
        <v>3450</v>
      </c>
    </row>
    <row r="632">
      <c r="A632" s="17" t="s">
        <v>3451</v>
      </c>
    </row>
    <row r="633">
      <c r="A633" s="17" t="s">
        <v>3452</v>
      </c>
    </row>
    <row r="634">
      <c r="A634" s="17" t="s">
        <v>3453</v>
      </c>
    </row>
    <row r="635">
      <c r="A635" s="17" t="s">
        <v>3454</v>
      </c>
    </row>
    <row r="636">
      <c r="A636" s="17" t="s">
        <v>3455</v>
      </c>
    </row>
    <row r="637">
      <c r="A637" s="17" t="s">
        <v>3456</v>
      </c>
    </row>
    <row r="638">
      <c r="A638" s="17" t="s">
        <v>3457</v>
      </c>
    </row>
    <row r="639">
      <c r="A639" s="17" t="s">
        <v>3458</v>
      </c>
    </row>
    <row r="640">
      <c r="A640" s="17" t="s">
        <v>3459</v>
      </c>
    </row>
    <row r="641">
      <c r="A641" s="17" t="s">
        <v>3460</v>
      </c>
    </row>
    <row r="642">
      <c r="A642" s="17" t="s">
        <v>3461</v>
      </c>
    </row>
    <row r="643">
      <c r="A643" s="17" t="s">
        <v>3462</v>
      </c>
    </row>
    <row r="644">
      <c r="A644" s="17" t="s">
        <v>3463</v>
      </c>
    </row>
    <row r="645">
      <c r="A645" s="17" t="s">
        <v>3464</v>
      </c>
    </row>
    <row r="646">
      <c r="A646" s="17" t="s">
        <v>3465</v>
      </c>
    </row>
    <row r="647">
      <c r="A647" s="17" t="s">
        <v>3466</v>
      </c>
    </row>
    <row r="648">
      <c r="A648" s="17" t="s">
        <v>3467</v>
      </c>
    </row>
    <row r="649">
      <c r="A649" s="17" t="s">
        <v>3468</v>
      </c>
    </row>
    <row r="650">
      <c r="A650" s="17" t="s">
        <v>3469</v>
      </c>
    </row>
    <row r="651">
      <c r="A651" s="17" t="s">
        <v>3470</v>
      </c>
    </row>
    <row r="652">
      <c r="A652" s="17" t="s">
        <v>3471</v>
      </c>
    </row>
    <row r="653">
      <c r="A653" s="17" t="s">
        <v>3472</v>
      </c>
    </row>
    <row r="654">
      <c r="A654" s="17" t="s">
        <v>3473</v>
      </c>
    </row>
    <row r="655">
      <c r="A655" s="17" t="s">
        <v>3474</v>
      </c>
    </row>
    <row r="656">
      <c r="A656" s="17" t="s">
        <v>3475</v>
      </c>
    </row>
    <row r="657">
      <c r="A657" s="17" t="s">
        <v>3476</v>
      </c>
    </row>
    <row r="658">
      <c r="A658" s="17" t="s">
        <v>3477</v>
      </c>
    </row>
    <row r="659">
      <c r="A659" s="17" t="s">
        <v>3478</v>
      </c>
    </row>
    <row r="660">
      <c r="A660" s="17" t="s">
        <v>3479</v>
      </c>
    </row>
    <row r="661">
      <c r="A661" s="17" t="s">
        <v>3480</v>
      </c>
    </row>
    <row r="662">
      <c r="A662" s="17" t="s">
        <v>3481</v>
      </c>
    </row>
    <row r="663">
      <c r="A663" s="17" t="s">
        <v>3482</v>
      </c>
    </row>
    <row r="664">
      <c r="A664" s="17" t="s">
        <v>3483</v>
      </c>
    </row>
    <row r="665">
      <c r="A665" s="17" t="s">
        <v>3484</v>
      </c>
    </row>
    <row r="666">
      <c r="A666" s="17" t="s">
        <v>3485</v>
      </c>
    </row>
    <row r="667">
      <c r="A667" s="17" t="s">
        <v>3486</v>
      </c>
    </row>
    <row r="668">
      <c r="A668" s="17" t="s">
        <v>3487</v>
      </c>
    </row>
    <row r="669">
      <c r="A669" s="17" t="s">
        <v>3488</v>
      </c>
    </row>
    <row r="670">
      <c r="A670" s="17" t="s">
        <v>3489</v>
      </c>
    </row>
    <row r="671">
      <c r="A671" s="17" t="s">
        <v>3490</v>
      </c>
    </row>
    <row r="672">
      <c r="A672" s="17" t="s">
        <v>3491</v>
      </c>
    </row>
    <row r="673">
      <c r="A673" s="17" t="s">
        <v>3492</v>
      </c>
    </row>
    <row r="674">
      <c r="A674" s="17" t="s">
        <v>3493</v>
      </c>
    </row>
    <row r="675">
      <c r="A675" s="17" t="s">
        <v>3494</v>
      </c>
    </row>
    <row r="676">
      <c r="A676" s="17" t="s">
        <v>3495</v>
      </c>
    </row>
    <row r="677">
      <c r="A677" s="17" t="s">
        <v>3496</v>
      </c>
    </row>
    <row r="678">
      <c r="A678" s="17" t="s">
        <v>3497</v>
      </c>
    </row>
    <row r="679">
      <c r="A679" s="17" t="s">
        <v>3498</v>
      </c>
    </row>
    <row r="680">
      <c r="A680" s="17" t="s">
        <v>3499</v>
      </c>
    </row>
    <row r="681">
      <c r="A681" s="17" t="s">
        <v>3500</v>
      </c>
    </row>
    <row r="682">
      <c r="A682" s="17" t="s">
        <v>3501</v>
      </c>
    </row>
    <row r="683">
      <c r="A683" s="17" t="s">
        <v>3502</v>
      </c>
    </row>
    <row r="684">
      <c r="A684" s="17" t="s">
        <v>3503</v>
      </c>
    </row>
    <row r="685">
      <c r="A685" s="17" t="s">
        <v>3504</v>
      </c>
    </row>
    <row r="686">
      <c r="A686" s="17" t="s">
        <v>3505</v>
      </c>
    </row>
    <row r="687">
      <c r="A687" s="17" t="s">
        <v>3506</v>
      </c>
    </row>
    <row r="688">
      <c r="A688" s="17" t="s">
        <v>3507</v>
      </c>
    </row>
    <row r="689">
      <c r="A689" s="17" t="s">
        <v>3508</v>
      </c>
    </row>
    <row r="690">
      <c r="A690" s="17" t="s">
        <v>3509</v>
      </c>
    </row>
    <row r="691">
      <c r="A691" s="17" t="s">
        <v>3510</v>
      </c>
    </row>
    <row r="692">
      <c r="A692" s="17" t="s">
        <v>3511</v>
      </c>
    </row>
    <row r="693">
      <c r="A693" s="17" t="s">
        <v>3512</v>
      </c>
    </row>
    <row r="694">
      <c r="A694" s="17" t="s">
        <v>3513</v>
      </c>
    </row>
    <row r="695">
      <c r="A695" s="17" t="s">
        <v>3514</v>
      </c>
    </row>
    <row r="696">
      <c r="A696" s="17" t="s">
        <v>3515</v>
      </c>
    </row>
    <row r="697">
      <c r="A697" s="17" t="s">
        <v>3516</v>
      </c>
    </row>
    <row r="698">
      <c r="A698" s="17" t="s">
        <v>3517</v>
      </c>
    </row>
    <row r="699">
      <c r="A699" s="17" t="s">
        <v>3518</v>
      </c>
    </row>
    <row r="700">
      <c r="A700" s="17" t="s">
        <v>3519</v>
      </c>
    </row>
    <row r="701">
      <c r="A701" s="17" t="s">
        <v>3520</v>
      </c>
    </row>
    <row r="702">
      <c r="A702" s="17" t="s">
        <v>3521</v>
      </c>
    </row>
    <row r="703">
      <c r="A703" s="17" t="s">
        <v>3522</v>
      </c>
    </row>
    <row r="704">
      <c r="A704" s="17" t="s">
        <v>3523</v>
      </c>
    </row>
    <row r="705">
      <c r="A705" s="17" t="s">
        <v>3524</v>
      </c>
    </row>
    <row r="706">
      <c r="A706" s="17" t="s">
        <v>3525</v>
      </c>
    </row>
    <row r="707">
      <c r="A707" s="17" t="s">
        <v>3526</v>
      </c>
    </row>
    <row r="708">
      <c r="A708" s="17" t="s">
        <v>3527</v>
      </c>
    </row>
    <row r="709">
      <c r="A709" s="17" t="s">
        <v>3528</v>
      </c>
    </row>
    <row r="710">
      <c r="A710" s="17" t="s">
        <v>3529</v>
      </c>
    </row>
    <row r="711">
      <c r="A711" s="17" t="s">
        <v>3530</v>
      </c>
    </row>
    <row r="712">
      <c r="A712" s="17" t="s">
        <v>3531</v>
      </c>
    </row>
    <row r="713">
      <c r="A713" s="17" t="s">
        <v>3532</v>
      </c>
    </row>
    <row r="714">
      <c r="A714" s="17" t="s">
        <v>3533</v>
      </c>
    </row>
    <row r="715">
      <c r="A715" s="17" t="s">
        <v>3534</v>
      </c>
    </row>
    <row r="716">
      <c r="A716" s="17" t="s">
        <v>3535</v>
      </c>
    </row>
    <row r="717">
      <c r="A717" s="17" t="s">
        <v>3536</v>
      </c>
    </row>
    <row r="718">
      <c r="A718" s="17" t="s">
        <v>3537</v>
      </c>
    </row>
    <row r="719">
      <c r="A719" s="17" t="s">
        <v>3538</v>
      </c>
    </row>
    <row r="720">
      <c r="A720" s="17" t="s">
        <v>3539</v>
      </c>
    </row>
    <row r="721">
      <c r="A721" s="17" t="s">
        <v>3540</v>
      </c>
    </row>
    <row r="722">
      <c r="A722" s="17" t="s">
        <v>3541</v>
      </c>
    </row>
    <row r="723">
      <c r="A723" s="17" t="s">
        <v>3542</v>
      </c>
    </row>
    <row r="724">
      <c r="A724" s="17" t="s">
        <v>3543</v>
      </c>
    </row>
    <row r="725">
      <c r="A725" s="17" t="s">
        <v>3544</v>
      </c>
    </row>
    <row r="726">
      <c r="A726" s="17" t="s">
        <v>3545</v>
      </c>
    </row>
    <row r="727">
      <c r="A727" s="17" t="s">
        <v>3546</v>
      </c>
    </row>
    <row r="728">
      <c r="A728" s="17" t="s">
        <v>3547</v>
      </c>
    </row>
    <row r="729">
      <c r="A729" s="17" t="s">
        <v>3548</v>
      </c>
    </row>
    <row r="730">
      <c r="A730" s="17" t="s">
        <v>3549</v>
      </c>
    </row>
    <row r="731">
      <c r="A731" s="17" t="s">
        <v>3550</v>
      </c>
    </row>
    <row r="732">
      <c r="A732" s="17" t="s">
        <v>3551</v>
      </c>
    </row>
    <row r="733">
      <c r="A733" s="17" t="s">
        <v>3552</v>
      </c>
    </row>
    <row r="734">
      <c r="A734" s="17" t="s">
        <v>3553</v>
      </c>
    </row>
    <row r="735">
      <c r="A735" s="17" t="s">
        <v>3554</v>
      </c>
    </row>
    <row r="736">
      <c r="A736" s="17" t="s">
        <v>3555</v>
      </c>
    </row>
    <row r="737">
      <c r="A737" s="17" t="s">
        <v>3556</v>
      </c>
    </row>
    <row r="738">
      <c r="A738" s="17" t="s">
        <v>3557</v>
      </c>
    </row>
    <row r="739">
      <c r="A739" s="17" t="s">
        <v>3558</v>
      </c>
    </row>
    <row r="740">
      <c r="A740" s="17" t="s">
        <v>3559</v>
      </c>
    </row>
    <row r="741">
      <c r="A741" s="17" t="s">
        <v>3560</v>
      </c>
    </row>
    <row r="742">
      <c r="A742" s="17" t="s">
        <v>3561</v>
      </c>
    </row>
    <row r="743">
      <c r="A743" s="17" t="s">
        <v>3562</v>
      </c>
    </row>
    <row r="744">
      <c r="A744" s="17" t="s">
        <v>3563</v>
      </c>
    </row>
    <row r="745">
      <c r="A745" s="17" t="s">
        <v>3564</v>
      </c>
    </row>
    <row r="746">
      <c r="A746" s="17" t="s">
        <v>3565</v>
      </c>
    </row>
    <row r="747">
      <c r="A747" s="17" t="s">
        <v>3566</v>
      </c>
    </row>
    <row r="748">
      <c r="A748" s="17" t="s">
        <v>3567</v>
      </c>
    </row>
    <row r="749">
      <c r="A749" s="17" t="s">
        <v>3568</v>
      </c>
    </row>
    <row r="750">
      <c r="A750" s="17" t="s">
        <v>3569</v>
      </c>
    </row>
    <row r="751">
      <c r="A751" s="17" t="s">
        <v>3570</v>
      </c>
    </row>
    <row r="752">
      <c r="A752" s="17" t="s">
        <v>3571</v>
      </c>
    </row>
    <row r="753">
      <c r="A753" s="17" t="s">
        <v>3572</v>
      </c>
    </row>
    <row r="754">
      <c r="A754" s="17" t="s">
        <v>3573</v>
      </c>
    </row>
    <row r="755">
      <c r="A755" s="17" t="s">
        <v>3574</v>
      </c>
    </row>
    <row r="756">
      <c r="A756" s="17" t="s">
        <v>3575</v>
      </c>
    </row>
    <row r="757">
      <c r="A757" s="17" t="s">
        <v>3576</v>
      </c>
    </row>
    <row r="758">
      <c r="A758" s="17" t="s">
        <v>3577</v>
      </c>
    </row>
    <row r="759">
      <c r="A759" s="17" t="s">
        <v>3578</v>
      </c>
    </row>
    <row r="760">
      <c r="A760" s="17" t="s">
        <v>3579</v>
      </c>
    </row>
    <row r="761">
      <c r="A761" s="17" t="s">
        <v>3580</v>
      </c>
    </row>
    <row r="762">
      <c r="A762" s="17" t="s">
        <v>3581</v>
      </c>
    </row>
    <row r="763">
      <c r="A763" s="17" t="s">
        <v>3582</v>
      </c>
    </row>
    <row r="764">
      <c r="A764" s="17" t="s">
        <v>3583</v>
      </c>
    </row>
    <row r="765">
      <c r="A765" s="17" t="s">
        <v>3584</v>
      </c>
    </row>
    <row r="766">
      <c r="A766" s="17" t="s">
        <v>3585</v>
      </c>
    </row>
    <row r="767">
      <c r="A767" s="17" t="s">
        <v>3586</v>
      </c>
    </row>
    <row r="768">
      <c r="A768" s="17" t="s">
        <v>3587</v>
      </c>
    </row>
    <row r="769">
      <c r="A769" s="17" t="s">
        <v>3588</v>
      </c>
    </row>
    <row r="770">
      <c r="A770" s="17" t="s">
        <v>3589</v>
      </c>
    </row>
    <row r="771">
      <c r="A771" s="17" t="s">
        <v>3590</v>
      </c>
    </row>
    <row r="772">
      <c r="A772" s="17" t="s">
        <v>3591</v>
      </c>
    </row>
    <row r="773">
      <c r="A773" s="17" t="s">
        <v>3592</v>
      </c>
    </row>
    <row r="774">
      <c r="A774" s="17" t="s">
        <v>3593</v>
      </c>
    </row>
    <row r="775">
      <c r="A775" s="17" t="s">
        <v>3594</v>
      </c>
    </row>
    <row r="776">
      <c r="A776" s="17" t="s">
        <v>3595</v>
      </c>
    </row>
    <row r="777">
      <c r="A777" s="17" t="s">
        <v>3596</v>
      </c>
    </row>
    <row r="778">
      <c r="A778" s="17" t="s">
        <v>3597</v>
      </c>
    </row>
    <row r="779">
      <c r="A779" s="17" t="s">
        <v>3598</v>
      </c>
    </row>
    <row r="780">
      <c r="A780" s="17" t="s">
        <v>3599</v>
      </c>
    </row>
    <row r="781">
      <c r="A781" s="17" t="s">
        <v>3600</v>
      </c>
    </row>
    <row r="782">
      <c r="A782" s="17" t="s">
        <v>3601</v>
      </c>
    </row>
    <row r="783">
      <c r="A783" s="17" t="s">
        <v>3602</v>
      </c>
    </row>
    <row r="784">
      <c r="A784" s="17" t="s">
        <v>3603</v>
      </c>
    </row>
    <row r="785">
      <c r="A785" s="17" t="s">
        <v>3604</v>
      </c>
    </row>
    <row r="786">
      <c r="A786" s="17" t="s">
        <v>3605</v>
      </c>
    </row>
    <row r="787">
      <c r="A787" s="17" t="s">
        <v>3606</v>
      </c>
    </row>
    <row r="788">
      <c r="A788" s="17" t="s">
        <v>3607</v>
      </c>
    </row>
    <row r="789">
      <c r="A789" s="17" t="s">
        <v>3608</v>
      </c>
    </row>
    <row r="790">
      <c r="A790" s="17" t="s">
        <v>3609</v>
      </c>
    </row>
    <row r="791">
      <c r="A791" s="17" t="s">
        <v>3610</v>
      </c>
    </row>
    <row r="792">
      <c r="A792" s="17" t="s">
        <v>3611</v>
      </c>
    </row>
    <row r="793">
      <c r="A793" s="17" t="s">
        <v>3612</v>
      </c>
    </row>
    <row r="794">
      <c r="A794" s="17" t="s">
        <v>3613</v>
      </c>
    </row>
    <row r="795">
      <c r="A795" s="17" t="s">
        <v>3614</v>
      </c>
    </row>
    <row r="796">
      <c r="A796" s="17" t="s">
        <v>3615</v>
      </c>
    </row>
    <row r="797">
      <c r="A797" s="17" t="s">
        <v>3616</v>
      </c>
    </row>
    <row r="798">
      <c r="A798" s="17" t="s">
        <v>3617</v>
      </c>
    </row>
    <row r="799">
      <c r="A799" s="17" t="s">
        <v>3618</v>
      </c>
    </row>
    <row r="800">
      <c r="A800" s="17" t="s">
        <v>3619</v>
      </c>
    </row>
    <row r="801">
      <c r="A801" s="17" t="s">
        <v>3620</v>
      </c>
    </row>
    <row r="802">
      <c r="A802" s="17" t="s">
        <v>3621</v>
      </c>
    </row>
    <row r="803">
      <c r="A803" s="17" t="s">
        <v>3622</v>
      </c>
    </row>
    <row r="804">
      <c r="A804" s="17" t="s">
        <v>3623</v>
      </c>
    </row>
    <row r="805">
      <c r="A805" s="17" t="s">
        <v>3624</v>
      </c>
    </row>
    <row r="806">
      <c r="A806" s="17" t="s">
        <v>3625</v>
      </c>
    </row>
    <row r="807">
      <c r="A807" s="17" t="s">
        <v>3626</v>
      </c>
    </row>
    <row r="808">
      <c r="A808" s="17" t="s">
        <v>3627</v>
      </c>
    </row>
    <row r="809">
      <c r="A809" s="17" t="s">
        <v>3628</v>
      </c>
    </row>
    <row r="810">
      <c r="A810" s="17" t="s">
        <v>3629</v>
      </c>
    </row>
    <row r="811">
      <c r="A811" s="17" t="s">
        <v>3630</v>
      </c>
    </row>
    <row r="812">
      <c r="A812" s="17" t="s">
        <v>3631</v>
      </c>
    </row>
    <row r="813">
      <c r="A813" s="17" t="s">
        <v>3632</v>
      </c>
    </row>
    <row r="814">
      <c r="A814" s="17" t="s">
        <v>3633</v>
      </c>
    </row>
    <row r="815">
      <c r="A815" s="17" t="s">
        <v>3634</v>
      </c>
    </row>
    <row r="816">
      <c r="A816" s="17" t="s">
        <v>3635</v>
      </c>
    </row>
    <row r="817">
      <c r="A817" s="17" t="s">
        <v>3636</v>
      </c>
    </row>
    <row r="818">
      <c r="A818" s="17" t="s">
        <v>3637</v>
      </c>
    </row>
    <row r="819">
      <c r="A819" s="17" t="s">
        <v>3638</v>
      </c>
    </row>
    <row r="820">
      <c r="A820" s="17" t="s">
        <v>3639</v>
      </c>
    </row>
    <row r="821">
      <c r="A821" s="17" t="s">
        <v>3640</v>
      </c>
    </row>
    <row r="822">
      <c r="A822" s="17" t="s">
        <v>3641</v>
      </c>
    </row>
    <row r="823">
      <c r="A823" s="17" t="s">
        <v>3642</v>
      </c>
    </row>
    <row r="824">
      <c r="A824" s="17" t="s">
        <v>3643</v>
      </c>
    </row>
    <row r="825">
      <c r="A825" s="17" t="s">
        <v>3644</v>
      </c>
    </row>
    <row r="826">
      <c r="A826" s="17" t="s">
        <v>3645</v>
      </c>
    </row>
    <row r="827">
      <c r="A827" s="17" t="s">
        <v>3646</v>
      </c>
    </row>
    <row r="828">
      <c r="A828" s="17" t="s">
        <v>3647</v>
      </c>
    </row>
    <row r="829">
      <c r="A829" s="17" t="s">
        <v>3648</v>
      </c>
    </row>
    <row r="830">
      <c r="A830" s="17" t="s">
        <v>3649</v>
      </c>
    </row>
    <row r="831">
      <c r="A831" s="17" t="s">
        <v>3650</v>
      </c>
    </row>
    <row r="832">
      <c r="A832" s="17" t="s">
        <v>3651</v>
      </c>
    </row>
    <row r="833">
      <c r="A833" s="17" t="s">
        <v>3652</v>
      </c>
    </row>
    <row r="834">
      <c r="A834" s="17" t="s">
        <v>3653</v>
      </c>
    </row>
    <row r="835">
      <c r="A835" s="17" t="s">
        <v>3654</v>
      </c>
    </row>
    <row r="836">
      <c r="A836" s="17" t="s">
        <v>3655</v>
      </c>
    </row>
    <row r="837">
      <c r="A837" s="17" t="s">
        <v>3656</v>
      </c>
    </row>
    <row r="838">
      <c r="A838" s="17" t="s">
        <v>3657</v>
      </c>
    </row>
    <row r="839">
      <c r="A839" s="17" t="s">
        <v>3658</v>
      </c>
    </row>
    <row r="840">
      <c r="A840" s="17" t="s">
        <v>3659</v>
      </c>
    </row>
    <row r="841">
      <c r="A841" s="17" t="s">
        <v>3660</v>
      </c>
    </row>
    <row r="842">
      <c r="A842" s="17" t="s">
        <v>3661</v>
      </c>
    </row>
    <row r="843">
      <c r="A843" s="17" t="s">
        <v>3662</v>
      </c>
    </row>
    <row r="844">
      <c r="A844" s="17" t="s">
        <v>3663</v>
      </c>
    </row>
    <row r="845">
      <c r="A845" s="17" t="s">
        <v>3664</v>
      </c>
    </row>
    <row r="846">
      <c r="A846" s="17" t="s">
        <v>3665</v>
      </c>
    </row>
    <row r="847">
      <c r="A847" s="17" t="s">
        <v>3666</v>
      </c>
    </row>
    <row r="848">
      <c r="A848" s="17" t="s">
        <v>3667</v>
      </c>
    </row>
    <row r="849">
      <c r="A849" s="17" t="s">
        <v>3668</v>
      </c>
    </row>
    <row r="850">
      <c r="A850" s="17" t="s">
        <v>3669</v>
      </c>
    </row>
    <row r="851">
      <c r="A851" s="17" t="s">
        <v>3670</v>
      </c>
    </row>
    <row r="852">
      <c r="A852" s="17" t="s">
        <v>3671</v>
      </c>
    </row>
    <row r="853">
      <c r="A853" s="17" t="s">
        <v>3672</v>
      </c>
    </row>
    <row r="854">
      <c r="A854" s="17" t="s">
        <v>3673</v>
      </c>
    </row>
    <row r="855">
      <c r="A855" s="17" t="s">
        <v>3674</v>
      </c>
    </row>
    <row r="856">
      <c r="A856" s="17" t="s">
        <v>3675</v>
      </c>
    </row>
    <row r="857">
      <c r="A857" s="17" t="s">
        <v>3676</v>
      </c>
    </row>
    <row r="858">
      <c r="A858" s="17" t="s">
        <v>3677</v>
      </c>
    </row>
    <row r="859">
      <c r="A859" s="17" t="s">
        <v>3678</v>
      </c>
    </row>
    <row r="860">
      <c r="A860" s="17" t="s">
        <v>3679</v>
      </c>
    </row>
    <row r="861">
      <c r="A861" s="17" t="s">
        <v>3680</v>
      </c>
    </row>
    <row r="862">
      <c r="A862" s="17" t="s">
        <v>3681</v>
      </c>
    </row>
    <row r="863">
      <c r="A863" s="17" t="s">
        <v>3682</v>
      </c>
    </row>
    <row r="864">
      <c r="A864" s="17" t="s">
        <v>3683</v>
      </c>
    </row>
    <row r="865">
      <c r="A865" s="17" t="s">
        <v>3684</v>
      </c>
    </row>
    <row r="866">
      <c r="A866" s="17" t="s">
        <v>3685</v>
      </c>
    </row>
    <row r="867">
      <c r="A867" s="17" t="s">
        <v>3686</v>
      </c>
    </row>
    <row r="868">
      <c r="A868" s="17" t="s">
        <v>3687</v>
      </c>
    </row>
    <row r="869">
      <c r="A869" s="17" t="s">
        <v>3688</v>
      </c>
    </row>
    <row r="870">
      <c r="A870" s="17" t="s">
        <v>3689</v>
      </c>
    </row>
    <row r="871">
      <c r="A871" s="17" t="s">
        <v>3690</v>
      </c>
    </row>
    <row r="872">
      <c r="A872" s="17" t="s">
        <v>3691</v>
      </c>
    </row>
    <row r="873">
      <c r="A873" s="17" t="s">
        <v>3692</v>
      </c>
    </row>
    <row r="874">
      <c r="A874" s="17" t="s">
        <v>3693</v>
      </c>
    </row>
    <row r="875">
      <c r="A875" s="17" t="s">
        <v>3694</v>
      </c>
    </row>
    <row r="876">
      <c r="A876" s="17" t="s">
        <v>3695</v>
      </c>
    </row>
    <row r="877">
      <c r="A877" s="17" t="s">
        <v>3696</v>
      </c>
    </row>
    <row r="878">
      <c r="A878" s="17" t="s">
        <v>3697</v>
      </c>
    </row>
    <row r="879">
      <c r="A879" s="17" t="s">
        <v>3698</v>
      </c>
    </row>
    <row r="880">
      <c r="A880" s="17" t="s">
        <v>3699</v>
      </c>
    </row>
    <row r="881">
      <c r="A881" s="17" t="s">
        <v>3700</v>
      </c>
    </row>
    <row r="882">
      <c r="A882" s="17" t="s">
        <v>3701</v>
      </c>
    </row>
    <row r="883">
      <c r="A883" s="17" t="s">
        <v>3702</v>
      </c>
    </row>
    <row r="884">
      <c r="A884" s="17" t="s">
        <v>3703</v>
      </c>
    </row>
    <row r="885">
      <c r="A885" s="17" t="s">
        <v>3704</v>
      </c>
    </row>
    <row r="886">
      <c r="A886" s="17" t="s">
        <v>3705</v>
      </c>
    </row>
    <row r="887">
      <c r="A887" s="17" t="s">
        <v>3706</v>
      </c>
    </row>
    <row r="888">
      <c r="A888" s="17" t="s">
        <v>3707</v>
      </c>
    </row>
    <row r="889">
      <c r="A889" s="17" t="s">
        <v>3708</v>
      </c>
    </row>
    <row r="890">
      <c r="A890" s="17" t="s">
        <v>3709</v>
      </c>
    </row>
    <row r="891">
      <c r="A891" s="17" t="s">
        <v>3710</v>
      </c>
    </row>
    <row r="892">
      <c r="A892" s="17" t="s">
        <v>3711</v>
      </c>
    </row>
    <row r="893">
      <c r="A893" s="17" t="s">
        <v>3712</v>
      </c>
    </row>
    <row r="894">
      <c r="A894" s="17" t="s">
        <v>3713</v>
      </c>
    </row>
    <row r="895">
      <c r="A895" s="17" t="s">
        <v>3714</v>
      </c>
    </row>
    <row r="896">
      <c r="A896" s="17" t="s">
        <v>3715</v>
      </c>
    </row>
    <row r="897">
      <c r="A897" s="17" t="s">
        <v>3716</v>
      </c>
    </row>
    <row r="898">
      <c r="A898" s="17" t="s">
        <v>3717</v>
      </c>
    </row>
    <row r="899">
      <c r="A899" s="17" t="s">
        <v>3718</v>
      </c>
    </row>
    <row r="900">
      <c r="A900" s="17" t="s">
        <v>3719</v>
      </c>
    </row>
    <row r="901">
      <c r="A901" s="17" t="s">
        <v>3720</v>
      </c>
    </row>
    <row r="902">
      <c r="A902" s="17" t="s">
        <v>3721</v>
      </c>
    </row>
    <row r="903">
      <c r="A903" s="17" t="s">
        <v>3722</v>
      </c>
    </row>
    <row r="904">
      <c r="A904" s="17" t="s">
        <v>3723</v>
      </c>
    </row>
    <row r="905">
      <c r="A905" s="17" t="s">
        <v>3724</v>
      </c>
    </row>
    <row r="906">
      <c r="A906" s="17" t="s">
        <v>3725</v>
      </c>
    </row>
    <row r="907">
      <c r="A907" s="17" t="s">
        <v>3726</v>
      </c>
    </row>
    <row r="908">
      <c r="A908" s="17" t="s">
        <v>3727</v>
      </c>
    </row>
    <row r="909">
      <c r="A909" s="17" t="s">
        <v>3728</v>
      </c>
    </row>
    <row r="910">
      <c r="A910" s="17" t="s">
        <v>3729</v>
      </c>
    </row>
    <row r="911">
      <c r="A911" s="17" t="s">
        <v>3730</v>
      </c>
    </row>
    <row r="912">
      <c r="A912" s="17" t="s">
        <v>3731</v>
      </c>
    </row>
    <row r="913">
      <c r="A913" s="17" t="s">
        <v>3732</v>
      </c>
    </row>
    <row r="914">
      <c r="A914" s="17" t="s">
        <v>3733</v>
      </c>
    </row>
    <row r="915">
      <c r="A915" s="17" t="s">
        <v>3734</v>
      </c>
    </row>
    <row r="916">
      <c r="A916" s="17" t="s">
        <v>3735</v>
      </c>
    </row>
    <row r="917">
      <c r="A917" s="17" t="s">
        <v>3736</v>
      </c>
    </row>
    <row r="918">
      <c r="A918" s="17" t="s">
        <v>3737</v>
      </c>
    </row>
    <row r="919">
      <c r="A919" s="17" t="s">
        <v>3738</v>
      </c>
    </row>
    <row r="920">
      <c r="A920" s="17" t="s">
        <v>3739</v>
      </c>
    </row>
    <row r="921">
      <c r="A921" s="17" t="s">
        <v>3740</v>
      </c>
    </row>
    <row r="922">
      <c r="A922" s="17" t="s">
        <v>3741</v>
      </c>
    </row>
    <row r="923">
      <c r="A923" s="17" t="s">
        <v>3742</v>
      </c>
    </row>
    <row r="924">
      <c r="A924" s="17" t="s">
        <v>3743</v>
      </c>
    </row>
    <row r="925">
      <c r="A925" s="17" t="s">
        <v>3744</v>
      </c>
    </row>
    <row r="926">
      <c r="A926" s="17" t="s">
        <v>3745</v>
      </c>
    </row>
    <row r="927">
      <c r="A927" s="17" t="s">
        <v>3746</v>
      </c>
    </row>
    <row r="928">
      <c r="A928" s="17" t="s">
        <v>3747</v>
      </c>
    </row>
    <row r="929">
      <c r="A929" s="17" t="s">
        <v>3748</v>
      </c>
    </row>
    <row r="930">
      <c r="A930" s="17" t="s">
        <v>3749</v>
      </c>
    </row>
    <row r="931">
      <c r="A931" s="17" t="s">
        <v>3750</v>
      </c>
    </row>
    <row r="932">
      <c r="A932" s="17" t="s">
        <v>3751</v>
      </c>
    </row>
    <row r="933">
      <c r="A933" s="17" t="s">
        <v>3752</v>
      </c>
    </row>
    <row r="934">
      <c r="A934" s="17" t="s">
        <v>3753</v>
      </c>
    </row>
    <row r="935">
      <c r="A935" s="17" t="s">
        <v>3754</v>
      </c>
    </row>
    <row r="936">
      <c r="A936" s="17" t="s">
        <v>3755</v>
      </c>
    </row>
    <row r="937">
      <c r="A937" s="17" t="s">
        <v>3756</v>
      </c>
    </row>
    <row r="938">
      <c r="A938" s="17" t="s">
        <v>3757</v>
      </c>
    </row>
    <row r="939">
      <c r="A939" s="17" t="s">
        <v>3758</v>
      </c>
    </row>
    <row r="940">
      <c r="A940" s="17" t="s">
        <v>3759</v>
      </c>
    </row>
    <row r="941">
      <c r="A941" s="17" t="s">
        <v>3760</v>
      </c>
    </row>
    <row r="942">
      <c r="A942" s="17" t="s">
        <v>3761</v>
      </c>
    </row>
    <row r="943">
      <c r="A943" s="17" t="s">
        <v>3762</v>
      </c>
    </row>
    <row r="944">
      <c r="A944" s="17" t="s">
        <v>3763</v>
      </c>
    </row>
    <row r="945">
      <c r="A945" s="17" t="s">
        <v>3764</v>
      </c>
    </row>
    <row r="946">
      <c r="A946" s="17" t="s">
        <v>3765</v>
      </c>
    </row>
    <row r="947">
      <c r="A947" s="17" t="s">
        <v>3767</v>
      </c>
    </row>
    <row r="948">
      <c r="A948" s="17" t="s">
        <v>3768</v>
      </c>
    </row>
    <row r="949">
      <c r="A949" s="17" t="s">
        <v>3769</v>
      </c>
    </row>
    <row r="950">
      <c r="A950" s="17" t="s">
        <v>3770</v>
      </c>
    </row>
    <row r="951">
      <c r="A951" s="17" t="s">
        <v>3771</v>
      </c>
    </row>
    <row r="952">
      <c r="A952" s="17" t="s">
        <v>3772</v>
      </c>
    </row>
    <row r="953">
      <c r="A953" s="17" t="s">
        <v>3773</v>
      </c>
    </row>
    <row r="954">
      <c r="A954" s="17" t="s">
        <v>3774</v>
      </c>
    </row>
    <row r="955">
      <c r="A955" s="17" t="s">
        <v>3775</v>
      </c>
    </row>
    <row r="956">
      <c r="A956" s="17" t="s">
        <v>3776</v>
      </c>
    </row>
    <row r="957">
      <c r="A957" s="17" t="s">
        <v>3777</v>
      </c>
    </row>
    <row r="958">
      <c r="A958" s="17" t="s">
        <v>3778</v>
      </c>
    </row>
    <row r="959">
      <c r="A959" s="17" t="s">
        <v>3779</v>
      </c>
    </row>
    <row r="960">
      <c r="A960" s="17" t="s">
        <v>3780</v>
      </c>
    </row>
    <row r="961">
      <c r="A961" s="17" t="s">
        <v>3781</v>
      </c>
    </row>
    <row r="962">
      <c r="A962" s="17" t="s">
        <v>3782</v>
      </c>
    </row>
    <row r="963">
      <c r="A963" s="17" t="s">
        <v>3783</v>
      </c>
    </row>
    <row r="964">
      <c r="A964" s="17" t="s">
        <v>3784</v>
      </c>
    </row>
    <row r="965">
      <c r="A965" s="17" t="s">
        <v>3785</v>
      </c>
    </row>
    <row r="966">
      <c r="A966" s="17" t="s">
        <v>3786</v>
      </c>
    </row>
    <row r="967">
      <c r="A967" s="17" t="s">
        <v>3787</v>
      </c>
    </row>
    <row r="968">
      <c r="A968" s="17" t="s">
        <v>3788</v>
      </c>
    </row>
    <row r="969">
      <c r="A969" s="17" t="s">
        <v>3789</v>
      </c>
    </row>
    <row r="970">
      <c r="A970" s="17" t="s">
        <v>3790</v>
      </c>
    </row>
    <row r="971">
      <c r="A971" s="17" t="s">
        <v>3791</v>
      </c>
    </row>
    <row r="972">
      <c r="A972" s="17" t="s">
        <v>3792</v>
      </c>
    </row>
    <row r="973">
      <c r="A973" s="17" t="s">
        <v>3793</v>
      </c>
    </row>
    <row r="974">
      <c r="A974" s="17" t="s">
        <v>3794</v>
      </c>
    </row>
    <row r="975">
      <c r="A975" s="17" t="s">
        <v>3795</v>
      </c>
    </row>
    <row r="976">
      <c r="A976" s="17" t="s">
        <v>3796</v>
      </c>
    </row>
    <row r="977">
      <c r="A977" s="17" t="s">
        <v>3797</v>
      </c>
    </row>
    <row r="978">
      <c r="A978" s="17" t="s">
        <v>3798</v>
      </c>
    </row>
    <row r="979">
      <c r="A979" s="17" t="s">
        <v>3799</v>
      </c>
    </row>
    <row r="980">
      <c r="A980" s="17" t="s">
        <v>3800</v>
      </c>
    </row>
    <row r="981">
      <c r="A981" s="17" t="s">
        <v>3801</v>
      </c>
    </row>
    <row r="982">
      <c r="A982" s="17" t="s">
        <v>3802</v>
      </c>
    </row>
    <row r="983">
      <c r="A983" s="17" t="s">
        <v>3803</v>
      </c>
    </row>
    <row r="984">
      <c r="A984" s="17" t="s">
        <v>3804</v>
      </c>
    </row>
    <row r="985">
      <c r="A985" s="17" t="s">
        <v>3805</v>
      </c>
    </row>
    <row r="986">
      <c r="A986" s="17" t="s">
        <v>3806</v>
      </c>
    </row>
    <row r="987">
      <c r="A987" s="17" t="s">
        <v>3807</v>
      </c>
    </row>
    <row r="988">
      <c r="A988" s="17" t="s">
        <v>3808</v>
      </c>
    </row>
    <row r="989">
      <c r="A989" s="17" t="s">
        <v>3809</v>
      </c>
    </row>
    <row r="990">
      <c r="A990" s="17" t="s">
        <v>3810</v>
      </c>
    </row>
    <row r="991">
      <c r="A991" s="17" t="s">
        <v>3811</v>
      </c>
    </row>
    <row r="992">
      <c r="A992" s="17" t="s">
        <v>3812</v>
      </c>
    </row>
    <row r="993">
      <c r="A993" s="17" t="s">
        <v>3813</v>
      </c>
    </row>
    <row r="994">
      <c r="A994" s="17" t="s">
        <v>3814</v>
      </c>
    </row>
    <row r="995">
      <c r="A995" s="17" t="s">
        <v>3815</v>
      </c>
    </row>
    <row r="996">
      <c r="A996" s="17" t="s">
        <v>3816</v>
      </c>
    </row>
    <row r="997">
      <c r="A997" s="17" t="s">
        <v>3817</v>
      </c>
    </row>
    <row r="998">
      <c r="A998" s="17" t="s">
        <v>3818</v>
      </c>
    </row>
    <row r="999">
      <c r="A999" s="17" t="s">
        <v>3819</v>
      </c>
    </row>
    <row r="1000">
      <c r="A1000" s="17" t="s">
        <v>3820</v>
      </c>
    </row>
    <row r="1001">
      <c r="A1001" s="17" t="s">
        <v>3821</v>
      </c>
    </row>
    <row r="1002">
      <c r="A1002" s="17" t="s">
        <v>3822</v>
      </c>
    </row>
    <row r="1003">
      <c r="A1003" s="17" t="s">
        <v>3823</v>
      </c>
    </row>
    <row r="1004">
      <c r="A1004" s="17" t="s">
        <v>3824</v>
      </c>
    </row>
    <row r="1005">
      <c r="A1005" s="17" t="s">
        <v>3825</v>
      </c>
    </row>
    <row r="1006">
      <c r="A1006" s="17" t="s">
        <v>3826</v>
      </c>
    </row>
    <row r="1007">
      <c r="A1007" s="17" t="s">
        <v>3827</v>
      </c>
    </row>
    <row r="1008">
      <c r="A1008" s="17" t="s">
        <v>3828</v>
      </c>
    </row>
    <row r="1009">
      <c r="A1009" s="17" t="s">
        <v>3829</v>
      </c>
    </row>
    <row r="1010">
      <c r="A1010" s="17" t="s">
        <v>3830</v>
      </c>
    </row>
    <row r="1011">
      <c r="A1011" s="17" t="s">
        <v>3831</v>
      </c>
    </row>
    <row r="1012">
      <c r="A1012" s="17" t="s">
        <v>3832</v>
      </c>
    </row>
    <row r="1013">
      <c r="A1013" s="17" t="s">
        <v>3833</v>
      </c>
    </row>
    <row r="1014">
      <c r="A1014" s="17" t="s">
        <v>3834</v>
      </c>
    </row>
    <row r="1015">
      <c r="A1015" s="17" t="s">
        <v>3835</v>
      </c>
    </row>
    <row r="1016">
      <c r="A1016" s="17" t="s">
        <v>3836</v>
      </c>
    </row>
    <row r="1017">
      <c r="A1017" s="17" t="s">
        <v>3837</v>
      </c>
    </row>
    <row r="1018">
      <c r="A1018" s="17" t="s">
        <v>3838</v>
      </c>
    </row>
    <row r="1019">
      <c r="A1019" s="17" t="s">
        <v>3839</v>
      </c>
    </row>
    <row r="1020">
      <c r="A1020" s="17" t="s">
        <v>3840</v>
      </c>
    </row>
    <row r="1021">
      <c r="A1021" s="17" t="s">
        <v>3841</v>
      </c>
    </row>
    <row r="1022">
      <c r="A1022" s="17" t="s">
        <v>3843</v>
      </c>
    </row>
    <row r="1023">
      <c r="A1023" s="17" t="s">
        <v>3844</v>
      </c>
    </row>
    <row r="1024">
      <c r="A1024" s="17" t="s">
        <v>3845</v>
      </c>
    </row>
    <row r="1025">
      <c r="A1025" s="17" t="s">
        <v>3846</v>
      </c>
    </row>
    <row r="1026">
      <c r="A1026" s="17" t="s">
        <v>3847</v>
      </c>
    </row>
    <row r="1027">
      <c r="A1027" s="17" t="s">
        <v>3848</v>
      </c>
    </row>
    <row r="1028">
      <c r="A1028" s="17" t="s">
        <v>3849</v>
      </c>
    </row>
    <row r="1029">
      <c r="A1029" s="17" t="s">
        <v>3850</v>
      </c>
    </row>
    <row r="1030">
      <c r="A1030" s="17" t="s">
        <v>3851</v>
      </c>
    </row>
    <row r="1031">
      <c r="A1031" s="17" t="s">
        <v>3852</v>
      </c>
    </row>
    <row r="1032">
      <c r="A1032" s="17" t="s">
        <v>3853</v>
      </c>
    </row>
    <row r="1033">
      <c r="A1033" s="17" t="s">
        <v>3854</v>
      </c>
    </row>
    <row r="1034">
      <c r="A1034" s="17" t="s">
        <v>3855</v>
      </c>
    </row>
    <row r="1035">
      <c r="A1035" s="17" t="s">
        <v>3856</v>
      </c>
    </row>
    <row r="1036">
      <c r="A1036" s="17" t="s">
        <v>3857</v>
      </c>
    </row>
    <row r="1037">
      <c r="A1037" s="17" t="s">
        <v>3858</v>
      </c>
    </row>
    <row r="1038">
      <c r="A1038" s="17" t="s">
        <v>3859</v>
      </c>
    </row>
    <row r="1039">
      <c r="A1039" s="17" t="s">
        <v>3860</v>
      </c>
    </row>
    <row r="1040">
      <c r="A1040" s="17" t="s">
        <v>3861</v>
      </c>
    </row>
    <row r="1041">
      <c r="A1041" s="17" t="s">
        <v>3862</v>
      </c>
    </row>
    <row r="1042">
      <c r="A1042" s="17" t="s">
        <v>3863</v>
      </c>
    </row>
    <row r="1043">
      <c r="A1043" s="17" t="s">
        <v>3864</v>
      </c>
    </row>
    <row r="1044">
      <c r="A1044" s="17" t="s">
        <v>3865</v>
      </c>
    </row>
    <row r="1045">
      <c r="A1045" s="17" t="s">
        <v>3866</v>
      </c>
    </row>
    <row r="1046">
      <c r="A1046" s="17" t="s">
        <v>3867</v>
      </c>
    </row>
    <row r="1047">
      <c r="A1047" s="17" t="s">
        <v>3868</v>
      </c>
    </row>
    <row r="1048">
      <c r="A1048" s="17" t="s">
        <v>3869</v>
      </c>
    </row>
    <row r="1049">
      <c r="A1049" s="17" t="s">
        <v>3870</v>
      </c>
    </row>
    <row r="1050">
      <c r="A1050" s="17" t="s">
        <v>3871</v>
      </c>
    </row>
    <row r="1051">
      <c r="A1051" s="17" t="s">
        <v>3872</v>
      </c>
    </row>
    <row r="1052">
      <c r="A1052" s="17" t="s">
        <v>3873</v>
      </c>
    </row>
    <row r="1053">
      <c r="A1053" s="17" t="s">
        <v>3874</v>
      </c>
    </row>
    <row r="1054">
      <c r="A1054" s="17" t="s">
        <v>3875</v>
      </c>
    </row>
    <row r="1055">
      <c r="A1055" s="17" t="s">
        <v>3876</v>
      </c>
    </row>
    <row r="1056">
      <c r="A1056" s="17" t="s">
        <v>3877</v>
      </c>
    </row>
    <row r="1057">
      <c r="A1057" s="17" t="s">
        <v>3878</v>
      </c>
    </row>
    <row r="1058">
      <c r="A1058" s="17" t="s">
        <v>3879</v>
      </c>
    </row>
    <row r="1059">
      <c r="A1059" s="17" t="s">
        <v>3880</v>
      </c>
    </row>
    <row r="1060">
      <c r="A1060" s="17" t="s">
        <v>3881</v>
      </c>
    </row>
    <row r="1061">
      <c r="A1061" s="17" t="s">
        <v>3882</v>
      </c>
    </row>
    <row r="1062">
      <c r="A1062" s="17" t="s">
        <v>3883</v>
      </c>
    </row>
    <row r="1063">
      <c r="A1063" s="17" t="s">
        <v>3884</v>
      </c>
    </row>
    <row r="1064">
      <c r="A1064" s="17" t="s">
        <v>3885</v>
      </c>
    </row>
    <row r="1065">
      <c r="A1065" s="17" t="s">
        <v>3886</v>
      </c>
    </row>
    <row r="1066">
      <c r="A1066" s="17" t="s">
        <v>3887</v>
      </c>
    </row>
    <row r="1067">
      <c r="A1067" s="17" t="s">
        <v>3888</v>
      </c>
    </row>
    <row r="1068">
      <c r="A1068" s="17" t="s">
        <v>3889</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28.13"/>
    <col customWidth="1" min="5" max="5" width="20.75"/>
  </cols>
  <sheetData>
    <row r="1">
      <c r="A1" s="194" t="s">
        <v>1738</v>
      </c>
      <c r="B1" s="194" t="s">
        <v>1544</v>
      </c>
      <c r="C1" s="194" t="s">
        <v>1543</v>
      </c>
      <c r="D1" s="194" t="s">
        <v>253</v>
      </c>
      <c r="E1" s="194" t="s">
        <v>3891</v>
      </c>
    </row>
    <row r="2">
      <c r="A2" s="74">
        <v>1.0</v>
      </c>
      <c r="B2" s="74" t="s">
        <v>3892</v>
      </c>
      <c r="C2" s="74" t="s">
        <v>3893</v>
      </c>
      <c r="D2" s="74" t="s">
        <v>3894</v>
      </c>
      <c r="E2" s="195" t="s">
        <v>3895</v>
      </c>
    </row>
    <row r="3">
      <c r="A3" s="74">
        <v>2.0</v>
      </c>
      <c r="B3" s="74" t="s">
        <v>1550</v>
      </c>
      <c r="C3" s="74" t="s">
        <v>3896</v>
      </c>
      <c r="D3" s="74" t="s">
        <v>3894</v>
      </c>
      <c r="E3" s="104"/>
    </row>
    <row r="4">
      <c r="A4" s="74">
        <v>3.0</v>
      </c>
      <c r="B4" s="74" t="s">
        <v>1557</v>
      </c>
      <c r="C4" s="74" t="s">
        <v>3897</v>
      </c>
      <c r="D4" s="74" t="s">
        <v>3894</v>
      </c>
      <c r="E4" s="104"/>
    </row>
    <row r="5">
      <c r="A5" s="74">
        <v>4.0</v>
      </c>
      <c r="B5" s="74" t="s">
        <v>3898</v>
      </c>
      <c r="C5" s="74" t="s">
        <v>1558</v>
      </c>
      <c r="D5" s="74" t="s">
        <v>3894</v>
      </c>
      <c r="E5" s="60"/>
    </row>
    <row r="6">
      <c r="A6" s="74">
        <v>5.0</v>
      </c>
      <c r="B6" s="74" t="s">
        <v>1563</v>
      </c>
      <c r="C6" s="74" t="s">
        <v>1562</v>
      </c>
      <c r="D6" s="74" t="s">
        <v>3899</v>
      </c>
      <c r="E6" s="195" t="s">
        <v>3900</v>
      </c>
    </row>
    <row r="7">
      <c r="A7" s="74">
        <v>6.0</v>
      </c>
      <c r="B7" s="74" t="s">
        <v>1567</v>
      </c>
      <c r="C7" s="74" t="s">
        <v>1566</v>
      </c>
      <c r="D7" s="74" t="s">
        <v>3899</v>
      </c>
      <c r="E7" s="60"/>
    </row>
    <row r="8">
      <c r="A8" s="74">
        <v>7.0</v>
      </c>
      <c r="B8" s="74" t="s">
        <v>1570</v>
      </c>
      <c r="C8" s="74" t="s">
        <v>3901</v>
      </c>
      <c r="D8" s="74" t="s">
        <v>3899</v>
      </c>
      <c r="E8" s="195" t="s">
        <v>3902</v>
      </c>
    </row>
    <row r="9">
      <c r="A9" s="74">
        <v>8.0</v>
      </c>
      <c r="B9" s="74" t="s">
        <v>3903</v>
      </c>
      <c r="C9" s="74" t="s">
        <v>1571</v>
      </c>
      <c r="D9" s="74" t="s">
        <v>3899</v>
      </c>
      <c r="E9" s="60"/>
    </row>
    <row r="10">
      <c r="A10" s="74">
        <v>9.0</v>
      </c>
      <c r="B10" s="74" t="s">
        <v>1185</v>
      </c>
      <c r="C10" s="74" t="s">
        <v>3904</v>
      </c>
      <c r="D10" s="74" t="s">
        <v>3905</v>
      </c>
      <c r="E10" s="74" t="s">
        <v>3906</v>
      </c>
    </row>
    <row r="11">
      <c r="A11" s="74">
        <v>10.0</v>
      </c>
      <c r="B11" s="74" t="s">
        <v>309</v>
      </c>
      <c r="C11" s="74" t="s">
        <v>3907</v>
      </c>
      <c r="D11" s="74" t="s">
        <v>3908</v>
      </c>
      <c r="E11" s="74" t="s">
        <v>3909</v>
      </c>
    </row>
    <row r="12">
      <c r="A12" s="74">
        <v>11.0</v>
      </c>
      <c r="B12" s="74" t="s">
        <v>3910</v>
      </c>
      <c r="C12" s="74" t="s">
        <v>3911</v>
      </c>
      <c r="D12" s="74" t="s">
        <v>3912</v>
      </c>
      <c r="E12" s="74" t="s">
        <v>3913</v>
      </c>
    </row>
    <row r="13">
      <c r="A13" s="74">
        <v>12.0</v>
      </c>
      <c r="B13" s="74" t="s">
        <v>1587</v>
      </c>
      <c r="C13" s="74" t="s">
        <v>1586</v>
      </c>
      <c r="D13" s="74" t="s">
        <v>3912</v>
      </c>
      <c r="E13" s="74" t="s">
        <v>3914</v>
      </c>
    </row>
    <row r="14">
      <c r="A14" s="74">
        <v>13.0</v>
      </c>
      <c r="B14" s="74" t="s">
        <v>1590</v>
      </c>
      <c r="C14" s="74" t="s">
        <v>3915</v>
      </c>
      <c r="D14" s="74" t="s">
        <v>3912</v>
      </c>
      <c r="E14" s="74" t="s">
        <v>3916</v>
      </c>
    </row>
    <row r="15">
      <c r="A15" s="74">
        <v>14.0</v>
      </c>
      <c r="B15" s="74" t="s">
        <v>1593</v>
      </c>
      <c r="C15" s="74" t="s">
        <v>1592</v>
      </c>
      <c r="D15" s="74" t="s">
        <v>3917</v>
      </c>
      <c r="E15" s="74" t="s">
        <v>3918</v>
      </c>
    </row>
    <row r="16">
      <c r="A16" s="74">
        <v>15.0</v>
      </c>
      <c r="B16" s="74" t="s">
        <v>1597</v>
      </c>
      <c r="C16" s="74" t="s">
        <v>1596</v>
      </c>
      <c r="D16" s="74" t="s">
        <v>3917</v>
      </c>
      <c r="E16" s="74" t="s">
        <v>3919</v>
      </c>
    </row>
    <row r="17">
      <c r="A17" s="196" t="s">
        <v>2394</v>
      </c>
      <c r="B17" s="3"/>
      <c r="C17" s="5"/>
      <c r="D17" s="132"/>
      <c r="E17" s="194" t="s">
        <v>3920</v>
      </c>
    </row>
  </sheetData>
  <mergeCells count="4">
    <mergeCell ref="E2:E5"/>
    <mergeCell ref="E6:E7"/>
    <mergeCell ref="E8:E9"/>
    <mergeCell ref="A17:C1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1.13"/>
    <col customWidth="1" min="3" max="3" width="26.0"/>
    <col customWidth="1" min="4" max="4" width="25.13"/>
    <col customWidth="1" min="5" max="5" width="30.13"/>
    <col customWidth="1" min="6" max="6" width="31.13"/>
  </cols>
  <sheetData>
    <row r="1">
      <c r="A1" s="197" t="s">
        <v>3921</v>
      </c>
      <c r="B1" s="198"/>
      <c r="C1" s="198"/>
      <c r="D1" s="198"/>
      <c r="E1" s="198"/>
      <c r="F1" s="199"/>
      <c r="G1" s="159"/>
    </row>
    <row r="2">
      <c r="A2" s="200" t="s">
        <v>1537</v>
      </c>
      <c r="B2" s="174" t="s">
        <v>3923</v>
      </c>
      <c r="C2" s="174" t="s">
        <v>3924</v>
      </c>
      <c r="D2" s="174" t="s">
        <v>3925</v>
      </c>
      <c r="E2" s="174" t="s">
        <v>3926</v>
      </c>
      <c r="F2" s="201" t="s">
        <v>3927</v>
      </c>
      <c r="G2" s="159"/>
    </row>
    <row r="3">
      <c r="A3" s="202">
        <v>1.0</v>
      </c>
      <c r="B3" s="203" t="s">
        <v>3928</v>
      </c>
      <c r="C3" s="203" t="s">
        <v>3929</v>
      </c>
      <c r="D3" s="203" t="s">
        <v>3930</v>
      </c>
      <c r="E3" s="175" t="s">
        <v>3931</v>
      </c>
      <c r="F3" s="204" t="s">
        <v>3932</v>
      </c>
      <c r="G3" s="159"/>
    </row>
    <row r="4">
      <c r="A4" s="202">
        <v>2.0</v>
      </c>
      <c r="B4" s="203" t="s">
        <v>3933</v>
      </c>
      <c r="C4" s="203" t="s">
        <v>3934</v>
      </c>
      <c r="D4" s="203" t="s">
        <v>3935</v>
      </c>
      <c r="E4" s="175" t="s">
        <v>3936</v>
      </c>
      <c r="F4" s="204" t="s">
        <v>3937</v>
      </c>
      <c r="G4" s="159"/>
    </row>
    <row r="5">
      <c r="A5" s="202">
        <v>3.0</v>
      </c>
      <c r="B5" s="203" t="s">
        <v>3938</v>
      </c>
      <c r="C5" s="203" t="s">
        <v>3929</v>
      </c>
      <c r="D5" s="203" t="s">
        <v>3930</v>
      </c>
      <c r="E5" s="175" t="s">
        <v>3939</v>
      </c>
      <c r="F5" s="204" t="s">
        <v>2289</v>
      </c>
      <c r="G5" s="159"/>
    </row>
    <row r="6">
      <c r="A6" s="202">
        <v>4.0</v>
      </c>
      <c r="B6" s="203" t="s">
        <v>2336</v>
      </c>
      <c r="C6" s="203" t="s">
        <v>3940</v>
      </c>
      <c r="D6" s="203" t="s">
        <v>3941</v>
      </c>
      <c r="E6" s="175" t="s">
        <v>3942</v>
      </c>
      <c r="F6" s="204" t="s">
        <v>3943</v>
      </c>
      <c r="G6" s="159"/>
    </row>
    <row r="7">
      <c r="A7" s="202">
        <v>5.0</v>
      </c>
      <c r="B7" s="203" t="s">
        <v>3944</v>
      </c>
      <c r="C7" s="203" t="s">
        <v>3929</v>
      </c>
      <c r="D7" s="203" t="s">
        <v>3930</v>
      </c>
      <c r="E7" s="175" t="s">
        <v>3945</v>
      </c>
      <c r="F7" s="204" t="s">
        <v>3946</v>
      </c>
      <c r="G7" s="159"/>
    </row>
    <row r="8">
      <c r="A8" s="202">
        <v>6.0</v>
      </c>
      <c r="B8" s="203" t="s">
        <v>3947</v>
      </c>
      <c r="C8" s="203" t="s">
        <v>3948</v>
      </c>
      <c r="D8" s="203" t="s">
        <v>3949</v>
      </c>
      <c r="E8" s="175" t="s">
        <v>3950</v>
      </c>
      <c r="F8" s="204" t="s">
        <v>3951</v>
      </c>
      <c r="G8" s="159"/>
    </row>
    <row r="9">
      <c r="A9" s="202">
        <v>7.0</v>
      </c>
      <c r="B9" s="203" t="s">
        <v>3952</v>
      </c>
      <c r="C9" s="203" t="s">
        <v>3929</v>
      </c>
      <c r="D9" s="203" t="s">
        <v>3930</v>
      </c>
      <c r="E9" s="175" t="s">
        <v>3953</v>
      </c>
      <c r="F9" s="204" t="s">
        <v>3954</v>
      </c>
      <c r="G9" s="159"/>
    </row>
    <row r="10">
      <c r="A10" s="202">
        <v>8.0</v>
      </c>
      <c r="B10" s="203" t="s">
        <v>3955</v>
      </c>
      <c r="C10" s="203" t="s">
        <v>3929</v>
      </c>
      <c r="D10" s="203" t="s">
        <v>3930</v>
      </c>
      <c r="E10" s="175" t="s">
        <v>3956</v>
      </c>
      <c r="F10" s="204" t="s">
        <v>3957</v>
      </c>
      <c r="G10" s="159"/>
    </row>
    <row r="11">
      <c r="A11" s="202">
        <v>9.0</v>
      </c>
      <c r="B11" s="203" t="s">
        <v>3958</v>
      </c>
      <c r="C11" s="203" t="s">
        <v>2328</v>
      </c>
      <c r="D11" s="203" t="s">
        <v>3930</v>
      </c>
      <c r="E11" s="175" t="s">
        <v>3959</v>
      </c>
      <c r="F11" s="204" t="s">
        <v>136</v>
      </c>
      <c r="G11" s="159"/>
    </row>
    <row r="12">
      <c r="A12" s="202">
        <v>10.0</v>
      </c>
      <c r="B12" s="203" t="s">
        <v>3960</v>
      </c>
      <c r="C12" s="203" t="s">
        <v>3929</v>
      </c>
      <c r="D12" s="203" t="s">
        <v>3930</v>
      </c>
      <c r="E12" s="175" t="s">
        <v>3961</v>
      </c>
      <c r="F12" s="204" t="s">
        <v>3962</v>
      </c>
      <c r="G12" s="159"/>
    </row>
    <row r="13">
      <c r="A13" s="202">
        <v>11.0</v>
      </c>
      <c r="B13" s="203" t="s">
        <v>1858</v>
      </c>
      <c r="C13" s="203" t="s">
        <v>2333</v>
      </c>
      <c r="D13" s="203" t="s">
        <v>3963</v>
      </c>
      <c r="E13" s="175" t="s">
        <v>3964</v>
      </c>
      <c r="F13" s="204" t="s">
        <v>3965</v>
      </c>
      <c r="G13" s="159"/>
    </row>
    <row r="14">
      <c r="A14" s="202">
        <v>12.0</v>
      </c>
      <c r="B14" s="203" t="s">
        <v>3966</v>
      </c>
      <c r="C14" s="203" t="s">
        <v>3929</v>
      </c>
      <c r="D14" s="203" t="s">
        <v>3930</v>
      </c>
      <c r="E14" s="175" t="s">
        <v>3967</v>
      </c>
      <c r="F14" s="204" t="s">
        <v>3968</v>
      </c>
      <c r="G14" s="159"/>
    </row>
    <row r="15">
      <c r="A15" s="202">
        <v>13.0</v>
      </c>
      <c r="B15" s="203" t="s">
        <v>3970</v>
      </c>
      <c r="C15" s="203" t="s">
        <v>3929</v>
      </c>
      <c r="D15" s="203" t="s">
        <v>3930</v>
      </c>
      <c r="E15" s="175" t="s">
        <v>3971</v>
      </c>
      <c r="F15" s="204" t="s">
        <v>3972</v>
      </c>
      <c r="G15" s="159"/>
    </row>
    <row r="16">
      <c r="A16" s="202">
        <v>14.0</v>
      </c>
      <c r="B16" s="203" t="s">
        <v>3973</v>
      </c>
      <c r="C16" s="203" t="s">
        <v>3929</v>
      </c>
      <c r="D16" s="203" t="s">
        <v>3930</v>
      </c>
      <c r="E16" s="175" t="s">
        <v>3974</v>
      </c>
      <c r="F16" s="204" t="s">
        <v>3975</v>
      </c>
      <c r="G16" s="159"/>
    </row>
    <row r="17">
      <c r="A17" s="202">
        <v>15.0</v>
      </c>
      <c r="B17" s="203" t="s">
        <v>3976</v>
      </c>
      <c r="C17" s="203" t="s">
        <v>3929</v>
      </c>
      <c r="D17" s="203" t="s">
        <v>3930</v>
      </c>
      <c r="E17" s="175" t="s">
        <v>3977</v>
      </c>
      <c r="F17" s="204" t="s">
        <v>3978</v>
      </c>
      <c r="G17" s="159"/>
    </row>
    <row r="18">
      <c r="A18" s="202">
        <v>16.0</v>
      </c>
      <c r="B18" s="203" t="s">
        <v>2343</v>
      </c>
      <c r="C18" s="203" t="s">
        <v>3980</v>
      </c>
      <c r="D18" s="203" t="s">
        <v>3941</v>
      </c>
      <c r="E18" s="175" t="s">
        <v>3981</v>
      </c>
      <c r="F18" s="204" t="s">
        <v>3982</v>
      </c>
      <c r="G18" s="159"/>
    </row>
    <row r="19">
      <c r="A19" s="202">
        <v>17.0</v>
      </c>
      <c r="B19" s="203" t="s">
        <v>3984</v>
      </c>
      <c r="C19" s="203" t="s">
        <v>2319</v>
      </c>
      <c r="D19" s="203" t="s">
        <v>3985</v>
      </c>
      <c r="E19" s="175" t="s">
        <v>3986</v>
      </c>
      <c r="F19" s="204" t="s">
        <v>3987</v>
      </c>
      <c r="G19" s="159"/>
    </row>
    <row r="20">
      <c r="A20" s="202">
        <v>18.0</v>
      </c>
      <c r="B20" s="203" t="s">
        <v>3988</v>
      </c>
      <c r="C20" s="203" t="s">
        <v>2333</v>
      </c>
      <c r="D20" s="203" t="s">
        <v>3989</v>
      </c>
      <c r="E20" s="175" t="s">
        <v>3990</v>
      </c>
      <c r="F20" s="204" t="s">
        <v>3991</v>
      </c>
      <c r="G20" s="159"/>
    </row>
    <row r="21">
      <c r="A21" s="202">
        <v>19.0</v>
      </c>
      <c r="B21" s="203" t="s">
        <v>3993</v>
      </c>
      <c r="C21" s="203" t="s">
        <v>3994</v>
      </c>
      <c r="D21" s="203" t="s">
        <v>3995</v>
      </c>
      <c r="E21" s="175" t="s">
        <v>3996</v>
      </c>
      <c r="F21" s="204" t="s">
        <v>3997</v>
      </c>
      <c r="G21" s="159"/>
    </row>
    <row r="22">
      <c r="A22" s="202">
        <v>20.0</v>
      </c>
      <c r="B22" s="203" t="s">
        <v>3998</v>
      </c>
      <c r="C22" s="203" t="s">
        <v>3999</v>
      </c>
      <c r="D22" s="203" t="s">
        <v>4000</v>
      </c>
      <c r="E22" s="175" t="s">
        <v>4001</v>
      </c>
      <c r="F22" s="204" t="s">
        <v>4002</v>
      </c>
      <c r="G22" s="159"/>
    </row>
    <row r="23">
      <c r="A23" s="202">
        <v>21.0</v>
      </c>
      <c r="B23" s="203" t="s">
        <v>4003</v>
      </c>
      <c r="C23" s="203" t="s">
        <v>4004</v>
      </c>
      <c r="D23" s="203" t="s">
        <v>4005</v>
      </c>
      <c r="E23" s="203" t="s">
        <v>4006</v>
      </c>
      <c r="F23" s="204" t="s">
        <v>4007</v>
      </c>
      <c r="G23" s="159"/>
    </row>
    <row r="24">
      <c r="A24" s="202">
        <v>22.0</v>
      </c>
      <c r="B24" s="203" t="s">
        <v>4008</v>
      </c>
      <c r="C24" s="203" t="s">
        <v>2333</v>
      </c>
      <c r="D24" s="203" t="s">
        <v>4009</v>
      </c>
      <c r="E24" s="175" t="s">
        <v>4010</v>
      </c>
      <c r="F24" s="204" t="s">
        <v>4011</v>
      </c>
      <c r="G24" s="159"/>
    </row>
    <row r="25">
      <c r="A25" s="202">
        <v>23.0</v>
      </c>
      <c r="B25" s="203" t="s">
        <v>4012</v>
      </c>
      <c r="C25" s="203" t="s">
        <v>2319</v>
      </c>
      <c r="D25" s="203" t="s">
        <v>4013</v>
      </c>
      <c r="E25" s="175" t="s">
        <v>4014</v>
      </c>
      <c r="F25" s="204" t="s">
        <v>4015</v>
      </c>
      <c r="G25" s="159"/>
    </row>
    <row r="26">
      <c r="A26" s="202">
        <v>24.0</v>
      </c>
      <c r="B26" s="203" t="s">
        <v>4016</v>
      </c>
      <c r="C26" s="203" t="s">
        <v>4017</v>
      </c>
      <c r="D26" s="203" t="s">
        <v>4018</v>
      </c>
      <c r="E26" s="175" t="s">
        <v>4019</v>
      </c>
      <c r="F26" s="204" t="s">
        <v>4020</v>
      </c>
      <c r="G26" s="159"/>
    </row>
    <row r="27">
      <c r="A27" s="202">
        <v>25.0</v>
      </c>
      <c r="B27" s="203" t="s">
        <v>4021</v>
      </c>
      <c r="C27" s="203" t="s">
        <v>4022</v>
      </c>
      <c r="D27" s="203" t="s">
        <v>4023</v>
      </c>
      <c r="E27" s="175" t="s">
        <v>4024</v>
      </c>
      <c r="F27" s="204" t="s">
        <v>4025</v>
      </c>
      <c r="G27" s="159"/>
    </row>
    <row r="28">
      <c r="A28" s="202">
        <v>26.0</v>
      </c>
      <c r="B28" s="203" t="s">
        <v>4026</v>
      </c>
      <c r="C28" s="203" t="s">
        <v>4027</v>
      </c>
      <c r="D28" s="203" t="s">
        <v>4028</v>
      </c>
      <c r="E28" s="175" t="s">
        <v>4029</v>
      </c>
      <c r="F28" s="204" t="s">
        <v>4030</v>
      </c>
      <c r="G28" s="159"/>
    </row>
    <row r="29">
      <c r="A29" s="202">
        <v>27.0</v>
      </c>
      <c r="B29" s="203" t="s">
        <v>4031</v>
      </c>
      <c r="C29" s="203" t="s">
        <v>1849</v>
      </c>
      <c r="D29" s="203" t="s">
        <v>4032</v>
      </c>
      <c r="E29" s="175" t="s">
        <v>4033</v>
      </c>
      <c r="F29" s="204" t="s">
        <v>4034</v>
      </c>
      <c r="G29" s="159"/>
    </row>
    <row r="30">
      <c r="A30" s="202">
        <v>28.0</v>
      </c>
      <c r="B30" s="203" t="s">
        <v>4035</v>
      </c>
      <c r="C30" s="203" t="s">
        <v>4036</v>
      </c>
      <c r="D30" s="203" t="s">
        <v>4037</v>
      </c>
      <c r="E30" s="175" t="s">
        <v>4038</v>
      </c>
      <c r="F30" s="204" t="s">
        <v>4039</v>
      </c>
      <c r="G30" s="159"/>
    </row>
    <row r="31">
      <c r="A31" s="202">
        <v>29.0</v>
      </c>
      <c r="B31" s="203" t="s">
        <v>4040</v>
      </c>
      <c r="C31" s="203" t="s">
        <v>4022</v>
      </c>
      <c r="D31" s="203" t="s">
        <v>4041</v>
      </c>
      <c r="E31" s="175" t="s">
        <v>4042</v>
      </c>
      <c r="F31" s="204" t="s">
        <v>4043</v>
      </c>
      <c r="G31" s="159"/>
    </row>
    <row r="32">
      <c r="A32" s="202">
        <v>30.0</v>
      </c>
      <c r="B32" s="203" t="s">
        <v>4044</v>
      </c>
      <c r="C32" s="203" t="s">
        <v>3980</v>
      </c>
      <c r="D32" s="203" t="s">
        <v>4041</v>
      </c>
      <c r="E32" s="175" t="s">
        <v>4045</v>
      </c>
      <c r="F32" s="204" t="s">
        <v>4046</v>
      </c>
      <c r="G32" s="159"/>
    </row>
    <row r="33">
      <c r="A33" s="202">
        <v>31.0</v>
      </c>
      <c r="B33" s="203" t="s">
        <v>4047</v>
      </c>
      <c r="C33" s="203" t="s">
        <v>2328</v>
      </c>
      <c r="D33" s="203" t="s">
        <v>4048</v>
      </c>
      <c r="E33" s="175" t="s">
        <v>4049</v>
      </c>
      <c r="F33" s="204" t="s">
        <v>197</v>
      </c>
      <c r="G33" s="159"/>
    </row>
    <row r="34">
      <c r="A34" s="202">
        <v>32.0</v>
      </c>
      <c r="B34" s="203" t="s">
        <v>4050</v>
      </c>
      <c r="C34" s="203" t="s">
        <v>4051</v>
      </c>
      <c r="D34" s="203" t="s">
        <v>4052</v>
      </c>
      <c r="E34" s="175" t="s">
        <v>4053</v>
      </c>
      <c r="F34" s="204" t="s">
        <v>4054</v>
      </c>
      <c r="G34" s="159"/>
    </row>
    <row r="35">
      <c r="A35" s="202">
        <v>33.0</v>
      </c>
      <c r="B35" s="203" t="s">
        <v>4055</v>
      </c>
      <c r="C35" s="203" t="s">
        <v>2352</v>
      </c>
      <c r="D35" s="203" t="s">
        <v>4056</v>
      </c>
      <c r="E35" s="175" t="s">
        <v>4057</v>
      </c>
      <c r="F35" s="204" t="s">
        <v>4058</v>
      </c>
      <c r="G35" s="159"/>
    </row>
    <row r="36">
      <c r="A36" s="202">
        <v>34.0</v>
      </c>
      <c r="B36" s="203" t="s">
        <v>4059</v>
      </c>
      <c r="C36" s="203" t="s">
        <v>2352</v>
      </c>
      <c r="D36" s="203" t="s">
        <v>4060</v>
      </c>
      <c r="E36" s="175" t="s">
        <v>4061</v>
      </c>
      <c r="F36" s="204" t="s">
        <v>4062</v>
      </c>
      <c r="G36" s="159"/>
    </row>
    <row r="37">
      <c r="A37" s="202">
        <v>35.0</v>
      </c>
      <c r="B37" s="203" t="s">
        <v>4063</v>
      </c>
      <c r="C37" s="203" t="s">
        <v>4064</v>
      </c>
      <c r="D37" s="203" t="s">
        <v>4065</v>
      </c>
      <c r="E37" s="203" t="s">
        <v>4066</v>
      </c>
      <c r="F37" s="204" t="s">
        <v>4067</v>
      </c>
      <c r="G37" s="159"/>
    </row>
    <row r="38">
      <c r="A38" s="202">
        <v>36.0</v>
      </c>
      <c r="B38" s="203" t="s">
        <v>4069</v>
      </c>
      <c r="C38" s="203" t="s">
        <v>4070</v>
      </c>
      <c r="D38" s="203" t="s">
        <v>4071</v>
      </c>
      <c r="E38" s="203" t="s">
        <v>4072</v>
      </c>
      <c r="F38" s="204" t="s">
        <v>4073</v>
      </c>
      <c r="G38" s="159"/>
    </row>
    <row r="39">
      <c r="A39" s="208">
        <v>37.0</v>
      </c>
      <c r="B39" s="209" t="s">
        <v>4089</v>
      </c>
      <c r="C39" s="209" t="s">
        <v>4090</v>
      </c>
      <c r="D39" s="209" t="s">
        <v>4091</v>
      </c>
      <c r="E39" s="211" t="s">
        <v>4092</v>
      </c>
      <c r="F39" s="212" t="s">
        <v>4093</v>
      </c>
      <c r="G39" s="159"/>
    </row>
    <row r="40">
      <c r="A40" s="213" t="s">
        <v>4095</v>
      </c>
      <c r="B40" s="214"/>
      <c r="C40" s="214"/>
      <c r="D40" s="214"/>
      <c r="E40" s="215"/>
      <c r="F40" s="216"/>
      <c r="G40" s="159"/>
    </row>
  </sheetData>
  <mergeCells count="2">
    <mergeCell ref="A1:F1"/>
    <mergeCell ref="A40:E40"/>
  </mergeCells>
  <hyperlinks>
    <hyperlink r:id="rId1" ref="F3"/>
    <hyperlink r:id="rId2" ref="F4"/>
    <hyperlink r:id="rId3" ref="F5"/>
    <hyperlink r:id="rId4" ref="F6"/>
    <hyperlink r:id="rId5" ref="F7"/>
    <hyperlink r:id="rId6" ref="F8"/>
    <hyperlink r:id="rId7" ref="F9"/>
    <hyperlink r:id="rId8" ref="F10"/>
    <hyperlink r:id="rId9" ref="F12"/>
    <hyperlink r:id="rId10" ref="F13"/>
    <hyperlink r:id="rId11" ref="F14"/>
    <hyperlink r:id="rId12" ref="F15"/>
    <hyperlink r:id="rId13" ref="F17"/>
    <hyperlink r:id="rId14" ref="F18"/>
    <hyperlink r:id="rId15" ref="F19"/>
    <hyperlink r:id="rId16" ref="F20"/>
    <hyperlink r:id="rId17" ref="F21"/>
    <hyperlink r:id="rId18" ref="F22"/>
    <hyperlink r:id="rId19" ref="F23"/>
    <hyperlink r:id="rId20" ref="F24"/>
    <hyperlink r:id="rId21" ref="F25"/>
    <hyperlink r:id="rId22" ref="F26"/>
    <hyperlink r:id="rId23" ref="F27"/>
    <hyperlink r:id="rId24" ref="F28"/>
    <hyperlink r:id="rId25" ref="F29"/>
    <hyperlink r:id="rId26" ref="F30"/>
    <hyperlink r:id="rId27" ref="F31"/>
    <hyperlink r:id="rId28" ref="F32"/>
    <hyperlink r:id="rId29" ref="F33"/>
    <hyperlink r:id="rId30" ref="F34"/>
    <hyperlink r:id="rId31" ref="F35"/>
    <hyperlink r:id="rId32" ref="F36"/>
    <hyperlink r:id="rId33" ref="F37"/>
    <hyperlink r:id="rId34" ref="F38"/>
    <hyperlink r:id="rId35" ref="F39"/>
  </hyperlinks>
  <drawing r:id="rId3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19.88"/>
    <col customWidth="1" min="3" max="3" width="22.5"/>
    <col customWidth="1" min="4" max="4" width="20.25"/>
    <col customWidth="1" min="5" max="5" width="24.5"/>
    <col customWidth="1" min="7" max="7" width="16.75"/>
  </cols>
  <sheetData>
    <row r="1">
      <c r="A1" s="129" t="s">
        <v>4068</v>
      </c>
      <c r="B1" s="3"/>
      <c r="C1" s="3"/>
      <c r="D1" s="3"/>
      <c r="E1" s="3"/>
      <c r="F1" s="3"/>
      <c r="G1" s="3"/>
      <c r="H1" s="3"/>
      <c r="I1" s="3"/>
      <c r="J1" s="3"/>
      <c r="K1" s="3"/>
      <c r="L1" s="3"/>
      <c r="M1" s="5"/>
    </row>
    <row r="2">
      <c r="A2" s="139" t="s">
        <v>1537</v>
      </c>
      <c r="B2" s="99" t="s">
        <v>4074</v>
      </c>
      <c r="C2" s="205" t="s">
        <v>1543</v>
      </c>
      <c r="D2" s="99" t="s">
        <v>1544</v>
      </c>
      <c r="E2" s="99" t="s">
        <v>1545</v>
      </c>
      <c r="F2" s="99" t="s">
        <v>253</v>
      </c>
      <c r="G2" s="100" t="s">
        <v>4075</v>
      </c>
      <c r="H2" s="100" t="s">
        <v>4076</v>
      </c>
      <c r="I2" s="100" t="s">
        <v>4077</v>
      </c>
      <c r="J2" s="100" t="s">
        <v>4078</v>
      </c>
      <c r="K2" s="100" t="s">
        <v>4079</v>
      </c>
      <c r="L2" s="100" t="s">
        <v>4080</v>
      </c>
      <c r="M2" s="99" t="s">
        <v>4081</v>
      </c>
    </row>
    <row r="3">
      <c r="A3" s="12">
        <v>1.0</v>
      </c>
      <c r="B3" s="10" t="s">
        <v>1573</v>
      </c>
      <c r="C3" s="206" t="s">
        <v>1574</v>
      </c>
      <c r="D3" s="10" t="s">
        <v>1185</v>
      </c>
      <c r="E3" s="10" t="s">
        <v>1575</v>
      </c>
      <c r="F3" s="10" t="s">
        <v>1576</v>
      </c>
      <c r="G3" s="103">
        <v>1050000.0</v>
      </c>
      <c r="H3" s="103">
        <v>892500.0</v>
      </c>
      <c r="I3" s="207">
        <v>157500.0</v>
      </c>
      <c r="J3" s="103">
        <v>624750.0</v>
      </c>
      <c r="K3" s="103">
        <v>267750.0</v>
      </c>
      <c r="L3" s="103">
        <v>32045.0</v>
      </c>
      <c r="M3" s="10" t="s">
        <v>4082</v>
      </c>
    </row>
    <row r="4">
      <c r="A4" s="12">
        <v>2.0</v>
      </c>
      <c r="B4" s="10" t="s">
        <v>1577</v>
      </c>
      <c r="C4" s="206" t="s">
        <v>4083</v>
      </c>
      <c r="D4" s="10" t="s">
        <v>1579</v>
      </c>
      <c r="E4" s="10" t="s">
        <v>1575</v>
      </c>
      <c r="F4" s="10" t="s">
        <v>1580</v>
      </c>
      <c r="G4" s="103">
        <v>1000000.0</v>
      </c>
      <c r="H4" s="103">
        <v>700000.0</v>
      </c>
      <c r="I4" s="103" t="s">
        <v>4084</v>
      </c>
      <c r="J4" s="103">
        <v>700000.0</v>
      </c>
      <c r="K4" s="103" t="s">
        <v>4085</v>
      </c>
      <c r="L4" s="103">
        <v>33.0</v>
      </c>
      <c r="M4" s="10" t="s">
        <v>4086</v>
      </c>
    </row>
    <row r="5">
      <c r="A5" s="12">
        <v>3.0</v>
      </c>
      <c r="B5" s="10" t="s">
        <v>1581</v>
      </c>
      <c r="C5" s="206" t="s">
        <v>1582</v>
      </c>
      <c r="D5" s="10" t="s">
        <v>1583</v>
      </c>
      <c r="E5" s="10" t="s">
        <v>1584</v>
      </c>
      <c r="F5" s="10" t="s">
        <v>1585</v>
      </c>
      <c r="G5" s="103">
        <v>1440000.0</v>
      </c>
      <c r="H5" s="103">
        <v>1224000.0</v>
      </c>
      <c r="I5" s="103">
        <v>216000.0</v>
      </c>
      <c r="J5" s="103">
        <v>856800.0</v>
      </c>
      <c r="K5" s="103" t="s">
        <v>4085</v>
      </c>
      <c r="L5" s="103">
        <v>58757.0</v>
      </c>
      <c r="M5" s="10" t="s">
        <v>4087</v>
      </c>
    </row>
    <row r="6">
      <c r="A6" s="12">
        <v>4.0</v>
      </c>
      <c r="B6" s="10" t="s">
        <v>1581</v>
      </c>
      <c r="C6" s="206" t="s">
        <v>1586</v>
      </c>
      <c r="D6" s="10" t="s">
        <v>1587</v>
      </c>
      <c r="E6" s="10" t="s">
        <v>1588</v>
      </c>
      <c r="F6" s="10" t="s">
        <v>1585</v>
      </c>
      <c r="G6" s="103">
        <v>1480000.0</v>
      </c>
      <c r="H6" s="210" t="s">
        <v>4088</v>
      </c>
      <c r="I6" s="3"/>
      <c r="J6" s="3"/>
      <c r="K6" s="3"/>
      <c r="L6" s="5"/>
      <c r="M6" s="10" t="s">
        <v>4094</v>
      </c>
    </row>
    <row r="7">
      <c r="A7" s="12">
        <v>5.0</v>
      </c>
      <c r="B7" s="10" t="s">
        <v>1581</v>
      </c>
      <c r="C7" s="206" t="s">
        <v>1589</v>
      </c>
      <c r="D7" s="10" t="s">
        <v>1590</v>
      </c>
      <c r="E7" s="10" t="s">
        <v>49</v>
      </c>
      <c r="F7" s="10" t="s">
        <v>1585</v>
      </c>
      <c r="G7" s="103">
        <v>1200000.0</v>
      </c>
      <c r="H7" s="103">
        <v>840000.0</v>
      </c>
      <c r="I7" s="103" t="s">
        <v>4084</v>
      </c>
      <c r="J7" s="103">
        <v>840000.0</v>
      </c>
      <c r="K7" s="103" t="s">
        <v>4085</v>
      </c>
      <c r="L7" s="103">
        <v>3.0</v>
      </c>
      <c r="M7" s="10" t="s">
        <v>4087</v>
      </c>
    </row>
    <row r="8">
      <c r="A8" s="12">
        <v>6.0</v>
      </c>
      <c r="B8" s="10" t="s">
        <v>1591</v>
      </c>
      <c r="C8" s="206" t="s">
        <v>1592</v>
      </c>
      <c r="D8" s="10" t="s">
        <v>1593</v>
      </c>
      <c r="E8" s="10" t="s">
        <v>1594</v>
      </c>
      <c r="F8" s="10" t="s">
        <v>1595</v>
      </c>
      <c r="G8" s="103">
        <v>1500000.0</v>
      </c>
      <c r="H8" s="207"/>
      <c r="I8" s="207"/>
      <c r="J8" s="207"/>
      <c r="K8" s="207"/>
      <c r="L8" s="207"/>
      <c r="M8" s="17"/>
    </row>
    <row r="9">
      <c r="A9" s="12">
        <v>7.0</v>
      </c>
      <c r="B9" s="10" t="s">
        <v>1591</v>
      </c>
      <c r="C9" s="206" t="s">
        <v>1596</v>
      </c>
      <c r="D9" s="10" t="s">
        <v>1597</v>
      </c>
      <c r="E9" s="10" t="s">
        <v>1598</v>
      </c>
      <c r="F9" s="10" t="s">
        <v>1595</v>
      </c>
      <c r="G9" s="103">
        <v>600000.0</v>
      </c>
      <c r="H9" s="207"/>
      <c r="I9" s="207"/>
      <c r="J9" s="207"/>
      <c r="K9" s="207"/>
      <c r="L9" s="207"/>
      <c r="M9" s="17"/>
    </row>
  </sheetData>
  <mergeCells count="2">
    <mergeCell ref="A1:M1"/>
    <mergeCell ref="H6:L6"/>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18.75"/>
    <col customWidth="1" min="7" max="8" width="11.88"/>
    <col customWidth="1" min="9" max="9" width="21.38"/>
    <col customWidth="1" min="10" max="10" width="19.25"/>
    <col customWidth="1" min="15" max="15" width="18.13"/>
    <col customWidth="1" min="16" max="16" width="20.5"/>
    <col customWidth="1" min="17" max="17" width="19.0"/>
  </cols>
  <sheetData>
    <row r="1">
      <c r="A1" s="217" t="s">
        <v>4096</v>
      </c>
      <c r="B1" s="3"/>
      <c r="C1" s="3"/>
      <c r="D1" s="3"/>
      <c r="E1" s="3"/>
      <c r="F1" s="5"/>
      <c r="G1" s="218"/>
      <c r="H1" s="217" t="s">
        <v>4097</v>
      </c>
      <c r="I1" s="3"/>
      <c r="J1" s="3"/>
      <c r="K1" s="3"/>
      <c r="L1" s="3"/>
      <c r="M1" s="5"/>
      <c r="N1" s="159"/>
      <c r="O1" s="159"/>
      <c r="P1" s="159"/>
      <c r="Q1" s="159"/>
      <c r="R1" s="159"/>
      <c r="S1" s="159"/>
      <c r="T1" s="159"/>
      <c r="U1" s="159"/>
      <c r="V1" s="159"/>
      <c r="W1" s="159"/>
      <c r="X1" s="159"/>
      <c r="Y1" s="159"/>
      <c r="Z1" s="159"/>
      <c r="AA1" s="159"/>
      <c r="AB1" s="159"/>
      <c r="AC1" s="159"/>
      <c r="AD1" s="159"/>
      <c r="AE1" s="159"/>
    </row>
    <row r="2">
      <c r="A2" s="219" t="s">
        <v>2434</v>
      </c>
      <c r="B2" s="99" t="s">
        <v>4098</v>
      </c>
      <c r="C2" s="99" t="s">
        <v>4099</v>
      </c>
      <c r="D2" s="99" t="s">
        <v>4100</v>
      </c>
      <c r="E2" s="99" t="s">
        <v>4101</v>
      </c>
      <c r="F2" s="99" t="s">
        <v>2394</v>
      </c>
      <c r="G2" s="220"/>
      <c r="H2" s="219" t="s">
        <v>2434</v>
      </c>
      <c r="I2" s="99" t="s">
        <v>4098</v>
      </c>
      <c r="J2" s="99" t="s">
        <v>4102</v>
      </c>
      <c r="K2" s="99" t="s">
        <v>4103</v>
      </c>
      <c r="L2" s="99" t="s">
        <v>4104</v>
      </c>
      <c r="M2" s="99" t="s">
        <v>2394</v>
      </c>
      <c r="N2" s="159"/>
      <c r="O2" s="159"/>
      <c r="P2" s="159"/>
      <c r="Q2" s="159"/>
      <c r="R2" s="159"/>
      <c r="S2" s="159"/>
      <c r="T2" s="159"/>
      <c r="U2" s="159"/>
      <c r="V2" s="159"/>
      <c r="W2" s="159"/>
      <c r="X2" s="159"/>
      <c r="Y2" s="159"/>
      <c r="Z2" s="159"/>
      <c r="AA2" s="159"/>
      <c r="AB2" s="159"/>
      <c r="AC2" s="159"/>
      <c r="AD2" s="159"/>
      <c r="AE2" s="159"/>
    </row>
    <row r="3">
      <c r="A3" s="10">
        <v>1.0</v>
      </c>
      <c r="B3" s="10" t="s">
        <v>4036</v>
      </c>
      <c r="C3" s="221">
        <v>29851.0</v>
      </c>
      <c r="D3" s="221">
        <v>29851.0</v>
      </c>
      <c r="E3" s="221">
        <v>29852.0</v>
      </c>
      <c r="F3" s="221">
        <v>89554.0</v>
      </c>
      <c r="G3" s="64"/>
      <c r="H3" s="10">
        <v>1.0</v>
      </c>
      <c r="I3" s="10" t="s">
        <v>4036</v>
      </c>
      <c r="J3" s="221">
        <v>45229.0</v>
      </c>
      <c r="K3" s="221">
        <v>45229.0</v>
      </c>
      <c r="L3" s="221">
        <v>45229.0</v>
      </c>
      <c r="M3" s="10" t="s">
        <v>4105</v>
      </c>
      <c r="N3" s="159"/>
      <c r="O3" s="159"/>
      <c r="P3" s="159"/>
      <c r="Q3" s="159"/>
      <c r="R3" s="159"/>
      <c r="S3" s="159"/>
      <c r="T3" s="159"/>
      <c r="U3" s="159"/>
      <c r="V3" s="159"/>
      <c r="W3" s="159"/>
      <c r="X3" s="159"/>
      <c r="Y3" s="159"/>
      <c r="Z3" s="159"/>
      <c r="AA3" s="159"/>
      <c r="AB3" s="159"/>
      <c r="AC3" s="159"/>
      <c r="AD3" s="159"/>
      <c r="AE3" s="159"/>
    </row>
    <row r="4">
      <c r="A4" s="10">
        <v>2.0</v>
      </c>
      <c r="B4" s="10" t="s">
        <v>4106</v>
      </c>
      <c r="C4" s="221">
        <v>19140.0</v>
      </c>
      <c r="D4" s="221">
        <v>19140.0</v>
      </c>
      <c r="E4" s="221">
        <v>19141.0</v>
      </c>
      <c r="F4" s="221">
        <v>57421.0</v>
      </c>
      <c r="G4" s="64"/>
      <c r="H4" s="10">
        <v>2.0</v>
      </c>
      <c r="I4" s="10" t="s">
        <v>4106</v>
      </c>
      <c r="J4" s="221">
        <v>30000.0</v>
      </c>
      <c r="K4" s="221">
        <v>30000.0</v>
      </c>
      <c r="L4" s="221">
        <v>30000.0</v>
      </c>
      <c r="M4" s="221">
        <v>90000.0</v>
      </c>
      <c r="N4" s="159"/>
      <c r="O4" s="159"/>
      <c r="P4" s="159"/>
      <c r="Q4" s="159"/>
      <c r="R4" s="159"/>
      <c r="S4" s="159"/>
      <c r="T4" s="159"/>
      <c r="U4" s="159"/>
      <c r="V4" s="159"/>
      <c r="W4" s="159"/>
      <c r="X4" s="159"/>
      <c r="Y4" s="159"/>
      <c r="Z4" s="159"/>
      <c r="AA4" s="159"/>
      <c r="AB4" s="159"/>
      <c r="AC4" s="159"/>
      <c r="AD4" s="159"/>
      <c r="AE4" s="159"/>
    </row>
    <row r="5">
      <c r="A5" s="10">
        <v>3.0</v>
      </c>
      <c r="B5" s="10" t="s">
        <v>4107</v>
      </c>
      <c r="C5" s="10">
        <v>6000.0</v>
      </c>
      <c r="D5" s="10">
        <v>6000.0</v>
      </c>
      <c r="E5" s="10">
        <v>6000.0</v>
      </c>
      <c r="F5" s="221">
        <v>18000.0</v>
      </c>
      <c r="G5" s="64"/>
      <c r="H5" s="10">
        <v>3.0</v>
      </c>
      <c r="I5" s="10" t="s">
        <v>4107</v>
      </c>
      <c r="J5" s="10">
        <v>9000.0</v>
      </c>
      <c r="K5" s="10">
        <v>9000.0</v>
      </c>
      <c r="L5" s="10">
        <v>9000.0</v>
      </c>
      <c r="M5" s="221">
        <v>27000.0</v>
      </c>
      <c r="N5" s="159"/>
      <c r="O5" s="159"/>
      <c r="P5" s="159"/>
      <c r="Q5" s="159"/>
      <c r="R5" s="159"/>
      <c r="S5" s="159"/>
      <c r="T5" s="159"/>
      <c r="U5" s="159"/>
      <c r="V5" s="159"/>
      <c r="W5" s="159"/>
      <c r="X5" s="159"/>
      <c r="Y5" s="159"/>
      <c r="Z5" s="159"/>
      <c r="AA5" s="159"/>
      <c r="AB5" s="159"/>
      <c r="AC5" s="159"/>
      <c r="AD5" s="159"/>
      <c r="AE5" s="159"/>
    </row>
    <row r="6">
      <c r="A6" s="10">
        <v>4.0</v>
      </c>
      <c r="B6" s="10" t="s">
        <v>4108</v>
      </c>
      <c r="C6" s="17"/>
      <c r="D6" s="10">
        <v>5000.0</v>
      </c>
      <c r="E6" s="10">
        <v>5900.0</v>
      </c>
      <c r="F6" s="221">
        <v>10900.0</v>
      </c>
      <c r="G6" s="64"/>
      <c r="H6" s="10">
        <v>4.0</v>
      </c>
      <c r="I6" s="10" t="s">
        <v>4108</v>
      </c>
      <c r="J6" s="10">
        <v>10000.0</v>
      </c>
      <c r="K6" s="17"/>
      <c r="L6" s="10">
        <v>12783.0</v>
      </c>
      <c r="M6" s="221">
        <v>22783.0</v>
      </c>
      <c r="N6" s="159"/>
      <c r="O6" s="159"/>
      <c r="P6" s="159"/>
      <c r="Q6" s="159"/>
      <c r="R6" s="159"/>
      <c r="S6" s="159"/>
      <c r="T6" s="159"/>
      <c r="U6" s="159"/>
      <c r="V6" s="159"/>
      <c r="W6" s="159"/>
      <c r="X6" s="159"/>
      <c r="Y6" s="159"/>
      <c r="Z6" s="159"/>
      <c r="AA6" s="159"/>
      <c r="AB6" s="159"/>
      <c r="AC6" s="159"/>
      <c r="AD6" s="159"/>
      <c r="AE6" s="159"/>
    </row>
    <row r="7">
      <c r="A7" s="10">
        <v>5.0</v>
      </c>
      <c r="B7" s="10" t="s">
        <v>1545</v>
      </c>
      <c r="C7" s="10">
        <v>5000.0</v>
      </c>
      <c r="D7" s="10">
        <v>5000.0</v>
      </c>
      <c r="E7" s="10">
        <v>5000.0</v>
      </c>
      <c r="F7" s="221">
        <v>15000.0</v>
      </c>
      <c r="G7" s="64"/>
      <c r="H7" s="10">
        <v>5.0</v>
      </c>
      <c r="I7" s="10" t="s">
        <v>1545</v>
      </c>
      <c r="J7" s="10">
        <v>10833.0</v>
      </c>
      <c r="K7" s="10">
        <v>10833.0</v>
      </c>
      <c r="L7" s="10">
        <v>10833.0</v>
      </c>
      <c r="M7" s="221">
        <v>32499.0</v>
      </c>
      <c r="N7" s="159"/>
      <c r="O7" s="159"/>
      <c r="P7" s="159"/>
      <c r="Q7" s="159"/>
      <c r="R7" s="159"/>
      <c r="S7" s="159"/>
      <c r="T7" s="159"/>
      <c r="U7" s="159"/>
      <c r="V7" s="159"/>
      <c r="W7" s="159"/>
      <c r="X7" s="159"/>
      <c r="Y7" s="159"/>
      <c r="Z7" s="159"/>
      <c r="AA7" s="159"/>
      <c r="AB7" s="159"/>
      <c r="AC7" s="159"/>
      <c r="AD7" s="159"/>
      <c r="AE7" s="159"/>
    </row>
    <row r="8">
      <c r="A8" s="10">
        <v>6.0</v>
      </c>
      <c r="B8" s="10" t="s">
        <v>4109</v>
      </c>
      <c r="C8" s="10">
        <v>10000.0</v>
      </c>
      <c r="D8" s="10">
        <v>10000.0</v>
      </c>
      <c r="E8" s="10">
        <v>10000.0</v>
      </c>
      <c r="F8" s="221">
        <v>30000.0</v>
      </c>
      <c r="G8" s="64"/>
      <c r="H8" s="10">
        <v>6.0</v>
      </c>
      <c r="I8" s="10" t="s">
        <v>4109</v>
      </c>
      <c r="J8" s="10">
        <v>15000.0</v>
      </c>
      <c r="K8" s="10">
        <v>15000.0</v>
      </c>
      <c r="L8" s="10">
        <v>15000.0</v>
      </c>
      <c r="M8" s="221">
        <v>45000.0</v>
      </c>
      <c r="N8" s="159"/>
      <c r="O8" s="159"/>
      <c r="P8" s="159"/>
      <c r="Q8" s="159"/>
      <c r="R8" s="159"/>
      <c r="S8" s="159"/>
      <c r="T8" s="159"/>
      <c r="U8" s="159"/>
      <c r="V8" s="159"/>
      <c r="W8" s="159"/>
      <c r="X8" s="159"/>
      <c r="Y8" s="159"/>
      <c r="Z8" s="159"/>
      <c r="AA8" s="159"/>
      <c r="AB8" s="159"/>
      <c r="AC8" s="159"/>
      <c r="AD8" s="159"/>
      <c r="AE8" s="159"/>
    </row>
    <row r="9">
      <c r="A9" s="10">
        <v>7.0</v>
      </c>
      <c r="B9" s="10" t="s">
        <v>4110</v>
      </c>
      <c r="C9" s="10">
        <v>1333.0</v>
      </c>
      <c r="D9" s="10">
        <v>1333.0</v>
      </c>
      <c r="E9" s="10">
        <v>1334.0</v>
      </c>
      <c r="F9" s="221">
        <v>4000.0</v>
      </c>
      <c r="G9" s="64"/>
      <c r="H9" s="10">
        <v>7.0</v>
      </c>
      <c r="I9" s="10" t="s">
        <v>4110</v>
      </c>
      <c r="J9" s="10">
        <v>2000.0</v>
      </c>
      <c r="K9" s="10">
        <v>2000.0</v>
      </c>
      <c r="L9" s="10">
        <v>2000.0</v>
      </c>
      <c r="M9" s="221">
        <v>6000.0</v>
      </c>
      <c r="N9" s="159"/>
      <c r="O9" s="159"/>
      <c r="P9" s="159"/>
      <c r="Q9" s="159"/>
      <c r="R9" s="159"/>
      <c r="S9" s="159"/>
      <c r="T9" s="159"/>
      <c r="U9" s="159"/>
      <c r="V9" s="159"/>
      <c r="W9" s="159"/>
      <c r="X9" s="159"/>
      <c r="Y9" s="159"/>
      <c r="Z9" s="159"/>
      <c r="AA9" s="159"/>
      <c r="AB9" s="159"/>
      <c r="AC9" s="159"/>
      <c r="AD9" s="159"/>
      <c r="AE9" s="159"/>
    </row>
    <row r="10">
      <c r="A10" s="10">
        <v>8.0</v>
      </c>
      <c r="B10" s="10" t="s">
        <v>4111</v>
      </c>
      <c r="C10" s="17"/>
      <c r="D10" s="17"/>
      <c r="E10" s="17"/>
      <c r="F10" s="10">
        <v>0.0</v>
      </c>
      <c r="G10" s="64"/>
      <c r="H10" s="10">
        <v>8.0</v>
      </c>
      <c r="I10" s="10" t="s">
        <v>4111</v>
      </c>
      <c r="J10" s="17"/>
      <c r="K10" s="17"/>
      <c r="L10" s="17"/>
      <c r="M10" s="10">
        <v>0.0</v>
      </c>
      <c r="N10" s="159"/>
      <c r="O10" s="159"/>
      <c r="P10" s="159"/>
      <c r="Q10" s="159"/>
      <c r="R10" s="159"/>
      <c r="S10" s="159"/>
      <c r="T10" s="159"/>
      <c r="U10" s="159"/>
      <c r="V10" s="159"/>
      <c r="W10" s="159"/>
      <c r="X10" s="159"/>
      <c r="Y10" s="159"/>
      <c r="Z10" s="159"/>
      <c r="AA10" s="159"/>
      <c r="AB10" s="159"/>
      <c r="AC10" s="159"/>
      <c r="AD10" s="159"/>
      <c r="AE10" s="159"/>
    </row>
    <row r="11">
      <c r="A11" s="10">
        <v>9.0</v>
      </c>
      <c r="B11" s="10" t="s">
        <v>4116</v>
      </c>
      <c r="C11" s="17"/>
      <c r="D11" s="17"/>
      <c r="E11" s="10">
        <v>12025.0</v>
      </c>
      <c r="F11" s="221">
        <v>12025.0</v>
      </c>
      <c r="G11" s="64"/>
      <c r="H11" s="10">
        <v>9.0</v>
      </c>
      <c r="I11" s="10" t="s">
        <v>4116</v>
      </c>
      <c r="J11" s="17"/>
      <c r="K11" s="17"/>
      <c r="L11" s="10">
        <v>19977.0</v>
      </c>
      <c r="M11" s="221">
        <v>19977.0</v>
      </c>
      <c r="N11" s="159"/>
      <c r="O11" s="159"/>
      <c r="P11" s="159"/>
      <c r="Q11" s="159"/>
      <c r="R11" s="159"/>
      <c r="S11" s="159"/>
      <c r="T11" s="159"/>
      <c r="U11" s="159"/>
      <c r="V11" s="159"/>
      <c r="W11" s="159"/>
      <c r="X11" s="159"/>
      <c r="Y11" s="159"/>
      <c r="Z11" s="159"/>
      <c r="AA11" s="159"/>
      <c r="AB11" s="159"/>
      <c r="AC11" s="159"/>
      <c r="AD11" s="159"/>
      <c r="AE11" s="159"/>
    </row>
    <row r="12">
      <c r="A12" s="10">
        <v>10.0</v>
      </c>
      <c r="B12" s="10" t="s">
        <v>4126</v>
      </c>
      <c r="C12" s="17"/>
      <c r="D12" s="17"/>
      <c r="E12" s="17"/>
      <c r="F12" s="10">
        <v>0.0</v>
      </c>
      <c r="G12" s="64"/>
      <c r="H12" s="10">
        <v>10.0</v>
      </c>
      <c r="I12" s="10" t="s">
        <v>4126</v>
      </c>
      <c r="J12" s="17"/>
      <c r="K12" s="17"/>
      <c r="L12" s="17"/>
      <c r="M12" s="10">
        <v>0.0</v>
      </c>
      <c r="N12" s="159"/>
      <c r="O12" s="159"/>
      <c r="P12" s="159"/>
      <c r="Q12" s="159"/>
      <c r="R12" s="159"/>
      <c r="S12" s="159"/>
      <c r="T12" s="159"/>
      <c r="U12" s="159"/>
      <c r="V12" s="159"/>
      <c r="W12" s="159"/>
      <c r="X12" s="159"/>
      <c r="Y12" s="159"/>
      <c r="Z12" s="159"/>
      <c r="AA12" s="159"/>
      <c r="AB12" s="159"/>
      <c r="AC12" s="159"/>
      <c r="AD12" s="159"/>
      <c r="AE12" s="159"/>
    </row>
    <row r="13">
      <c r="A13" s="10">
        <v>11.0</v>
      </c>
      <c r="B13" s="10" t="s">
        <v>4133</v>
      </c>
      <c r="C13" s="17"/>
      <c r="D13" s="17"/>
      <c r="E13" s="17"/>
      <c r="F13" s="10">
        <v>0.0</v>
      </c>
      <c r="G13" s="64"/>
      <c r="H13" s="10">
        <v>11.0</v>
      </c>
      <c r="I13" s="10" t="s">
        <v>4133</v>
      </c>
      <c r="J13" s="17"/>
      <c r="K13" s="17"/>
      <c r="L13" s="17"/>
      <c r="M13" s="10">
        <v>0.0</v>
      </c>
      <c r="N13" s="159"/>
      <c r="O13" s="159"/>
      <c r="P13" s="159"/>
      <c r="Q13" s="159"/>
      <c r="R13" s="159"/>
      <c r="S13" s="159"/>
      <c r="T13" s="159"/>
      <c r="U13" s="159"/>
      <c r="V13" s="159"/>
      <c r="W13" s="159"/>
      <c r="X13" s="159"/>
      <c r="Y13" s="159"/>
      <c r="Z13" s="159"/>
      <c r="AA13" s="159"/>
      <c r="AB13" s="159"/>
      <c r="AC13" s="159"/>
      <c r="AD13" s="159"/>
      <c r="AE13" s="159"/>
    </row>
    <row r="14">
      <c r="A14" s="17"/>
      <c r="B14" s="139" t="s">
        <v>2394</v>
      </c>
      <c r="C14" s="3"/>
      <c r="D14" s="3"/>
      <c r="E14" s="5"/>
      <c r="F14" s="99" t="s">
        <v>4140</v>
      </c>
      <c r="G14" s="85"/>
      <c r="H14" s="17"/>
      <c r="I14" s="139" t="s">
        <v>2394</v>
      </c>
      <c r="J14" s="3"/>
      <c r="K14" s="3"/>
      <c r="L14" s="5"/>
      <c r="M14" s="99" t="s">
        <v>4143</v>
      </c>
      <c r="N14" s="159"/>
      <c r="O14" s="159"/>
      <c r="P14" s="159"/>
      <c r="Q14" s="159"/>
      <c r="R14" s="159"/>
      <c r="S14" s="159"/>
      <c r="T14" s="159"/>
      <c r="U14" s="159"/>
      <c r="V14" s="159"/>
      <c r="W14" s="159"/>
      <c r="X14" s="159"/>
      <c r="Y14" s="159"/>
      <c r="Z14" s="159"/>
      <c r="AA14" s="159"/>
      <c r="AB14" s="159"/>
      <c r="AC14" s="159"/>
      <c r="AD14" s="159"/>
      <c r="AE14" s="159"/>
    </row>
    <row r="15">
      <c r="A15" s="159"/>
      <c r="B15" s="159"/>
      <c r="C15" s="159"/>
      <c r="D15" s="159"/>
      <c r="E15" s="159"/>
      <c r="F15" s="159"/>
      <c r="G15" s="159"/>
      <c r="H15" s="159"/>
      <c r="I15" s="159"/>
      <c r="J15" s="159"/>
      <c r="K15" s="159"/>
      <c r="L15" s="159"/>
      <c r="M15" s="159"/>
      <c r="N15" s="159"/>
      <c r="O15" s="159"/>
      <c r="P15" s="159"/>
      <c r="Q15" s="159"/>
      <c r="R15" s="159"/>
      <c r="S15" s="159"/>
      <c r="T15" s="159"/>
      <c r="U15" s="159"/>
      <c r="V15" s="159"/>
      <c r="W15" s="159"/>
      <c r="X15" s="159"/>
      <c r="Y15" s="159"/>
      <c r="Z15" s="159"/>
      <c r="AA15" s="159"/>
      <c r="AB15" s="159"/>
      <c r="AC15" s="159"/>
      <c r="AD15" s="159"/>
      <c r="AE15" s="159"/>
    </row>
    <row r="16">
      <c r="A16" s="159"/>
      <c r="B16" s="159"/>
      <c r="C16" s="159"/>
      <c r="D16" s="159"/>
      <c r="E16" s="159"/>
      <c r="F16" s="159"/>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59"/>
      <c r="AE16" s="159"/>
    </row>
    <row r="17">
      <c r="A17" s="217" t="s">
        <v>4153</v>
      </c>
      <c r="B17" s="3"/>
      <c r="C17" s="3"/>
      <c r="D17" s="3"/>
      <c r="E17" s="3"/>
      <c r="F17" s="5"/>
      <c r="G17" s="159"/>
      <c r="H17" s="217" t="s">
        <v>4155</v>
      </c>
      <c r="I17" s="3"/>
      <c r="J17" s="3"/>
      <c r="K17" s="3"/>
      <c r="L17" s="3"/>
      <c r="M17" s="5"/>
      <c r="N17" s="159"/>
      <c r="O17" s="217" t="s">
        <v>4156</v>
      </c>
      <c r="P17" s="3"/>
      <c r="Q17" s="3"/>
      <c r="R17" s="3"/>
      <c r="S17" s="3"/>
      <c r="T17" s="5"/>
      <c r="U17" s="159"/>
      <c r="V17" s="217" t="s">
        <v>4156</v>
      </c>
      <c r="W17" s="3"/>
      <c r="X17" s="3"/>
      <c r="Y17" s="3"/>
      <c r="Z17" s="3"/>
      <c r="AA17" s="5"/>
      <c r="AB17" s="227"/>
      <c r="AC17" s="227"/>
      <c r="AD17" s="227"/>
      <c r="AE17" s="227"/>
    </row>
    <row r="18">
      <c r="A18" s="219" t="s">
        <v>2434</v>
      </c>
      <c r="B18" s="99" t="s">
        <v>4098</v>
      </c>
      <c r="C18" s="99" t="s">
        <v>4159</v>
      </c>
      <c r="D18" s="99" t="s">
        <v>4160</v>
      </c>
      <c r="E18" s="99" t="s">
        <v>4161</v>
      </c>
      <c r="F18" s="99" t="s">
        <v>2394</v>
      </c>
      <c r="G18" s="159"/>
      <c r="H18" s="228" t="s">
        <v>2434</v>
      </c>
      <c r="I18" s="99" t="s">
        <v>4098</v>
      </c>
      <c r="J18" s="99" t="s">
        <v>4163</v>
      </c>
      <c r="K18" s="99" t="s">
        <v>4164</v>
      </c>
      <c r="L18" s="99" t="s">
        <v>4165</v>
      </c>
      <c r="M18" s="99" t="s">
        <v>2394</v>
      </c>
      <c r="N18" s="159"/>
      <c r="O18" s="228" t="s">
        <v>2434</v>
      </c>
      <c r="P18" s="99" t="s">
        <v>4098</v>
      </c>
      <c r="Q18" s="99" t="s">
        <v>4099</v>
      </c>
      <c r="R18" s="99" t="s">
        <v>4100</v>
      </c>
      <c r="S18" s="99" t="s">
        <v>4101</v>
      </c>
      <c r="T18" s="99" t="s">
        <v>2394</v>
      </c>
      <c r="U18" s="159"/>
      <c r="V18" s="228" t="s">
        <v>2434</v>
      </c>
      <c r="W18" s="99" t="s">
        <v>4098</v>
      </c>
      <c r="X18" s="99" t="s">
        <v>4102</v>
      </c>
      <c r="Y18" s="99" t="s">
        <v>4103</v>
      </c>
      <c r="Z18" s="99" t="s">
        <v>4104</v>
      </c>
      <c r="AA18" s="99" t="s">
        <v>2394</v>
      </c>
      <c r="AB18" s="218"/>
      <c r="AC18" s="218"/>
      <c r="AD18" s="218"/>
      <c r="AE18" s="218"/>
    </row>
    <row r="19">
      <c r="A19" s="10">
        <v>1.0</v>
      </c>
      <c r="B19" s="10" t="s">
        <v>4036</v>
      </c>
      <c r="C19" s="221">
        <v>45229.0</v>
      </c>
      <c r="D19" s="221">
        <v>45229.0</v>
      </c>
      <c r="E19" s="221">
        <v>45229.0</v>
      </c>
      <c r="F19" s="10" t="s">
        <v>4105</v>
      </c>
      <c r="G19" s="159"/>
      <c r="H19" s="10">
        <v>1.0</v>
      </c>
      <c r="I19" s="10" t="s">
        <v>4036</v>
      </c>
      <c r="J19" s="221">
        <v>63000.0</v>
      </c>
      <c r="K19" s="221">
        <v>63000.0</v>
      </c>
      <c r="L19" s="221">
        <v>63000.0</v>
      </c>
      <c r="M19" s="10" t="s">
        <v>4174</v>
      </c>
      <c r="N19" s="159"/>
      <c r="O19" s="10">
        <v>1.0</v>
      </c>
      <c r="P19" s="10" t="s">
        <v>4036</v>
      </c>
      <c r="Q19" s="221">
        <v>50807.0</v>
      </c>
      <c r="R19" s="221">
        <v>63000.0</v>
      </c>
      <c r="S19" s="221">
        <v>63000.0</v>
      </c>
      <c r="T19" s="10" t="s">
        <v>4176</v>
      </c>
      <c r="U19" s="159"/>
      <c r="V19" s="10">
        <v>1.0</v>
      </c>
      <c r="W19" s="10" t="s">
        <v>4036</v>
      </c>
      <c r="X19" s="221">
        <v>63000.0</v>
      </c>
      <c r="Y19" s="221">
        <v>63000.0</v>
      </c>
      <c r="Z19" s="221">
        <v>63000.0</v>
      </c>
      <c r="AA19" s="10" t="s">
        <v>4174</v>
      </c>
      <c r="AB19" s="64"/>
      <c r="AC19" s="64"/>
      <c r="AD19" s="64"/>
      <c r="AE19" s="64"/>
    </row>
    <row r="20">
      <c r="A20" s="10">
        <v>2.0</v>
      </c>
      <c r="B20" s="10" t="s">
        <v>4106</v>
      </c>
      <c r="C20" s="221">
        <v>30000.0</v>
      </c>
      <c r="D20" s="221">
        <v>30000.0</v>
      </c>
      <c r="E20" s="17"/>
      <c r="F20" s="221">
        <v>60000.0</v>
      </c>
      <c r="G20" s="159"/>
      <c r="H20" s="10">
        <v>2.0</v>
      </c>
      <c r="I20" s="10" t="s">
        <v>4106</v>
      </c>
      <c r="J20" s="221">
        <v>47229.0</v>
      </c>
      <c r="K20" s="221">
        <v>47229.0</v>
      </c>
      <c r="L20" s="221">
        <v>47229.0</v>
      </c>
      <c r="M20" s="10" t="s">
        <v>4184</v>
      </c>
      <c r="N20" s="159"/>
      <c r="O20" s="10">
        <v>2.0</v>
      </c>
      <c r="P20" s="10" t="s">
        <v>4106</v>
      </c>
      <c r="Q20" s="221">
        <v>48229.0</v>
      </c>
      <c r="R20" s="221">
        <v>48229.0</v>
      </c>
      <c r="S20" s="221">
        <v>48229.0</v>
      </c>
      <c r="T20" s="10" t="s">
        <v>4186</v>
      </c>
      <c r="U20" s="159"/>
      <c r="V20" s="10">
        <v>2.0</v>
      </c>
      <c r="W20" s="10" t="s">
        <v>4106</v>
      </c>
      <c r="X20" s="221">
        <v>48229.0</v>
      </c>
      <c r="Y20" s="221">
        <v>48229.0</v>
      </c>
      <c r="Z20" s="221">
        <v>48229.0</v>
      </c>
      <c r="AA20" s="10" t="s">
        <v>4186</v>
      </c>
      <c r="AB20" s="64"/>
      <c r="AC20" s="64"/>
      <c r="AD20" s="64"/>
      <c r="AE20" s="64"/>
    </row>
    <row r="21">
      <c r="A21" s="10">
        <v>3.0</v>
      </c>
      <c r="B21" s="10" t="s">
        <v>4107</v>
      </c>
      <c r="C21" s="17"/>
      <c r="D21" s="10">
        <v>54872.0</v>
      </c>
      <c r="E21" s="10">
        <v>63000.0</v>
      </c>
      <c r="F21" s="10" t="s">
        <v>4189</v>
      </c>
      <c r="G21" s="159"/>
      <c r="H21" s="10">
        <v>3.0</v>
      </c>
      <c r="I21" s="10" t="s">
        <v>4107</v>
      </c>
      <c r="J21" s="10">
        <v>9000.0</v>
      </c>
      <c r="K21" s="10">
        <v>9000.0</v>
      </c>
      <c r="L21" s="10">
        <v>9000.0</v>
      </c>
      <c r="M21" s="221">
        <v>27000.0</v>
      </c>
      <c r="N21" s="159"/>
      <c r="O21" s="10">
        <v>3.0</v>
      </c>
      <c r="P21" s="10" t="s">
        <v>4107</v>
      </c>
      <c r="Q21" s="10">
        <v>9000.0</v>
      </c>
      <c r="R21" s="10">
        <v>8700.0</v>
      </c>
      <c r="S21" s="10">
        <v>9000.0</v>
      </c>
      <c r="T21" s="221">
        <v>26700.0</v>
      </c>
      <c r="U21" s="159"/>
      <c r="V21" s="10">
        <v>3.0</v>
      </c>
      <c r="W21" s="10" t="s">
        <v>4107</v>
      </c>
      <c r="X21" s="10">
        <v>8419.0</v>
      </c>
      <c r="Y21" s="10">
        <v>9000.0</v>
      </c>
      <c r="Z21" s="10">
        <v>9000.0</v>
      </c>
      <c r="AA21" s="221">
        <v>26419.0</v>
      </c>
      <c r="AB21" s="229"/>
      <c r="AC21" s="229"/>
      <c r="AD21" s="229"/>
      <c r="AE21" s="229"/>
    </row>
    <row r="22">
      <c r="A22" s="10">
        <v>4.0</v>
      </c>
      <c r="B22" s="10" t="s">
        <v>4193</v>
      </c>
      <c r="C22" s="10">
        <v>9097.0</v>
      </c>
      <c r="D22" s="10">
        <v>9097.0</v>
      </c>
      <c r="E22" s="10">
        <v>9097.0</v>
      </c>
      <c r="F22" s="221">
        <v>27290.0</v>
      </c>
      <c r="G22" s="159"/>
      <c r="H22" s="10">
        <v>4.0</v>
      </c>
      <c r="I22" s="10" t="s">
        <v>4108</v>
      </c>
      <c r="J22" s="17"/>
      <c r="K22" s="17"/>
      <c r="L22" s="17"/>
      <c r="M22" s="10">
        <v>0.0</v>
      </c>
      <c r="N22" s="159"/>
      <c r="O22" s="10">
        <v>4.0</v>
      </c>
      <c r="P22" s="10" t="s">
        <v>4108</v>
      </c>
      <c r="Q22" s="17"/>
      <c r="R22" s="17"/>
      <c r="S22" s="10">
        <v>1180.0</v>
      </c>
      <c r="T22" s="221">
        <v>1180.0</v>
      </c>
      <c r="U22" s="159"/>
      <c r="V22" s="10">
        <v>4.0</v>
      </c>
      <c r="W22" s="10" t="s">
        <v>4108</v>
      </c>
      <c r="X22" s="17"/>
      <c r="Y22" s="17"/>
      <c r="Z22" s="17"/>
      <c r="AA22" s="10">
        <v>0.0</v>
      </c>
      <c r="AB22" s="64"/>
      <c r="AC22" s="64"/>
      <c r="AD22" s="64"/>
      <c r="AE22" s="64"/>
    </row>
    <row r="23">
      <c r="A23" s="10">
        <v>5.0</v>
      </c>
      <c r="B23" s="10" t="s">
        <v>4108</v>
      </c>
      <c r="C23" s="17"/>
      <c r="D23" s="17"/>
      <c r="E23" s="10">
        <v>4917.0</v>
      </c>
      <c r="F23" s="221">
        <v>4917.0</v>
      </c>
      <c r="G23" s="159"/>
      <c r="H23" s="10">
        <v>5.0</v>
      </c>
      <c r="I23" s="10" t="s">
        <v>1545</v>
      </c>
      <c r="J23" s="10">
        <v>12500.0</v>
      </c>
      <c r="K23" s="10">
        <v>12500.0</v>
      </c>
      <c r="L23" s="10">
        <v>12500.0</v>
      </c>
      <c r="M23" s="221">
        <v>37500.0</v>
      </c>
      <c r="N23" s="159"/>
      <c r="O23" s="10">
        <v>5.0</v>
      </c>
      <c r="P23" s="10" t="s">
        <v>1545</v>
      </c>
      <c r="Q23" s="10">
        <v>12500.0</v>
      </c>
      <c r="R23" s="10">
        <v>12500.0</v>
      </c>
      <c r="S23" s="10">
        <v>12500.0</v>
      </c>
      <c r="T23" s="221">
        <v>37500.0</v>
      </c>
      <c r="U23" s="159"/>
      <c r="V23" s="10">
        <v>5.0</v>
      </c>
      <c r="W23" s="10" t="s">
        <v>1545</v>
      </c>
      <c r="X23" s="10">
        <v>12500.0</v>
      </c>
      <c r="Y23" s="10">
        <v>12500.0</v>
      </c>
      <c r="Z23" s="10">
        <v>12500.0</v>
      </c>
      <c r="AA23" s="221">
        <v>37500.0</v>
      </c>
      <c r="AB23" s="229"/>
      <c r="AC23" s="229"/>
      <c r="AD23" s="229"/>
      <c r="AE23" s="229"/>
    </row>
    <row r="24">
      <c r="A24" s="10">
        <v>6.0</v>
      </c>
      <c r="B24" s="10" t="s">
        <v>1545</v>
      </c>
      <c r="C24" s="17"/>
      <c r="D24" s="17"/>
      <c r="E24" s="10">
        <v>37500.0</v>
      </c>
      <c r="F24" s="221">
        <v>37500.0</v>
      </c>
      <c r="G24" s="159"/>
      <c r="H24" s="10">
        <v>6.0</v>
      </c>
      <c r="I24" s="10" t="s">
        <v>4109</v>
      </c>
      <c r="J24" s="10">
        <v>15000.0</v>
      </c>
      <c r="K24" s="10">
        <v>15000.0</v>
      </c>
      <c r="L24" s="10">
        <v>15000.0</v>
      </c>
      <c r="M24" s="221">
        <v>45000.0</v>
      </c>
      <c r="N24" s="159"/>
      <c r="O24" s="10">
        <v>6.0</v>
      </c>
      <c r="P24" s="10" t="s">
        <v>4109</v>
      </c>
      <c r="Q24" s="10">
        <v>15000.0</v>
      </c>
      <c r="R24" s="10">
        <v>15000.0</v>
      </c>
      <c r="S24" s="10">
        <v>15000.0</v>
      </c>
      <c r="T24" s="221">
        <v>45000.0</v>
      </c>
      <c r="U24" s="159"/>
      <c r="V24" s="10">
        <v>6.0</v>
      </c>
      <c r="W24" s="10" t="s">
        <v>4109</v>
      </c>
      <c r="X24" s="10">
        <v>16667.0</v>
      </c>
      <c r="Y24" s="10">
        <v>16667.0</v>
      </c>
      <c r="Z24" s="10">
        <v>16667.0</v>
      </c>
      <c r="AA24" s="221">
        <v>50000.0</v>
      </c>
      <c r="AB24" s="229"/>
      <c r="AC24" s="229"/>
      <c r="AD24" s="229"/>
      <c r="AE24" s="229"/>
    </row>
    <row r="25">
      <c r="A25" s="10">
        <v>7.0</v>
      </c>
      <c r="B25" s="10" t="s">
        <v>4109</v>
      </c>
      <c r="C25" s="10">
        <v>15000.0</v>
      </c>
      <c r="D25" s="10">
        <v>15000.0</v>
      </c>
      <c r="E25" s="10">
        <v>15000.0</v>
      </c>
      <c r="F25" s="221">
        <v>45000.0</v>
      </c>
      <c r="G25" s="159"/>
      <c r="H25" s="10">
        <v>7.0</v>
      </c>
      <c r="I25" s="10" t="s">
        <v>4110</v>
      </c>
      <c r="J25" s="10">
        <v>2000.0</v>
      </c>
      <c r="K25" s="10">
        <v>2000.0</v>
      </c>
      <c r="L25" s="10">
        <v>2000.0</v>
      </c>
      <c r="M25" s="221">
        <v>6000.0</v>
      </c>
      <c r="N25" s="159"/>
      <c r="O25" s="10">
        <v>7.0</v>
      </c>
      <c r="P25" s="10" t="s">
        <v>4110</v>
      </c>
      <c r="Q25" s="10">
        <v>2000.0</v>
      </c>
      <c r="R25" s="10">
        <v>2000.0</v>
      </c>
      <c r="S25" s="10">
        <v>2000.0</v>
      </c>
      <c r="T25" s="221">
        <v>6000.0</v>
      </c>
      <c r="U25" s="159"/>
      <c r="V25" s="10">
        <v>7.0</v>
      </c>
      <c r="W25" s="10" t="s">
        <v>4110</v>
      </c>
      <c r="X25" s="10">
        <v>3000.0</v>
      </c>
      <c r="Y25" s="10">
        <v>3000.0</v>
      </c>
      <c r="Z25" s="10">
        <v>3000.0</v>
      </c>
      <c r="AA25" s="221">
        <v>9000.0</v>
      </c>
      <c r="AB25" s="229"/>
      <c r="AC25" s="229"/>
      <c r="AD25" s="229"/>
      <c r="AE25" s="229"/>
    </row>
    <row r="26">
      <c r="A26" s="10">
        <v>8.0</v>
      </c>
      <c r="B26" s="10" t="s">
        <v>4110</v>
      </c>
      <c r="C26" s="10">
        <v>2000.0</v>
      </c>
      <c r="D26" s="10">
        <v>2000.0</v>
      </c>
      <c r="E26" s="10">
        <v>2000.0</v>
      </c>
      <c r="F26" s="221">
        <v>6000.0</v>
      </c>
      <c r="G26" s="159"/>
      <c r="H26" s="10">
        <v>8.0</v>
      </c>
      <c r="I26" s="10" t="s">
        <v>4111</v>
      </c>
      <c r="J26" s="17"/>
      <c r="K26" s="17"/>
      <c r="L26" s="17"/>
      <c r="M26" s="10">
        <v>0.0</v>
      </c>
      <c r="N26" s="159"/>
      <c r="O26" s="10">
        <v>8.0</v>
      </c>
      <c r="P26" s="10" t="s">
        <v>4111</v>
      </c>
      <c r="Q26" s="17"/>
      <c r="R26" s="17"/>
      <c r="S26" s="17"/>
      <c r="T26" s="10">
        <v>0.0</v>
      </c>
      <c r="U26" s="159"/>
      <c r="V26" s="10">
        <v>8.0</v>
      </c>
      <c r="W26" s="10" t="s">
        <v>4111</v>
      </c>
      <c r="X26" s="17"/>
      <c r="Y26" s="17"/>
      <c r="Z26" s="17"/>
      <c r="AA26" s="10">
        <v>0.0</v>
      </c>
      <c r="AB26" s="64"/>
      <c r="AC26" s="64"/>
      <c r="AD26" s="64"/>
      <c r="AE26" s="64"/>
    </row>
    <row r="27">
      <c r="A27" s="10">
        <v>9.0</v>
      </c>
      <c r="B27" s="10" t="s">
        <v>4111</v>
      </c>
      <c r="C27" s="17"/>
      <c r="D27" s="17"/>
      <c r="E27" s="17"/>
      <c r="F27" s="10">
        <v>0.0</v>
      </c>
      <c r="G27" s="159"/>
      <c r="H27" s="10">
        <v>9.0</v>
      </c>
      <c r="I27" s="10" t="s">
        <v>4116</v>
      </c>
      <c r="J27" s="17"/>
      <c r="K27" s="17"/>
      <c r="L27" s="17"/>
      <c r="M27" s="10">
        <v>0.0</v>
      </c>
      <c r="N27" s="159"/>
      <c r="O27" s="10">
        <v>9.0</v>
      </c>
      <c r="P27" s="10" t="s">
        <v>4116</v>
      </c>
      <c r="Q27" s="17"/>
      <c r="R27" s="17"/>
      <c r="S27" s="17"/>
      <c r="T27" s="10">
        <v>0.0</v>
      </c>
      <c r="U27" s="159"/>
      <c r="V27" s="10">
        <v>9.0</v>
      </c>
      <c r="W27" s="10" t="s">
        <v>4116</v>
      </c>
      <c r="X27" s="17"/>
      <c r="Y27" s="17"/>
      <c r="Z27" s="17"/>
      <c r="AA27" s="10">
        <v>0.0</v>
      </c>
      <c r="AB27" s="64"/>
      <c r="AC27" s="64"/>
      <c r="AD27" s="64"/>
      <c r="AE27" s="64"/>
    </row>
    <row r="28">
      <c r="A28" s="10">
        <v>10.0</v>
      </c>
      <c r="B28" s="10" t="s">
        <v>4116</v>
      </c>
      <c r="C28" s="17"/>
      <c r="D28" s="17"/>
      <c r="E28" s="10">
        <v>27850.0</v>
      </c>
      <c r="F28" s="221">
        <v>27850.0</v>
      </c>
      <c r="G28" s="159"/>
      <c r="H28" s="10">
        <v>10.0</v>
      </c>
      <c r="I28" s="10" t="s">
        <v>4126</v>
      </c>
      <c r="J28" s="17"/>
      <c r="K28" s="17"/>
      <c r="L28" s="17"/>
      <c r="M28" s="10">
        <v>0.0</v>
      </c>
      <c r="N28" s="159"/>
      <c r="O28" s="10">
        <v>10.0</v>
      </c>
      <c r="P28" s="10" t="s">
        <v>4126</v>
      </c>
      <c r="Q28" s="17"/>
      <c r="R28" s="17"/>
      <c r="S28" s="17"/>
      <c r="T28" s="10">
        <v>0.0</v>
      </c>
      <c r="U28" s="159"/>
      <c r="V28" s="10">
        <v>10.0</v>
      </c>
      <c r="W28" s="10" t="s">
        <v>4126</v>
      </c>
      <c r="X28" s="17"/>
      <c r="Y28" s="17"/>
      <c r="Z28" s="17"/>
      <c r="AA28" s="10">
        <v>0.0</v>
      </c>
      <c r="AB28" s="64"/>
      <c r="AC28" s="64"/>
      <c r="AD28" s="64"/>
      <c r="AE28" s="64"/>
    </row>
    <row r="29">
      <c r="A29" s="10">
        <v>11.0</v>
      </c>
      <c r="B29" s="10" t="s">
        <v>4126</v>
      </c>
      <c r="C29" s="17"/>
      <c r="D29" s="17"/>
      <c r="E29" s="17"/>
      <c r="F29" s="10">
        <v>0.0</v>
      </c>
      <c r="G29" s="159"/>
      <c r="H29" s="10">
        <v>11.0</v>
      </c>
      <c r="I29" s="10" t="s">
        <v>4133</v>
      </c>
      <c r="J29" s="17"/>
      <c r="K29" s="17"/>
      <c r="L29" s="17"/>
      <c r="M29" s="10">
        <v>0.0</v>
      </c>
      <c r="N29" s="159"/>
      <c r="O29" s="10">
        <v>11.0</v>
      </c>
      <c r="P29" s="10" t="s">
        <v>4133</v>
      </c>
      <c r="Q29" s="17"/>
      <c r="R29" s="17"/>
      <c r="S29" s="17"/>
      <c r="T29" s="10">
        <v>0.0</v>
      </c>
      <c r="U29" s="159"/>
      <c r="V29" s="10">
        <v>11.0</v>
      </c>
      <c r="W29" s="10" t="s">
        <v>4133</v>
      </c>
      <c r="X29" s="17"/>
      <c r="Y29" s="17"/>
      <c r="Z29" s="17"/>
      <c r="AA29" s="10">
        <v>0.0</v>
      </c>
      <c r="AB29" s="64"/>
      <c r="AC29" s="64"/>
      <c r="AD29" s="64"/>
      <c r="AE29" s="64"/>
    </row>
    <row r="30">
      <c r="A30" s="10">
        <v>12.0</v>
      </c>
      <c r="B30" s="10" t="s">
        <v>4133</v>
      </c>
      <c r="C30" s="17"/>
      <c r="D30" s="17"/>
      <c r="E30" s="17"/>
      <c r="F30" s="10">
        <v>0.0</v>
      </c>
      <c r="G30" s="159"/>
      <c r="H30" s="17"/>
      <c r="I30" s="139" t="s">
        <v>2394</v>
      </c>
      <c r="J30" s="3"/>
      <c r="K30" s="3"/>
      <c r="L30" s="5"/>
      <c r="M30" s="99" t="s">
        <v>4195</v>
      </c>
      <c r="N30" s="159"/>
      <c r="O30" s="17"/>
      <c r="P30" s="139" t="s">
        <v>2394</v>
      </c>
      <c r="Q30" s="3"/>
      <c r="R30" s="3"/>
      <c r="S30" s="5"/>
      <c r="T30" s="99" t="s">
        <v>4199</v>
      </c>
      <c r="U30" s="159"/>
      <c r="V30" s="17"/>
      <c r="W30" s="139" t="s">
        <v>2394</v>
      </c>
      <c r="X30" s="3"/>
      <c r="Y30" s="3"/>
      <c r="Z30" s="5"/>
      <c r="AA30" s="99" t="s">
        <v>4202</v>
      </c>
      <c r="AB30" s="218"/>
      <c r="AC30" s="218"/>
      <c r="AD30" s="218"/>
      <c r="AE30" s="218"/>
    </row>
    <row r="31">
      <c r="A31" s="17"/>
      <c r="B31" s="139" t="s">
        <v>2394</v>
      </c>
      <c r="C31" s="3"/>
      <c r="D31" s="3"/>
      <c r="E31" s="5"/>
      <c r="F31" s="99" t="s">
        <v>4206</v>
      </c>
      <c r="G31" s="159"/>
      <c r="H31" s="159"/>
      <c r="I31" s="159"/>
      <c r="J31" s="159"/>
      <c r="K31" s="159"/>
      <c r="L31" s="159"/>
      <c r="M31" s="159"/>
      <c r="N31" s="159"/>
      <c r="O31" s="159"/>
      <c r="P31" s="159"/>
      <c r="Q31" s="159"/>
      <c r="R31" s="159"/>
      <c r="S31" s="159"/>
      <c r="T31" s="159"/>
      <c r="U31" s="159"/>
      <c r="V31" s="159"/>
      <c r="W31" s="159"/>
      <c r="X31" s="159"/>
      <c r="Y31" s="159"/>
      <c r="Z31" s="159"/>
      <c r="AA31" s="159"/>
      <c r="AB31" s="159"/>
      <c r="AC31" s="159"/>
      <c r="AD31" s="159"/>
      <c r="AE31" s="159"/>
    </row>
    <row r="32">
      <c r="A32" s="159"/>
      <c r="B32" s="159"/>
      <c r="C32" s="159"/>
      <c r="D32" s="159"/>
      <c r="E32" s="159"/>
      <c r="F32" s="159"/>
      <c r="G32" s="159"/>
      <c r="H32" s="159"/>
      <c r="I32" s="159"/>
      <c r="J32" s="159"/>
      <c r="K32" s="159"/>
      <c r="L32" s="159"/>
      <c r="M32" s="159"/>
      <c r="N32" s="159"/>
      <c r="O32" s="159"/>
      <c r="P32" s="159"/>
      <c r="Q32" s="159"/>
      <c r="R32" s="159"/>
      <c r="S32" s="159"/>
      <c r="T32" s="159"/>
      <c r="U32" s="159"/>
      <c r="V32" s="159"/>
      <c r="W32" s="159"/>
      <c r="X32" s="159"/>
      <c r="Y32" s="159"/>
      <c r="Z32" s="159"/>
      <c r="AA32" s="159"/>
      <c r="AB32" s="159"/>
      <c r="AC32" s="159"/>
      <c r="AD32" s="159"/>
      <c r="AE32" s="159"/>
    </row>
    <row r="33">
      <c r="A33" s="159"/>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9"/>
      <c r="AC33" s="159"/>
      <c r="AD33" s="159"/>
      <c r="AE33" s="159"/>
    </row>
    <row r="34">
      <c r="A34" s="217" t="s">
        <v>4224</v>
      </c>
      <c r="B34" s="3"/>
      <c r="C34" s="3"/>
      <c r="D34" s="3"/>
      <c r="E34" s="3"/>
      <c r="F34" s="5"/>
      <c r="G34" s="159"/>
      <c r="H34" s="114" t="s">
        <v>4225</v>
      </c>
      <c r="I34" s="3"/>
      <c r="J34" s="3"/>
      <c r="K34" s="3"/>
      <c r="L34" s="3"/>
      <c r="M34" s="3"/>
      <c r="N34" s="5"/>
      <c r="O34" s="159"/>
      <c r="P34" s="114" t="s">
        <v>4226</v>
      </c>
      <c r="Q34" s="3"/>
      <c r="R34" s="3"/>
      <c r="S34" s="3"/>
      <c r="T34" s="3"/>
      <c r="U34" s="3"/>
      <c r="V34" s="5"/>
      <c r="W34" s="114" t="s">
        <v>4227</v>
      </c>
      <c r="X34" s="3"/>
      <c r="Y34" s="3"/>
      <c r="Z34" s="3"/>
      <c r="AA34" s="3"/>
      <c r="AB34" s="3"/>
      <c r="AC34" s="5"/>
      <c r="AD34" s="159"/>
      <c r="AE34" s="159"/>
    </row>
    <row r="35">
      <c r="A35" s="228" t="s">
        <v>2434</v>
      </c>
      <c r="B35" s="99" t="s">
        <v>4098</v>
      </c>
      <c r="C35" s="99" t="s">
        <v>4163</v>
      </c>
      <c r="D35" s="99" t="s">
        <v>4164</v>
      </c>
      <c r="E35" s="99" t="s">
        <v>4165</v>
      </c>
      <c r="F35" s="99" t="s">
        <v>4229</v>
      </c>
      <c r="G35" s="159"/>
      <c r="H35" s="235" t="s">
        <v>2434</v>
      </c>
      <c r="I35" s="235" t="s">
        <v>4233</v>
      </c>
      <c r="J35" s="235" t="s">
        <v>4234</v>
      </c>
      <c r="K35" s="235" t="s">
        <v>4236</v>
      </c>
      <c r="L35" s="235" t="s">
        <v>4237</v>
      </c>
      <c r="M35" s="236" t="s">
        <v>2394</v>
      </c>
      <c r="N35" s="237"/>
      <c r="O35" s="159"/>
      <c r="P35" s="203" t="s">
        <v>2434</v>
      </c>
      <c r="Q35" s="235" t="s">
        <v>4233</v>
      </c>
      <c r="R35" s="235" t="s">
        <v>4099</v>
      </c>
      <c r="S35" s="235" t="s">
        <v>4100</v>
      </c>
      <c r="T35" s="235" t="s">
        <v>4101</v>
      </c>
      <c r="U35" s="235" t="s">
        <v>4229</v>
      </c>
      <c r="V35" s="17"/>
      <c r="W35" s="203" t="s">
        <v>2434</v>
      </c>
      <c r="X35" s="235" t="s">
        <v>4233</v>
      </c>
      <c r="Y35" s="235" t="s">
        <v>4102</v>
      </c>
      <c r="Z35" s="235" t="s">
        <v>4103</v>
      </c>
      <c r="AA35" s="235" t="s">
        <v>4104</v>
      </c>
      <c r="AB35" s="235" t="s">
        <v>4229</v>
      </c>
      <c r="AC35" s="17"/>
      <c r="AD35" s="159"/>
      <c r="AE35" s="159"/>
    </row>
    <row r="36">
      <c r="A36" s="10">
        <v>1.0</v>
      </c>
      <c r="B36" s="10" t="s">
        <v>4036</v>
      </c>
      <c r="C36" s="221">
        <v>63000.0</v>
      </c>
      <c r="D36" s="221">
        <v>63000.0</v>
      </c>
      <c r="E36" s="221">
        <v>83000.0</v>
      </c>
      <c r="F36" s="10" t="s">
        <v>4263</v>
      </c>
      <c r="G36" s="159"/>
      <c r="H36" s="203">
        <v>1.0</v>
      </c>
      <c r="I36" s="203" t="s">
        <v>4264</v>
      </c>
      <c r="J36" s="239">
        <v>73000.0</v>
      </c>
      <c r="K36" s="239">
        <v>73000.0</v>
      </c>
      <c r="L36" s="239">
        <v>73000.0</v>
      </c>
      <c r="M36" s="239">
        <f t="shared" ref="M36:M46" si="1">J36+K36+L36</f>
        <v>219000</v>
      </c>
      <c r="N36" s="237"/>
      <c r="O36" s="159"/>
      <c r="P36" s="203">
        <v>1.0</v>
      </c>
      <c r="Q36" s="203" t="s">
        <v>4264</v>
      </c>
      <c r="R36" s="239">
        <v>73000.0</v>
      </c>
      <c r="S36" s="239">
        <v>73000.0</v>
      </c>
      <c r="T36" s="239">
        <v>73000.0</v>
      </c>
      <c r="U36" s="239">
        <f t="shared" ref="U36:U46" si="2">R36+S36+T36</f>
        <v>219000</v>
      </c>
      <c r="V36" s="17"/>
      <c r="W36" s="203">
        <v>1.0</v>
      </c>
      <c r="X36" s="203" t="s">
        <v>4264</v>
      </c>
      <c r="Y36" s="239">
        <v>73000.0</v>
      </c>
      <c r="Z36" s="239">
        <v>73000.0</v>
      </c>
      <c r="AA36" s="239">
        <v>73000.0</v>
      </c>
      <c r="AB36" s="239">
        <f t="shared" ref="AB36:AB45" si="3">Y36+Z36+AA36</f>
        <v>219000</v>
      </c>
      <c r="AC36" s="17"/>
      <c r="AD36" s="159"/>
      <c r="AE36" s="159"/>
    </row>
    <row r="37">
      <c r="A37" s="10">
        <v>2.0</v>
      </c>
      <c r="B37" s="10" t="s">
        <v>4106</v>
      </c>
      <c r="C37" s="221">
        <v>48229.0</v>
      </c>
      <c r="D37" s="221">
        <v>48229.0</v>
      </c>
      <c r="E37" s="221">
        <v>48229.0</v>
      </c>
      <c r="F37" s="10" t="s">
        <v>4186</v>
      </c>
      <c r="G37" s="159"/>
      <c r="H37" s="203">
        <v>2.0</v>
      </c>
      <c r="I37" s="203" t="s">
        <v>4276</v>
      </c>
      <c r="J37" s="239">
        <v>48229.0</v>
      </c>
      <c r="K37" s="239">
        <v>48229.0</v>
      </c>
      <c r="L37" s="239">
        <v>48229.0</v>
      </c>
      <c r="M37" s="239">
        <f t="shared" si="1"/>
        <v>144687</v>
      </c>
      <c r="N37" s="237"/>
      <c r="O37" s="159"/>
      <c r="P37" s="203">
        <v>2.0</v>
      </c>
      <c r="Q37" s="203" t="s">
        <v>4279</v>
      </c>
      <c r="R37" s="239">
        <v>25000.0</v>
      </c>
      <c r="S37" s="239">
        <v>25000.0</v>
      </c>
      <c r="T37" s="239">
        <v>25000.0</v>
      </c>
      <c r="U37" s="239">
        <f t="shared" si="2"/>
        <v>75000</v>
      </c>
      <c r="V37" s="17"/>
      <c r="W37" s="203">
        <v>2.0</v>
      </c>
      <c r="X37" s="203" t="s">
        <v>4279</v>
      </c>
      <c r="Y37" s="239">
        <v>25000.0</v>
      </c>
      <c r="Z37" s="239">
        <v>25000.0</v>
      </c>
      <c r="AA37" s="239">
        <v>25000.0</v>
      </c>
      <c r="AB37" s="239">
        <f t="shared" si="3"/>
        <v>75000</v>
      </c>
      <c r="AC37" s="17"/>
      <c r="AD37" s="159"/>
      <c r="AE37" s="159"/>
    </row>
    <row r="38">
      <c r="A38" s="10">
        <v>3.0</v>
      </c>
      <c r="B38" s="10" t="s">
        <v>4107</v>
      </c>
      <c r="C38" s="10">
        <v>4200.0</v>
      </c>
      <c r="D38" s="10">
        <v>10000.0</v>
      </c>
      <c r="E38" s="10">
        <v>10000.0</v>
      </c>
      <c r="F38" s="221">
        <v>24200.0</v>
      </c>
      <c r="G38" s="159"/>
      <c r="H38" s="203">
        <v>3.0</v>
      </c>
      <c r="I38" s="203" t="s">
        <v>4282</v>
      </c>
      <c r="J38" s="239">
        <v>10000.0</v>
      </c>
      <c r="K38" s="239">
        <v>10000.0</v>
      </c>
      <c r="L38" s="239">
        <v>25000.0</v>
      </c>
      <c r="M38" s="239">
        <f t="shared" si="1"/>
        <v>45000</v>
      </c>
      <c r="N38" s="237"/>
      <c r="O38" s="159"/>
      <c r="P38" s="203">
        <v>3.0</v>
      </c>
      <c r="Q38" s="203" t="s">
        <v>4286</v>
      </c>
      <c r="R38" s="239">
        <v>25000.0</v>
      </c>
      <c r="S38" s="239">
        <v>25000.0</v>
      </c>
      <c r="T38" s="239">
        <v>25000.0</v>
      </c>
      <c r="U38" s="239">
        <f t="shared" si="2"/>
        <v>75000</v>
      </c>
      <c r="V38" s="17"/>
      <c r="W38" s="203">
        <v>3.0</v>
      </c>
      <c r="X38" s="203" t="s">
        <v>4286</v>
      </c>
      <c r="Y38" s="239">
        <v>25000.0</v>
      </c>
      <c r="Z38" s="239">
        <v>25000.0</v>
      </c>
      <c r="AA38" s="239">
        <v>25000.0</v>
      </c>
      <c r="AB38" s="239">
        <f t="shared" si="3"/>
        <v>75000</v>
      </c>
      <c r="AC38" s="17"/>
      <c r="AD38" s="159"/>
      <c r="AE38" s="159"/>
    </row>
    <row r="39">
      <c r="A39" s="10">
        <v>4.0</v>
      </c>
      <c r="B39" s="10" t="s">
        <v>4108</v>
      </c>
      <c r="C39" s="17"/>
      <c r="D39" s="17"/>
      <c r="E39" s="17"/>
      <c r="F39" s="10">
        <v>0.0</v>
      </c>
      <c r="G39" s="159"/>
      <c r="H39" s="203">
        <v>4.0</v>
      </c>
      <c r="I39" s="203" t="s">
        <v>4289</v>
      </c>
      <c r="J39" s="242"/>
      <c r="K39" s="242"/>
      <c r="L39" s="239">
        <v>13680.0</v>
      </c>
      <c r="M39" s="239">
        <f t="shared" si="1"/>
        <v>13680</v>
      </c>
      <c r="N39" s="243" t="s">
        <v>4294</v>
      </c>
      <c r="O39" s="159"/>
      <c r="P39" s="203">
        <v>4.0</v>
      </c>
      <c r="Q39" s="203" t="s">
        <v>4289</v>
      </c>
      <c r="R39" s="242"/>
      <c r="S39" s="242"/>
      <c r="T39" s="239">
        <v>23600.0</v>
      </c>
      <c r="U39" s="239">
        <f t="shared" si="2"/>
        <v>23600</v>
      </c>
      <c r="V39" s="203" t="s">
        <v>4295</v>
      </c>
      <c r="W39" s="203">
        <v>4.0</v>
      </c>
      <c r="X39" s="203" t="s">
        <v>4289</v>
      </c>
      <c r="Y39" s="242"/>
      <c r="Z39" s="242"/>
      <c r="AA39" s="242"/>
      <c r="AB39" s="239">
        <f t="shared" si="3"/>
        <v>0</v>
      </c>
      <c r="AC39" s="17"/>
      <c r="AD39" s="159"/>
      <c r="AE39" s="159"/>
    </row>
    <row r="40">
      <c r="A40" s="10">
        <v>5.0</v>
      </c>
      <c r="B40" s="10" t="s">
        <v>1545</v>
      </c>
      <c r="C40" s="10">
        <v>12500.0</v>
      </c>
      <c r="D40" s="10">
        <v>12500.0</v>
      </c>
      <c r="E40" s="10">
        <v>12500.0</v>
      </c>
      <c r="F40" s="221">
        <v>37500.0</v>
      </c>
      <c r="G40" s="159"/>
      <c r="H40" s="203">
        <v>5.0</v>
      </c>
      <c r="I40" s="203" t="s">
        <v>4297</v>
      </c>
      <c r="J40" s="239">
        <v>12500.0</v>
      </c>
      <c r="K40" s="239">
        <v>12500.0</v>
      </c>
      <c r="L40" s="239">
        <v>12500.0</v>
      </c>
      <c r="M40" s="239">
        <f t="shared" si="1"/>
        <v>37500</v>
      </c>
      <c r="N40" s="237"/>
      <c r="O40" s="159"/>
      <c r="P40" s="203">
        <v>5.0</v>
      </c>
      <c r="Q40" s="203" t="s">
        <v>4297</v>
      </c>
      <c r="R40" s="239">
        <v>12500.0</v>
      </c>
      <c r="S40" s="239">
        <v>12500.0</v>
      </c>
      <c r="T40" s="239">
        <v>12500.0</v>
      </c>
      <c r="U40" s="239">
        <f t="shared" si="2"/>
        <v>37500</v>
      </c>
      <c r="V40" s="17"/>
      <c r="W40" s="203">
        <v>5.0</v>
      </c>
      <c r="X40" s="203" t="s">
        <v>4297</v>
      </c>
      <c r="Y40" s="239">
        <v>12500.0</v>
      </c>
      <c r="Z40" s="239">
        <v>12500.0</v>
      </c>
      <c r="AA40" s="239">
        <v>12500.0</v>
      </c>
      <c r="AB40" s="239">
        <f t="shared" si="3"/>
        <v>37500</v>
      </c>
      <c r="AC40" s="17"/>
      <c r="AD40" s="159"/>
      <c r="AE40" s="159"/>
    </row>
    <row r="41">
      <c r="A41" s="10">
        <v>6.0</v>
      </c>
      <c r="B41" s="10" t="s">
        <v>4109</v>
      </c>
      <c r="C41" s="10">
        <v>20000.0</v>
      </c>
      <c r="D41" s="10">
        <v>20000.0</v>
      </c>
      <c r="E41" s="10">
        <v>20000.0</v>
      </c>
      <c r="F41" s="221">
        <v>60000.0</v>
      </c>
      <c r="G41" s="159"/>
      <c r="H41" s="203">
        <v>6.0</v>
      </c>
      <c r="I41" s="203" t="s">
        <v>4306</v>
      </c>
      <c r="J41" s="239">
        <v>20000.0</v>
      </c>
      <c r="K41" s="239">
        <v>20000.0</v>
      </c>
      <c r="L41" s="239">
        <v>20000.0</v>
      </c>
      <c r="M41" s="239">
        <f t="shared" si="1"/>
        <v>60000</v>
      </c>
      <c r="N41" s="237"/>
      <c r="O41" s="159"/>
      <c r="P41" s="203">
        <v>6.0</v>
      </c>
      <c r="Q41" s="203" t="s">
        <v>4306</v>
      </c>
      <c r="R41" s="239">
        <v>20000.0</v>
      </c>
      <c r="S41" s="239">
        <v>20000.0</v>
      </c>
      <c r="T41" s="239">
        <v>20000.0</v>
      </c>
      <c r="U41" s="239">
        <f t="shared" si="2"/>
        <v>60000</v>
      </c>
      <c r="V41" s="17"/>
      <c r="W41" s="203">
        <v>6.0</v>
      </c>
      <c r="X41" s="203" t="s">
        <v>4306</v>
      </c>
      <c r="Y41" s="239">
        <v>20000.0</v>
      </c>
      <c r="Z41" s="239">
        <v>20000.0</v>
      </c>
      <c r="AA41" s="239">
        <v>20000.0</v>
      </c>
      <c r="AB41" s="239">
        <f t="shared" si="3"/>
        <v>60000</v>
      </c>
      <c r="AC41" s="17"/>
      <c r="AD41" s="159"/>
      <c r="AE41" s="159"/>
    </row>
    <row r="42">
      <c r="A42" s="10">
        <v>7.0</v>
      </c>
      <c r="B42" s="10" t="s">
        <v>4110</v>
      </c>
      <c r="C42" s="10">
        <v>5000.0</v>
      </c>
      <c r="D42" s="10">
        <v>5000.0</v>
      </c>
      <c r="E42" s="10">
        <v>5000.0</v>
      </c>
      <c r="F42" s="221">
        <v>15000.0</v>
      </c>
      <c r="G42" s="159"/>
      <c r="H42" s="203">
        <v>7.0</v>
      </c>
      <c r="I42" s="203" t="s">
        <v>4315</v>
      </c>
      <c r="J42" s="239">
        <v>5000.0</v>
      </c>
      <c r="K42" s="239">
        <v>5000.0</v>
      </c>
      <c r="L42" s="239">
        <v>5000.0</v>
      </c>
      <c r="M42" s="239">
        <f t="shared" si="1"/>
        <v>15000</v>
      </c>
      <c r="N42" s="237"/>
      <c r="O42" s="159"/>
      <c r="P42" s="203">
        <v>7.0</v>
      </c>
      <c r="Q42" s="203" t="s">
        <v>4315</v>
      </c>
      <c r="R42" s="239">
        <v>5000.0</v>
      </c>
      <c r="S42" s="239">
        <v>5000.0</v>
      </c>
      <c r="T42" s="239">
        <v>5000.0</v>
      </c>
      <c r="U42" s="239">
        <f t="shared" si="2"/>
        <v>15000</v>
      </c>
      <c r="V42" s="17"/>
      <c r="W42" s="203">
        <v>7.0</v>
      </c>
      <c r="X42" s="203" t="s">
        <v>4315</v>
      </c>
      <c r="Y42" s="239">
        <v>5000.0</v>
      </c>
      <c r="Z42" s="239">
        <v>5000.0</v>
      </c>
      <c r="AA42" s="239">
        <v>5000.0</v>
      </c>
      <c r="AB42" s="239">
        <f t="shared" si="3"/>
        <v>15000</v>
      </c>
      <c r="AC42" s="17"/>
      <c r="AD42" s="159"/>
      <c r="AE42" s="159"/>
    </row>
    <row r="43">
      <c r="A43" s="10">
        <v>8.0</v>
      </c>
      <c r="B43" s="10" t="s">
        <v>4111</v>
      </c>
      <c r="C43" s="17"/>
      <c r="D43" s="17"/>
      <c r="E43" s="17"/>
      <c r="F43" s="10">
        <v>0.0</v>
      </c>
      <c r="G43" s="159"/>
      <c r="H43" s="203">
        <v>8.0</v>
      </c>
      <c r="I43" s="203" t="s">
        <v>4323</v>
      </c>
      <c r="J43" s="242"/>
      <c r="K43" s="242"/>
      <c r="L43" s="239">
        <v>5900.0</v>
      </c>
      <c r="M43" s="239">
        <f t="shared" si="1"/>
        <v>5900</v>
      </c>
      <c r="N43" s="243" t="s">
        <v>4326</v>
      </c>
      <c r="O43" s="159"/>
      <c r="P43" s="203">
        <v>8.0</v>
      </c>
      <c r="Q43" s="203" t="s">
        <v>4323</v>
      </c>
      <c r="R43" s="239">
        <v>9228.0</v>
      </c>
      <c r="S43" s="242"/>
      <c r="T43" s="239">
        <v>13570.0</v>
      </c>
      <c r="U43" s="239">
        <f t="shared" si="2"/>
        <v>22798</v>
      </c>
      <c r="V43" s="203" t="s">
        <v>4327</v>
      </c>
      <c r="W43" s="203">
        <v>8.0</v>
      </c>
      <c r="X43" s="203" t="s">
        <v>4323</v>
      </c>
      <c r="Y43" s="239">
        <v>3540.0</v>
      </c>
      <c r="Z43" s="242"/>
      <c r="AA43" s="242"/>
      <c r="AB43" s="239">
        <f t="shared" si="3"/>
        <v>3540</v>
      </c>
      <c r="AC43" s="203" t="s">
        <v>4329</v>
      </c>
      <c r="AD43" s="159"/>
      <c r="AE43" s="159"/>
    </row>
    <row r="44">
      <c r="A44" s="10">
        <v>9.0</v>
      </c>
      <c r="B44" s="10" t="s">
        <v>4116</v>
      </c>
      <c r="C44" s="17"/>
      <c r="D44" s="17"/>
      <c r="E44" s="10">
        <v>30707.0</v>
      </c>
      <c r="F44" s="221">
        <v>30707.0</v>
      </c>
      <c r="G44" s="159"/>
      <c r="H44" s="203">
        <v>9.0</v>
      </c>
      <c r="I44" s="203" t="s">
        <v>4332</v>
      </c>
      <c r="J44" s="242"/>
      <c r="K44" s="242"/>
      <c r="L44" s="239">
        <v>472.0</v>
      </c>
      <c r="M44" s="239">
        <f t="shared" si="1"/>
        <v>472</v>
      </c>
      <c r="N44" s="243" t="s">
        <v>4333</v>
      </c>
      <c r="O44" s="159"/>
      <c r="P44" s="203">
        <v>9.0</v>
      </c>
      <c r="Q44" s="203" t="s">
        <v>4332</v>
      </c>
      <c r="R44" s="239">
        <v>19871.0</v>
      </c>
      <c r="S44" s="239">
        <v>26758.0</v>
      </c>
      <c r="T44" s="242"/>
      <c r="U44" s="239">
        <f t="shared" si="2"/>
        <v>46629</v>
      </c>
      <c r="V44" s="17"/>
      <c r="W44" s="203">
        <v>9.0</v>
      </c>
      <c r="X44" s="203" t="s">
        <v>4332</v>
      </c>
      <c r="Y44" s="242"/>
      <c r="Z44" s="242"/>
      <c r="AA44" s="239">
        <v>19784.0</v>
      </c>
      <c r="AB44" s="239">
        <f t="shared" si="3"/>
        <v>19784</v>
      </c>
      <c r="AC44" s="203" t="s">
        <v>4341</v>
      </c>
      <c r="AD44" s="159"/>
      <c r="AE44" s="159"/>
    </row>
    <row r="45">
      <c r="A45" s="10">
        <v>10.0</v>
      </c>
      <c r="B45" s="10" t="s">
        <v>4126</v>
      </c>
      <c r="C45" s="17"/>
      <c r="D45" s="17"/>
      <c r="E45" s="17"/>
      <c r="F45" s="10">
        <v>0.0</v>
      </c>
      <c r="G45" s="159"/>
      <c r="H45" s="203">
        <v>10.0</v>
      </c>
      <c r="I45" s="203" t="s">
        <v>4342</v>
      </c>
      <c r="J45" s="242"/>
      <c r="K45" s="242"/>
      <c r="L45" s="242"/>
      <c r="M45" s="239">
        <f t="shared" si="1"/>
        <v>0</v>
      </c>
      <c r="N45" s="237"/>
      <c r="O45" s="159"/>
      <c r="P45" s="203">
        <v>10.0</v>
      </c>
      <c r="Q45" s="203" t="s">
        <v>4342</v>
      </c>
      <c r="R45" s="242"/>
      <c r="S45" s="242"/>
      <c r="T45" s="242"/>
      <c r="U45" s="239">
        <f t="shared" si="2"/>
        <v>0</v>
      </c>
      <c r="V45" s="17"/>
      <c r="W45" s="203">
        <v>10.0</v>
      </c>
      <c r="X45" s="203" t="s">
        <v>4342</v>
      </c>
      <c r="Y45" s="242"/>
      <c r="Z45" s="242"/>
      <c r="AA45" s="239">
        <v>122000.0</v>
      </c>
      <c r="AB45" s="239">
        <f t="shared" si="3"/>
        <v>122000</v>
      </c>
      <c r="AC45" s="203" t="s">
        <v>4352</v>
      </c>
      <c r="AD45" s="159"/>
      <c r="AE45" s="159"/>
    </row>
    <row r="46">
      <c r="A46" s="10">
        <v>11.0</v>
      </c>
      <c r="B46" s="10" t="s">
        <v>4133</v>
      </c>
      <c r="C46" s="17"/>
      <c r="D46" s="17"/>
      <c r="E46" s="10">
        <v>24008.0</v>
      </c>
      <c r="F46" s="221">
        <v>24008.0</v>
      </c>
      <c r="G46" s="159"/>
      <c r="H46" s="203">
        <v>11.0</v>
      </c>
      <c r="I46" s="203" t="s">
        <v>4353</v>
      </c>
      <c r="J46" s="242"/>
      <c r="K46" s="242"/>
      <c r="L46" s="242"/>
      <c r="M46" s="239">
        <f t="shared" si="1"/>
        <v>0</v>
      </c>
      <c r="N46" s="237"/>
      <c r="O46" s="159"/>
      <c r="P46" s="203">
        <v>11.0</v>
      </c>
      <c r="Q46" s="203" t="s">
        <v>4353</v>
      </c>
      <c r="R46" s="239">
        <v>45893.0</v>
      </c>
      <c r="S46" s="242"/>
      <c r="T46" s="242"/>
      <c r="U46" s="239">
        <f t="shared" si="2"/>
        <v>45893</v>
      </c>
      <c r="V46" s="203" t="s">
        <v>4355</v>
      </c>
      <c r="W46" s="203">
        <v>11.0</v>
      </c>
      <c r="X46" s="203" t="s">
        <v>4353</v>
      </c>
      <c r="Y46" s="17"/>
      <c r="Z46" s="17"/>
      <c r="AA46" s="17"/>
      <c r="AB46" s="244"/>
      <c r="AC46" s="17"/>
      <c r="AD46" s="159"/>
      <c r="AE46" s="159"/>
    </row>
    <row r="47">
      <c r="A47" s="17"/>
      <c r="B47" s="139" t="s">
        <v>2394</v>
      </c>
      <c r="C47" s="3"/>
      <c r="D47" s="3"/>
      <c r="E47" s="5"/>
      <c r="F47" s="99" t="s">
        <v>4359</v>
      </c>
      <c r="G47" s="159"/>
      <c r="H47" s="17"/>
      <c r="I47" s="129" t="s">
        <v>2394</v>
      </c>
      <c r="J47" s="3"/>
      <c r="K47" s="3"/>
      <c r="L47" s="5"/>
      <c r="M47" s="245">
        <f>SUM(M36:M46)</f>
        <v>541239</v>
      </c>
      <c r="N47" s="237"/>
      <c r="O47" s="159"/>
      <c r="P47" s="17"/>
      <c r="Q47" s="129" t="s">
        <v>2394</v>
      </c>
      <c r="R47" s="3"/>
      <c r="S47" s="3"/>
      <c r="T47" s="5"/>
      <c r="U47" s="245">
        <f>SUM(U36:U46)</f>
        <v>620420</v>
      </c>
      <c r="V47" s="17"/>
      <c r="W47" s="17"/>
      <c r="X47" s="129" t="s">
        <v>2394</v>
      </c>
      <c r="Y47" s="3"/>
      <c r="Z47" s="3"/>
      <c r="AA47" s="5"/>
      <c r="AB47" s="245">
        <f>SUM(AB36:AB46)</f>
        <v>626824</v>
      </c>
      <c r="AC47" s="17"/>
      <c r="AD47" s="159"/>
      <c r="AE47" s="159"/>
    </row>
    <row r="48">
      <c r="A48" s="159"/>
      <c r="B48" s="159"/>
      <c r="C48" s="159"/>
      <c r="D48" s="159"/>
      <c r="E48" s="159"/>
      <c r="F48" s="159"/>
      <c r="G48" s="159"/>
      <c r="H48" s="159"/>
      <c r="I48" s="159"/>
      <c r="J48" s="159"/>
      <c r="K48" s="159"/>
      <c r="L48" s="159"/>
      <c r="M48" s="159"/>
      <c r="N48" s="159"/>
      <c r="O48" s="159"/>
      <c r="P48" s="159"/>
      <c r="Q48" s="159"/>
      <c r="R48" s="159"/>
      <c r="S48" s="159"/>
      <c r="T48" s="159"/>
      <c r="U48" s="159"/>
      <c r="V48" s="159"/>
      <c r="W48" s="159"/>
      <c r="X48" s="159"/>
      <c r="Y48" s="159"/>
      <c r="Z48" s="159"/>
      <c r="AA48" s="159"/>
      <c r="AB48" s="159"/>
      <c r="AC48" s="159"/>
      <c r="AD48" s="159"/>
      <c r="AE48" s="159"/>
    </row>
    <row r="49">
      <c r="A49" s="114" t="s">
        <v>4373</v>
      </c>
      <c r="B49" s="3"/>
      <c r="C49" s="3"/>
      <c r="D49" s="3"/>
      <c r="E49" s="3"/>
      <c r="F49" s="3"/>
      <c r="G49" s="3"/>
      <c r="H49" s="5"/>
      <c r="I49" s="246" t="s">
        <v>4375</v>
      </c>
      <c r="J49" s="3"/>
      <c r="K49" s="3"/>
      <c r="L49" s="3"/>
      <c r="M49" s="3"/>
      <c r="N49" s="3"/>
      <c r="O49" s="5"/>
      <c r="P49" s="217" t="s">
        <v>4376</v>
      </c>
      <c r="Q49" s="3"/>
      <c r="R49" s="3"/>
      <c r="S49" s="3"/>
      <c r="T49" s="3"/>
      <c r="U49" s="3"/>
      <c r="V49" s="5"/>
      <c r="W49" s="159"/>
      <c r="X49" s="159"/>
      <c r="Y49" s="159"/>
      <c r="Z49" s="159"/>
      <c r="AA49" s="159"/>
      <c r="AB49" s="159"/>
      <c r="AC49" s="159"/>
      <c r="AD49" s="159"/>
      <c r="AE49" s="159"/>
    </row>
    <row r="50">
      <c r="A50" s="203" t="s">
        <v>2434</v>
      </c>
      <c r="B50" s="235" t="s">
        <v>4233</v>
      </c>
      <c r="C50" s="235" t="s">
        <v>4380</v>
      </c>
      <c r="D50" s="235" t="s">
        <v>4382</v>
      </c>
      <c r="E50" s="235" t="s">
        <v>4383</v>
      </c>
      <c r="F50" s="236" t="s">
        <v>2394</v>
      </c>
      <c r="G50" s="17"/>
      <c r="H50" s="161"/>
      <c r="I50" s="203" t="s">
        <v>2434</v>
      </c>
      <c r="J50" s="235" t="s">
        <v>4233</v>
      </c>
      <c r="K50" s="235" t="s">
        <v>4163</v>
      </c>
      <c r="L50" s="235" t="s">
        <v>4164</v>
      </c>
      <c r="M50" s="235" t="s">
        <v>4165</v>
      </c>
      <c r="N50" s="235" t="s">
        <v>2394</v>
      </c>
      <c r="O50" s="17"/>
      <c r="P50" s="17" t="s">
        <v>2434</v>
      </c>
      <c r="Q50" s="131" t="s">
        <v>4233</v>
      </c>
      <c r="R50" s="131" t="s">
        <v>4099</v>
      </c>
      <c r="S50" s="131" t="s">
        <v>4386</v>
      </c>
      <c r="T50" s="131" t="s">
        <v>4387</v>
      </c>
      <c r="U50" s="131" t="s">
        <v>2394</v>
      </c>
      <c r="V50" s="17"/>
      <c r="W50" s="159"/>
      <c r="X50" s="159"/>
      <c r="Y50" s="159"/>
      <c r="Z50" s="159"/>
      <c r="AA50" s="159"/>
      <c r="AB50" s="159"/>
      <c r="AC50" s="159"/>
      <c r="AD50" s="159"/>
      <c r="AE50" s="159"/>
    </row>
    <row r="51">
      <c r="A51" s="203">
        <v>1.0</v>
      </c>
      <c r="B51" s="203" t="s">
        <v>4264</v>
      </c>
      <c r="C51" s="239">
        <v>73000.0</v>
      </c>
      <c r="D51" s="239">
        <v>73000.0</v>
      </c>
      <c r="E51" s="239">
        <v>93000.0</v>
      </c>
      <c r="F51" s="239">
        <f t="shared" ref="F51:F60" si="4">C51+D51+E51</f>
        <v>239000</v>
      </c>
      <c r="G51" s="17"/>
      <c r="H51" s="161"/>
      <c r="I51" s="203">
        <v>1.0</v>
      </c>
      <c r="J51" s="203" t="s">
        <v>4264</v>
      </c>
      <c r="K51" s="239">
        <v>83000.0</v>
      </c>
      <c r="L51" s="239">
        <v>83000.0</v>
      </c>
      <c r="M51" s="239">
        <v>83000.0</v>
      </c>
      <c r="N51" s="239">
        <f t="shared" ref="N51:N61" si="5">K51+L51+M51</f>
        <v>249000</v>
      </c>
      <c r="O51" s="17"/>
      <c r="P51" s="17">
        <v>1.0</v>
      </c>
      <c r="Q51" s="17" t="s">
        <v>4264</v>
      </c>
      <c r="R51" s="244">
        <v>83000.0</v>
      </c>
      <c r="S51" s="17">
        <v>83000.0</v>
      </c>
      <c r="T51" s="244">
        <v>83000.0</v>
      </c>
      <c r="U51" s="244">
        <f t="shared" ref="U51:U61" si="6">R51+S51+T51</f>
        <v>249000</v>
      </c>
      <c r="V51" s="17"/>
      <c r="W51" s="159"/>
      <c r="X51" s="159"/>
      <c r="Y51" s="159"/>
      <c r="Z51" s="159"/>
      <c r="AA51" s="159"/>
      <c r="AB51" s="159"/>
      <c r="AC51" s="159"/>
      <c r="AD51" s="159"/>
      <c r="AE51" s="159"/>
    </row>
    <row r="52">
      <c r="A52" s="203">
        <v>2.0</v>
      </c>
      <c r="B52" s="203" t="s">
        <v>4279</v>
      </c>
      <c r="C52" s="239">
        <v>25000.0</v>
      </c>
      <c r="D52" s="239">
        <v>25000.0</v>
      </c>
      <c r="E52" s="239">
        <v>25000.0</v>
      </c>
      <c r="F52" s="239">
        <f t="shared" si="4"/>
        <v>75000</v>
      </c>
      <c r="G52" s="17"/>
      <c r="H52" s="161"/>
      <c r="I52" s="203">
        <v>2.0</v>
      </c>
      <c r="J52" s="203" t="s">
        <v>4279</v>
      </c>
      <c r="K52" s="239">
        <v>25000.0</v>
      </c>
      <c r="L52" s="239">
        <v>25000.0</v>
      </c>
      <c r="M52" s="239">
        <v>25000.0</v>
      </c>
      <c r="N52" s="239">
        <f t="shared" si="5"/>
        <v>75000</v>
      </c>
      <c r="O52" s="17"/>
      <c r="P52" s="17">
        <v>2.0</v>
      </c>
      <c r="Q52" s="17" t="s">
        <v>4279</v>
      </c>
      <c r="R52" s="17">
        <v>25000.0</v>
      </c>
      <c r="S52" s="17">
        <v>25000.0</v>
      </c>
      <c r="T52" s="17">
        <v>25000.0</v>
      </c>
      <c r="U52" s="244">
        <f t="shared" si="6"/>
        <v>75000</v>
      </c>
      <c r="V52" s="17"/>
      <c r="W52" s="159"/>
      <c r="X52" s="159"/>
      <c r="Y52" s="159"/>
      <c r="Z52" s="159"/>
      <c r="AA52" s="159"/>
      <c r="AB52" s="159"/>
      <c r="AC52" s="159"/>
      <c r="AD52" s="159"/>
      <c r="AE52" s="159"/>
    </row>
    <row r="53">
      <c r="A53" s="203">
        <v>3.0</v>
      </c>
      <c r="B53" s="203" t="s">
        <v>4286</v>
      </c>
      <c r="C53" s="239">
        <v>25000.0</v>
      </c>
      <c r="D53" s="239">
        <v>25000.0</v>
      </c>
      <c r="E53" s="239">
        <v>25000.0</v>
      </c>
      <c r="F53" s="239">
        <f t="shared" si="4"/>
        <v>75000</v>
      </c>
      <c r="G53" s="17"/>
      <c r="H53" s="161"/>
      <c r="I53" s="203">
        <v>3.0</v>
      </c>
      <c r="J53" s="203" t="s">
        <v>4286</v>
      </c>
      <c r="K53" s="239">
        <v>25000.0</v>
      </c>
      <c r="L53" s="239">
        <v>25000.0</v>
      </c>
      <c r="M53" s="239">
        <v>25000.0</v>
      </c>
      <c r="N53" s="239">
        <f t="shared" si="5"/>
        <v>75000</v>
      </c>
      <c r="O53" s="17"/>
      <c r="P53" s="17">
        <v>3.0</v>
      </c>
      <c r="Q53" s="17" t="s">
        <v>4286</v>
      </c>
      <c r="R53" s="17">
        <v>25000.0</v>
      </c>
      <c r="S53" s="17">
        <v>25000.0</v>
      </c>
      <c r="T53" s="17">
        <v>25000.0</v>
      </c>
      <c r="U53" s="244">
        <f t="shared" si="6"/>
        <v>75000</v>
      </c>
      <c r="V53" s="17"/>
      <c r="W53" s="159"/>
      <c r="X53" s="159"/>
      <c r="Y53" s="159"/>
      <c r="Z53" s="159"/>
      <c r="AA53" s="159"/>
      <c r="AB53" s="159"/>
      <c r="AC53" s="159"/>
      <c r="AD53" s="159"/>
      <c r="AE53" s="159"/>
    </row>
    <row r="54">
      <c r="A54" s="203">
        <v>4.0</v>
      </c>
      <c r="B54" s="203" t="s">
        <v>4289</v>
      </c>
      <c r="C54" s="242"/>
      <c r="D54" s="242"/>
      <c r="E54" s="239">
        <v>7080.0</v>
      </c>
      <c r="F54" s="239">
        <f t="shared" si="4"/>
        <v>7080</v>
      </c>
      <c r="G54" s="203" t="s">
        <v>4409</v>
      </c>
      <c r="H54" s="161"/>
      <c r="I54" s="203">
        <v>4.0</v>
      </c>
      <c r="J54" s="203" t="s">
        <v>4289</v>
      </c>
      <c r="K54" s="242"/>
      <c r="L54" s="242"/>
      <c r="M54" s="242"/>
      <c r="N54" s="239">
        <f t="shared" si="5"/>
        <v>0</v>
      </c>
      <c r="O54" s="17"/>
      <c r="P54" s="17">
        <v>4.0</v>
      </c>
      <c r="Q54" s="17" t="s">
        <v>4289</v>
      </c>
      <c r="R54" s="17"/>
      <c r="S54" s="17"/>
      <c r="T54" s="17"/>
      <c r="U54" s="244">
        <f t="shared" si="6"/>
        <v>0</v>
      </c>
      <c r="V54" s="17"/>
      <c r="W54" s="159"/>
      <c r="X54" s="159"/>
      <c r="Y54" s="159"/>
      <c r="Z54" s="159"/>
      <c r="AA54" s="159"/>
      <c r="AB54" s="159"/>
      <c r="AC54" s="159"/>
      <c r="AD54" s="159"/>
      <c r="AE54" s="159"/>
    </row>
    <row r="55">
      <c r="A55" s="203">
        <v>5.0</v>
      </c>
      <c r="B55" s="203" t="s">
        <v>4297</v>
      </c>
      <c r="C55" s="239">
        <v>12500.0</v>
      </c>
      <c r="D55" s="239">
        <v>12500.0</v>
      </c>
      <c r="E55" s="239">
        <v>12500.0</v>
      </c>
      <c r="F55" s="239">
        <f t="shared" si="4"/>
        <v>37500</v>
      </c>
      <c r="G55" s="17"/>
      <c r="H55" s="161"/>
      <c r="I55" s="203">
        <v>5.0</v>
      </c>
      <c r="J55" s="203" t="s">
        <v>4297</v>
      </c>
      <c r="K55" s="239">
        <v>12500.0</v>
      </c>
      <c r="L55" s="239">
        <v>12500.0</v>
      </c>
      <c r="M55" s="242"/>
      <c r="N55" s="239">
        <f t="shared" si="5"/>
        <v>25000</v>
      </c>
      <c r="O55" s="17"/>
      <c r="P55" s="17">
        <v>5.0</v>
      </c>
      <c r="Q55" s="17" t="s">
        <v>4297</v>
      </c>
      <c r="R55" s="17"/>
      <c r="S55" s="17"/>
      <c r="T55" s="17"/>
      <c r="U55" s="244">
        <f t="shared" si="6"/>
        <v>0</v>
      </c>
      <c r="V55" s="17"/>
      <c r="W55" s="159"/>
      <c r="X55" s="159"/>
      <c r="Y55" s="159"/>
      <c r="Z55" s="159"/>
      <c r="AA55" s="159"/>
      <c r="AB55" s="159"/>
      <c r="AC55" s="159"/>
      <c r="AD55" s="159"/>
      <c r="AE55" s="159"/>
    </row>
    <row r="56">
      <c r="A56" s="203">
        <v>6.0</v>
      </c>
      <c r="B56" s="203" t="s">
        <v>4306</v>
      </c>
      <c r="C56" s="239">
        <v>20000.0</v>
      </c>
      <c r="D56" s="239">
        <v>20000.0</v>
      </c>
      <c r="E56" s="239">
        <v>20000.0</v>
      </c>
      <c r="F56" s="239">
        <f t="shared" si="4"/>
        <v>60000</v>
      </c>
      <c r="G56" s="17"/>
      <c r="H56" s="161"/>
      <c r="I56" s="203">
        <v>6.0</v>
      </c>
      <c r="J56" s="203" t="s">
        <v>4306</v>
      </c>
      <c r="K56" s="239">
        <v>20000.0</v>
      </c>
      <c r="L56" s="239">
        <v>20000.0</v>
      </c>
      <c r="M56" s="239">
        <v>20000.0</v>
      </c>
      <c r="N56" s="239">
        <f t="shared" si="5"/>
        <v>60000</v>
      </c>
      <c r="O56" s="17"/>
      <c r="P56" s="17">
        <v>6.0</v>
      </c>
      <c r="Q56" s="17" t="s">
        <v>4306</v>
      </c>
      <c r="R56" s="17">
        <v>20000.0</v>
      </c>
      <c r="S56" s="17">
        <v>20000.0</v>
      </c>
      <c r="T56" s="17">
        <v>20000.0</v>
      </c>
      <c r="U56" s="244">
        <f t="shared" si="6"/>
        <v>60000</v>
      </c>
      <c r="V56" s="17"/>
      <c r="W56" s="159"/>
      <c r="X56" s="159"/>
      <c r="Y56" s="159"/>
      <c r="Z56" s="159"/>
      <c r="AA56" s="159"/>
      <c r="AB56" s="159"/>
      <c r="AC56" s="159"/>
      <c r="AD56" s="159"/>
      <c r="AE56" s="159"/>
    </row>
    <row r="57">
      <c r="A57" s="203">
        <v>7.0</v>
      </c>
      <c r="B57" s="203" t="s">
        <v>4315</v>
      </c>
      <c r="C57" s="239">
        <v>5000.0</v>
      </c>
      <c r="D57" s="239">
        <v>5000.0</v>
      </c>
      <c r="E57" s="239">
        <v>5000.0</v>
      </c>
      <c r="F57" s="239">
        <f t="shared" si="4"/>
        <v>15000</v>
      </c>
      <c r="G57" s="17"/>
      <c r="H57" s="161"/>
      <c r="I57" s="203">
        <v>7.0</v>
      </c>
      <c r="J57" s="203" t="s">
        <v>4315</v>
      </c>
      <c r="K57" s="239">
        <v>5000.0</v>
      </c>
      <c r="L57" s="239">
        <v>5000.0</v>
      </c>
      <c r="M57" s="239">
        <v>5000.0</v>
      </c>
      <c r="N57" s="239">
        <f t="shared" si="5"/>
        <v>15000</v>
      </c>
      <c r="O57" s="17"/>
      <c r="P57" s="17">
        <v>7.0</v>
      </c>
      <c r="Q57" s="17" t="s">
        <v>4315</v>
      </c>
      <c r="R57" s="17">
        <v>5000.0</v>
      </c>
      <c r="S57" s="17">
        <v>5000.0</v>
      </c>
      <c r="T57" s="17">
        <v>5000.0</v>
      </c>
      <c r="U57" s="244">
        <f t="shared" si="6"/>
        <v>15000</v>
      </c>
      <c r="V57" s="17"/>
      <c r="W57" s="159"/>
      <c r="X57" s="159"/>
      <c r="Y57" s="159"/>
      <c r="Z57" s="159"/>
      <c r="AA57" s="159"/>
      <c r="AB57" s="159"/>
      <c r="AC57" s="159"/>
      <c r="AD57" s="159"/>
      <c r="AE57" s="159"/>
    </row>
    <row r="58">
      <c r="A58" s="203">
        <v>8.0</v>
      </c>
      <c r="B58" s="203" t="s">
        <v>4323</v>
      </c>
      <c r="C58" s="242"/>
      <c r="D58" s="239">
        <v>7670.0</v>
      </c>
      <c r="E58" s="242"/>
      <c r="F58" s="239">
        <f t="shared" si="4"/>
        <v>7670</v>
      </c>
      <c r="G58" s="203" t="s">
        <v>4434</v>
      </c>
      <c r="H58" s="161"/>
      <c r="I58" s="203">
        <v>8.0</v>
      </c>
      <c r="J58" s="203" t="s">
        <v>4323</v>
      </c>
      <c r="K58" s="242"/>
      <c r="L58" s="239">
        <v>2950.0</v>
      </c>
      <c r="M58" s="242"/>
      <c r="N58" s="239">
        <f t="shared" si="5"/>
        <v>2950</v>
      </c>
      <c r="O58" s="203" t="s">
        <v>4435</v>
      </c>
      <c r="P58" s="17">
        <v>8.0</v>
      </c>
      <c r="Q58" s="17" t="s">
        <v>4323</v>
      </c>
      <c r="R58" s="17">
        <v>2832.0</v>
      </c>
      <c r="S58" s="17"/>
      <c r="T58" s="17">
        <v>20060.0</v>
      </c>
      <c r="U58" s="244">
        <f t="shared" si="6"/>
        <v>22892</v>
      </c>
      <c r="V58" s="17" t="s">
        <v>4437</v>
      </c>
      <c r="W58" s="159"/>
      <c r="X58" s="159"/>
      <c r="Y58" s="159"/>
      <c r="Z58" s="159"/>
      <c r="AA58" s="159"/>
      <c r="AB58" s="159"/>
      <c r="AC58" s="159"/>
      <c r="AD58" s="159"/>
      <c r="AE58" s="159"/>
    </row>
    <row r="59">
      <c r="A59" s="203">
        <v>9.0</v>
      </c>
      <c r="B59" s="203" t="s">
        <v>4332</v>
      </c>
      <c r="C59" s="242"/>
      <c r="D59" s="242"/>
      <c r="E59" s="242"/>
      <c r="F59" s="239">
        <f t="shared" si="4"/>
        <v>0</v>
      </c>
      <c r="G59" s="17"/>
      <c r="H59" s="161"/>
      <c r="I59" s="203">
        <v>9.0</v>
      </c>
      <c r="J59" s="203" t="s">
        <v>4332</v>
      </c>
      <c r="K59" s="239">
        <v>49914.0</v>
      </c>
      <c r="L59" s="242"/>
      <c r="M59" s="242"/>
      <c r="N59" s="239">
        <f t="shared" si="5"/>
        <v>49914</v>
      </c>
      <c r="O59" s="203" t="s">
        <v>4445</v>
      </c>
      <c r="P59" s="17">
        <v>9.0</v>
      </c>
      <c r="Q59" s="17" t="s">
        <v>4332</v>
      </c>
      <c r="R59" s="17">
        <v>20178.0</v>
      </c>
      <c r="S59" s="17">
        <v>1180.0</v>
      </c>
      <c r="T59" s="17"/>
      <c r="U59" s="244">
        <f t="shared" si="6"/>
        <v>21358</v>
      </c>
      <c r="V59" s="17" t="s">
        <v>4446</v>
      </c>
      <c r="W59" s="159"/>
      <c r="X59" s="159"/>
      <c r="Y59" s="159"/>
      <c r="Z59" s="159"/>
      <c r="AA59" s="159"/>
      <c r="AB59" s="159"/>
      <c r="AC59" s="159"/>
      <c r="AD59" s="159"/>
      <c r="AE59" s="159"/>
    </row>
    <row r="60">
      <c r="A60" s="203">
        <v>10.0</v>
      </c>
      <c r="B60" s="203" t="s">
        <v>4342</v>
      </c>
      <c r="C60" s="242"/>
      <c r="D60" s="239">
        <f>2478+2360</f>
        <v>4838</v>
      </c>
      <c r="E60" s="242"/>
      <c r="F60" s="239">
        <f t="shared" si="4"/>
        <v>4838</v>
      </c>
      <c r="G60" s="203" t="s">
        <v>4450</v>
      </c>
      <c r="H60" s="161"/>
      <c r="I60" s="203">
        <v>10.0</v>
      </c>
      <c r="J60" s="203" t="s">
        <v>4342</v>
      </c>
      <c r="K60" s="239">
        <f>22235+29500</f>
        <v>51735</v>
      </c>
      <c r="L60" s="242"/>
      <c r="M60" s="242"/>
      <c r="N60" s="239">
        <f t="shared" si="5"/>
        <v>51735</v>
      </c>
      <c r="O60" s="203" t="s">
        <v>4451</v>
      </c>
      <c r="P60" s="17">
        <v>10.0</v>
      </c>
      <c r="Q60" s="17" t="s">
        <v>4342</v>
      </c>
      <c r="R60" s="17"/>
      <c r="S60" s="17"/>
      <c r="T60" s="17"/>
      <c r="U60" s="244">
        <f t="shared" si="6"/>
        <v>0</v>
      </c>
      <c r="V60" s="17"/>
      <c r="W60" s="159"/>
      <c r="X60" s="159"/>
      <c r="Y60" s="159"/>
      <c r="Z60" s="159"/>
      <c r="AA60" s="159"/>
      <c r="AB60" s="159"/>
      <c r="AC60" s="159"/>
      <c r="AD60" s="159"/>
      <c r="AE60" s="159"/>
    </row>
    <row r="61">
      <c r="A61" s="203">
        <v>11.0</v>
      </c>
      <c r="B61" s="203" t="s">
        <v>4353</v>
      </c>
      <c r="C61" s="242"/>
      <c r="D61" s="239">
        <f>119000+87675+15576</f>
        <v>222251</v>
      </c>
      <c r="E61" s="242"/>
      <c r="F61" s="239">
        <f>C61+D61+E61-15576</f>
        <v>206675</v>
      </c>
      <c r="G61" s="203" t="s">
        <v>4458</v>
      </c>
      <c r="H61" s="161"/>
      <c r="I61" s="203">
        <v>11.0</v>
      </c>
      <c r="J61" s="203" t="s">
        <v>4353</v>
      </c>
      <c r="K61" s="239">
        <f>68000+29500+15576</f>
        <v>113076</v>
      </c>
      <c r="L61" s="242"/>
      <c r="M61" s="242"/>
      <c r="N61" s="239">
        <f t="shared" si="5"/>
        <v>113076</v>
      </c>
      <c r="O61" s="203" t="s">
        <v>4461</v>
      </c>
      <c r="P61" s="17">
        <v>11.0</v>
      </c>
      <c r="Q61" s="17" t="s">
        <v>4353</v>
      </c>
      <c r="R61" s="17"/>
      <c r="S61" s="17"/>
      <c r="T61" s="17">
        <v>16000.0</v>
      </c>
      <c r="U61" s="244">
        <f t="shared" si="6"/>
        <v>16000</v>
      </c>
      <c r="V61" s="17" t="s">
        <v>4464</v>
      </c>
      <c r="W61" s="159"/>
      <c r="X61" s="159"/>
      <c r="Y61" s="159"/>
      <c r="Z61" s="159"/>
      <c r="AA61" s="159"/>
      <c r="AB61" s="159"/>
      <c r="AC61" s="159"/>
      <c r="AD61" s="159"/>
      <c r="AE61" s="159"/>
    </row>
    <row r="62">
      <c r="A62" s="17"/>
      <c r="B62" s="129" t="s">
        <v>2394</v>
      </c>
      <c r="C62" s="3"/>
      <c r="D62" s="3"/>
      <c r="E62" s="5"/>
      <c r="F62" s="245">
        <f>SUM(F51:F61)</f>
        <v>727763</v>
      </c>
      <c r="G62" s="17"/>
      <c r="H62" s="17"/>
      <c r="I62" s="17"/>
      <c r="J62" s="129" t="s">
        <v>2394</v>
      </c>
      <c r="K62" s="3"/>
      <c r="L62" s="3"/>
      <c r="M62" s="5"/>
      <c r="N62" s="245">
        <f>SUM(N51:N61)</f>
        <v>716675</v>
      </c>
      <c r="O62" s="17"/>
      <c r="P62" s="17"/>
      <c r="Q62" s="247" t="s">
        <v>2394</v>
      </c>
      <c r="R62" s="3"/>
      <c r="S62" s="3"/>
      <c r="T62" s="5"/>
      <c r="U62" s="248">
        <f>SUM(U51:U61)</f>
        <v>534250</v>
      </c>
      <c r="V62" s="17"/>
      <c r="W62" s="159"/>
      <c r="X62" s="159"/>
      <c r="Y62" s="159"/>
      <c r="Z62" s="159"/>
      <c r="AA62" s="159"/>
      <c r="AB62" s="159"/>
      <c r="AC62" s="159"/>
      <c r="AD62" s="159"/>
      <c r="AE62" s="159"/>
    </row>
    <row r="63">
      <c r="A63" s="159"/>
      <c r="B63" s="159"/>
      <c r="C63" s="159"/>
      <c r="D63" s="159"/>
      <c r="E63" s="159"/>
      <c r="F63" s="159"/>
      <c r="G63" s="159"/>
      <c r="H63" s="159"/>
      <c r="I63" s="159"/>
      <c r="J63" s="159"/>
      <c r="K63" s="159"/>
      <c r="L63" s="159"/>
      <c r="M63" s="159"/>
      <c r="N63" s="159"/>
      <c r="O63" s="159"/>
      <c r="P63" s="159"/>
      <c r="Q63" s="159"/>
      <c r="R63" s="159"/>
      <c r="S63" s="159"/>
      <c r="T63" s="159"/>
      <c r="U63" s="159"/>
      <c r="V63" s="159"/>
      <c r="W63" s="159"/>
      <c r="X63" s="159"/>
      <c r="Y63" s="159"/>
      <c r="Z63" s="159"/>
      <c r="AA63" s="159"/>
      <c r="AB63" s="159"/>
      <c r="AC63" s="159"/>
      <c r="AD63" s="159"/>
      <c r="AE63" s="159"/>
    </row>
    <row r="64">
      <c r="A64" s="159"/>
      <c r="B64" s="159"/>
      <c r="C64" s="159"/>
      <c r="D64" s="159"/>
      <c r="E64" s="159"/>
      <c r="F64" s="159"/>
      <c r="G64" s="159"/>
      <c r="H64" s="159"/>
      <c r="I64" s="159"/>
      <c r="J64" s="159"/>
      <c r="K64" s="159"/>
      <c r="L64" s="159"/>
      <c r="M64" s="159"/>
      <c r="N64" s="159"/>
      <c r="O64" s="159"/>
      <c r="P64" s="159"/>
      <c r="Q64" s="159"/>
      <c r="R64" s="159"/>
      <c r="S64" s="159"/>
      <c r="T64" s="159"/>
      <c r="U64" s="159"/>
      <c r="V64" s="159"/>
      <c r="W64" s="159"/>
      <c r="X64" s="159"/>
      <c r="Y64" s="159"/>
      <c r="Z64" s="159"/>
      <c r="AA64" s="159"/>
      <c r="AB64" s="159"/>
      <c r="AC64" s="159"/>
      <c r="AD64" s="159"/>
      <c r="AE64" s="159"/>
    </row>
    <row r="65">
      <c r="A65" s="159"/>
      <c r="B65" s="159"/>
      <c r="C65" s="159"/>
      <c r="D65" s="159"/>
      <c r="E65" s="159"/>
      <c r="F65" s="159"/>
      <c r="G65" s="159"/>
      <c r="H65" s="159"/>
      <c r="I65" s="159"/>
      <c r="J65" s="159"/>
      <c r="K65" s="159"/>
      <c r="L65" s="159"/>
      <c r="M65" s="159"/>
      <c r="N65" s="159"/>
      <c r="O65" s="159"/>
      <c r="P65" s="159"/>
      <c r="Q65" s="159"/>
      <c r="R65" s="159"/>
      <c r="S65" s="159"/>
      <c r="T65" s="159"/>
      <c r="U65" s="159"/>
      <c r="V65" s="159"/>
      <c r="W65" s="159"/>
      <c r="X65" s="159"/>
      <c r="Y65" s="159"/>
      <c r="Z65" s="159"/>
      <c r="AA65" s="159"/>
      <c r="AB65" s="159"/>
      <c r="AC65" s="159"/>
      <c r="AD65" s="159"/>
      <c r="AE65" s="159"/>
    </row>
    <row r="66">
      <c r="A66" s="159"/>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c r="AA66" s="159"/>
      <c r="AB66" s="159"/>
      <c r="AC66" s="159"/>
      <c r="AD66" s="159"/>
      <c r="AE66" s="159"/>
    </row>
    <row r="67">
      <c r="A67" s="159"/>
      <c r="B67" s="159"/>
      <c r="C67" s="159"/>
      <c r="D67" s="159"/>
      <c r="E67" s="159"/>
      <c r="F67" s="159"/>
      <c r="G67" s="159"/>
      <c r="H67" s="159"/>
      <c r="I67" s="159"/>
      <c r="J67" s="159"/>
      <c r="K67" s="159"/>
      <c r="L67" s="159"/>
      <c r="M67" s="159"/>
      <c r="N67" s="159"/>
      <c r="O67" s="159"/>
      <c r="P67" s="159"/>
      <c r="Q67" s="159"/>
      <c r="R67" s="159"/>
      <c r="S67" s="159"/>
      <c r="T67" s="159"/>
      <c r="U67" s="159"/>
      <c r="V67" s="159"/>
      <c r="W67" s="159"/>
      <c r="X67" s="159"/>
      <c r="Y67" s="159"/>
      <c r="Z67" s="159"/>
      <c r="AA67" s="159"/>
      <c r="AB67" s="159"/>
      <c r="AC67" s="159"/>
      <c r="AD67" s="159"/>
      <c r="AE67" s="159"/>
    </row>
    <row r="68">
      <c r="A68" s="159"/>
      <c r="B68" s="159"/>
      <c r="C68" s="159"/>
      <c r="D68" s="159"/>
      <c r="E68" s="159"/>
      <c r="F68" s="159"/>
      <c r="G68" s="159"/>
      <c r="H68" s="159"/>
      <c r="I68" s="159"/>
      <c r="J68" s="159"/>
      <c r="K68" s="159"/>
      <c r="L68" s="159"/>
      <c r="M68" s="159"/>
      <c r="N68" s="159"/>
      <c r="O68" s="159"/>
      <c r="P68" s="159"/>
      <c r="Q68" s="159"/>
      <c r="R68" s="159"/>
      <c r="S68" s="159"/>
      <c r="T68" s="159"/>
      <c r="U68" s="159"/>
      <c r="V68" s="159"/>
      <c r="W68" s="159"/>
      <c r="X68" s="159"/>
      <c r="Y68" s="159"/>
      <c r="Z68" s="159"/>
      <c r="AA68" s="159"/>
      <c r="AB68" s="159"/>
      <c r="AC68" s="159"/>
      <c r="AD68" s="159"/>
      <c r="AE68" s="159"/>
    </row>
    <row r="69">
      <c r="A69" s="159"/>
      <c r="B69" s="159"/>
      <c r="C69" s="159"/>
      <c r="D69" s="159"/>
      <c r="E69" s="159"/>
      <c r="F69" s="159"/>
      <c r="G69" s="159"/>
      <c r="H69" s="159"/>
      <c r="I69" s="159"/>
      <c r="J69" s="159"/>
      <c r="K69" s="159"/>
      <c r="L69" s="159"/>
      <c r="M69" s="159"/>
      <c r="N69" s="159"/>
      <c r="O69" s="159"/>
      <c r="P69" s="159"/>
      <c r="Q69" s="159"/>
      <c r="R69" s="159"/>
      <c r="S69" s="159"/>
      <c r="T69" s="159"/>
      <c r="U69" s="159"/>
      <c r="V69" s="159"/>
      <c r="W69" s="159"/>
      <c r="X69" s="159"/>
      <c r="Y69" s="159"/>
      <c r="Z69" s="159"/>
      <c r="AA69" s="159"/>
      <c r="AB69" s="159"/>
      <c r="AC69" s="159"/>
      <c r="AD69" s="159"/>
      <c r="AE69" s="159"/>
    </row>
    <row r="70">
      <c r="A70" s="159"/>
      <c r="B70" s="159"/>
      <c r="C70" s="159"/>
      <c r="D70" s="159"/>
      <c r="E70" s="159"/>
      <c r="F70" s="159"/>
      <c r="G70" s="159"/>
      <c r="H70" s="159"/>
      <c r="I70" s="159"/>
      <c r="J70" s="159"/>
      <c r="K70" s="159"/>
      <c r="L70" s="159"/>
      <c r="M70" s="159"/>
      <c r="N70" s="159"/>
      <c r="O70" s="159"/>
      <c r="P70" s="159"/>
      <c r="Q70" s="159"/>
      <c r="R70" s="159"/>
      <c r="S70" s="159"/>
      <c r="T70" s="159"/>
      <c r="U70" s="159"/>
      <c r="V70" s="159"/>
      <c r="W70" s="159"/>
      <c r="X70" s="159"/>
      <c r="Y70" s="159"/>
      <c r="Z70" s="159"/>
      <c r="AA70" s="159"/>
      <c r="AB70" s="159"/>
      <c r="AC70" s="159"/>
      <c r="AD70" s="159"/>
      <c r="AE70" s="159"/>
    </row>
    <row r="71">
      <c r="A71" s="159"/>
      <c r="B71" s="159"/>
      <c r="C71" s="159"/>
      <c r="D71" s="159"/>
      <c r="E71" s="159"/>
      <c r="F71" s="159"/>
      <c r="G71" s="159"/>
      <c r="H71" s="159"/>
      <c r="I71" s="159"/>
      <c r="J71" s="159"/>
      <c r="K71" s="159"/>
      <c r="L71" s="159"/>
      <c r="M71" s="159"/>
      <c r="N71" s="159"/>
      <c r="O71" s="159"/>
      <c r="P71" s="159"/>
      <c r="Q71" s="159"/>
      <c r="R71" s="159"/>
      <c r="S71" s="159"/>
      <c r="T71" s="159"/>
      <c r="U71" s="159"/>
      <c r="V71" s="159"/>
      <c r="W71" s="159"/>
      <c r="X71" s="159"/>
      <c r="Y71" s="159"/>
      <c r="Z71" s="159"/>
      <c r="AA71" s="159"/>
      <c r="AB71" s="159"/>
      <c r="AC71" s="159"/>
      <c r="AD71" s="159"/>
      <c r="AE71" s="159"/>
    </row>
    <row r="72">
      <c r="A72" s="159"/>
      <c r="B72" s="159"/>
      <c r="C72" s="159"/>
      <c r="D72" s="159"/>
      <c r="E72" s="159"/>
      <c r="F72" s="159"/>
      <c r="G72" s="159"/>
      <c r="H72" s="159"/>
      <c r="I72" s="159"/>
      <c r="J72" s="159"/>
      <c r="K72" s="159"/>
      <c r="L72" s="159"/>
      <c r="M72" s="159"/>
      <c r="N72" s="159"/>
      <c r="O72" s="159"/>
      <c r="P72" s="159"/>
      <c r="Q72" s="159"/>
      <c r="R72" s="159"/>
      <c r="S72" s="159"/>
      <c r="T72" s="159"/>
      <c r="U72" s="159"/>
      <c r="V72" s="159"/>
      <c r="W72" s="159"/>
      <c r="X72" s="159"/>
      <c r="Y72" s="159"/>
      <c r="Z72" s="159"/>
      <c r="AA72" s="159"/>
      <c r="AB72" s="159"/>
      <c r="AC72" s="159"/>
      <c r="AD72" s="159"/>
      <c r="AE72" s="159"/>
    </row>
    <row r="73">
      <c r="A73" s="159"/>
      <c r="B73" s="159"/>
      <c r="C73" s="159"/>
      <c r="D73" s="159"/>
      <c r="E73" s="159"/>
      <c r="F73" s="159"/>
      <c r="G73" s="159"/>
      <c r="H73" s="159"/>
      <c r="I73" s="159"/>
      <c r="J73" s="159"/>
      <c r="K73" s="159"/>
      <c r="L73" s="159"/>
      <c r="M73" s="159"/>
      <c r="N73" s="159"/>
      <c r="O73" s="159"/>
      <c r="P73" s="159"/>
      <c r="Q73" s="159"/>
      <c r="R73" s="159"/>
      <c r="S73" s="159"/>
      <c r="T73" s="159"/>
      <c r="U73" s="159"/>
      <c r="V73" s="159"/>
      <c r="W73" s="159"/>
      <c r="X73" s="159"/>
      <c r="Y73" s="159"/>
      <c r="Z73" s="159"/>
      <c r="AA73" s="159"/>
      <c r="AB73" s="159"/>
      <c r="AC73" s="159"/>
      <c r="AD73" s="159"/>
      <c r="AE73" s="159"/>
    </row>
    <row r="74">
      <c r="A74" s="159"/>
      <c r="B74" s="159"/>
      <c r="C74" s="159"/>
      <c r="D74" s="159"/>
      <c r="E74" s="159"/>
      <c r="F74" s="159"/>
      <c r="G74" s="159"/>
      <c r="H74" s="159"/>
      <c r="I74" s="159"/>
      <c r="J74" s="159"/>
      <c r="K74" s="159"/>
      <c r="L74" s="159"/>
      <c r="M74" s="159"/>
      <c r="N74" s="159"/>
      <c r="O74" s="159"/>
      <c r="P74" s="159"/>
      <c r="Q74" s="159"/>
      <c r="R74" s="159"/>
      <c r="S74" s="159"/>
      <c r="T74" s="159"/>
      <c r="U74" s="159"/>
      <c r="V74" s="159"/>
      <c r="W74" s="159"/>
      <c r="X74" s="159"/>
      <c r="Y74" s="159"/>
      <c r="Z74" s="159"/>
      <c r="AA74" s="159"/>
      <c r="AB74" s="159"/>
      <c r="AC74" s="159"/>
      <c r="AD74" s="159"/>
      <c r="AE74" s="159"/>
    </row>
    <row r="75">
      <c r="A75" s="159"/>
      <c r="B75" s="159"/>
      <c r="C75" s="159"/>
      <c r="D75" s="159"/>
      <c r="E75" s="159"/>
      <c r="F75" s="159"/>
      <c r="G75" s="159"/>
      <c r="H75" s="159"/>
      <c r="I75" s="159"/>
      <c r="J75" s="159"/>
      <c r="K75" s="159"/>
      <c r="L75" s="159"/>
      <c r="M75" s="159"/>
      <c r="N75" s="159"/>
      <c r="O75" s="159"/>
      <c r="P75" s="159"/>
      <c r="Q75" s="159"/>
      <c r="R75" s="159"/>
      <c r="S75" s="159"/>
      <c r="T75" s="159"/>
      <c r="U75" s="159"/>
      <c r="V75" s="159"/>
      <c r="W75" s="159"/>
      <c r="X75" s="159"/>
      <c r="Y75" s="159"/>
      <c r="Z75" s="159"/>
      <c r="AA75" s="159"/>
      <c r="AB75" s="159"/>
      <c r="AC75" s="159"/>
      <c r="AD75" s="159"/>
      <c r="AE75" s="159"/>
    </row>
    <row r="76">
      <c r="A76" s="159"/>
      <c r="B76" s="159"/>
      <c r="C76" s="159"/>
      <c r="D76" s="159"/>
      <c r="E76" s="159"/>
      <c r="F76" s="159"/>
      <c r="G76" s="159"/>
      <c r="H76" s="159"/>
      <c r="I76" s="159"/>
      <c r="J76" s="159"/>
      <c r="K76" s="159"/>
      <c r="L76" s="159"/>
      <c r="M76" s="159"/>
      <c r="N76" s="159"/>
      <c r="O76" s="159"/>
      <c r="P76" s="159"/>
      <c r="Q76" s="159"/>
      <c r="R76" s="159"/>
      <c r="S76" s="159"/>
      <c r="T76" s="159"/>
      <c r="U76" s="159"/>
      <c r="V76" s="159"/>
      <c r="W76" s="159"/>
      <c r="X76" s="159"/>
      <c r="Y76" s="159"/>
      <c r="Z76" s="159"/>
      <c r="AA76" s="159"/>
      <c r="AB76" s="159"/>
      <c r="AC76" s="159"/>
      <c r="AD76" s="159"/>
      <c r="AE76" s="159"/>
    </row>
    <row r="77">
      <c r="A77" s="159"/>
      <c r="B77" s="159"/>
      <c r="C77" s="159"/>
      <c r="D77" s="159"/>
      <c r="E77" s="159"/>
      <c r="F77" s="159"/>
      <c r="G77" s="159"/>
      <c r="H77" s="159"/>
      <c r="I77" s="159"/>
      <c r="J77" s="159"/>
      <c r="K77" s="159"/>
      <c r="L77" s="159"/>
      <c r="M77" s="159"/>
      <c r="N77" s="159"/>
      <c r="O77" s="159"/>
      <c r="P77" s="159"/>
      <c r="Q77" s="159"/>
      <c r="R77" s="159"/>
      <c r="S77" s="159"/>
      <c r="T77" s="159"/>
      <c r="U77" s="159"/>
      <c r="V77" s="159"/>
      <c r="W77" s="159"/>
      <c r="X77" s="159"/>
      <c r="Y77" s="159"/>
      <c r="Z77" s="159"/>
      <c r="AA77" s="159"/>
      <c r="AB77" s="159"/>
      <c r="AC77" s="159"/>
      <c r="AD77" s="159"/>
      <c r="AE77" s="159"/>
    </row>
    <row r="78">
      <c r="A78" s="159"/>
      <c r="B78" s="159"/>
      <c r="C78" s="159"/>
      <c r="D78" s="159"/>
      <c r="E78" s="159"/>
      <c r="F78" s="159"/>
      <c r="G78" s="159"/>
      <c r="H78" s="159"/>
      <c r="I78" s="159"/>
      <c r="J78" s="159"/>
      <c r="K78" s="159"/>
      <c r="L78" s="159"/>
      <c r="M78" s="159"/>
      <c r="N78" s="159"/>
      <c r="O78" s="159"/>
      <c r="P78" s="159"/>
      <c r="Q78" s="159"/>
      <c r="R78" s="159"/>
      <c r="S78" s="159"/>
      <c r="T78" s="159"/>
      <c r="U78" s="159"/>
      <c r="V78" s="159"/>
      <c r="W78" s="159"/>
      <c r="X78" s="159"/>
      <c r="Y78" s="159"/>
      <c r="Z78" s="159"/>
      <c r="AA78" s="159"/>
      <c r="AB78" s="159"/>
      <c r="AC78" s="159"/>
      <c r="AD78" s="159"/>
      <c r="AE78" s="159"/>
    </row>
    <row r="79">
      <c r="A79" s="159"/>
      <c r="B79" s="159"/>
      <c r="C79" s="159"/>
      <c r="D79" s="159"/>
      <c r="E79" s="159"/>
      <c r="F79" s="159"/>
      <c r="G79" s="159"/>
      <c r="H79" s="159"/>
      <c r="I79" s="159"/>
      <c r="J79" s="159"/>
      <c r="K79" s="159"/>
      <c r="L79" s="159"/>
      <c r="M79" s="159"/>
      <c r="N79" s="159"/>
      <c r="O79" s="159"/>
      <c r="P79" s="159"/>
      <c r="Q79" s="159"/>
      <c r="R79" s="159"/>
      <c r="S79" s="159"/>
      <c r="T79" s="159"/>
      <c r="U79" s="159"/>
      <c r="V79" s="159"/>
      <c r="W79" s="159"/>
      <c r="X79" s="159"/>
      <c r="Y79" s="159"/>
      <c r="Z79" s="159"/>
      <c r="AA79" s="159"/>
      <c r="AB79" s="159"/>
      <c r="AC79" s="159"/>
      <c r="AD79" s="159"/>
      <c r="AE79" s="159"/>
    </row>
    <row r="80">
      <c r="A80" s="159"/>
      <c r="B80" s="159"/>
      <c r="C80" s="159"/>
      <c r="D80" s="159"/>
      <c r="E80" s="159"/>
      <c r="F80" s="159"/>
      <c r="G80" s="159"/>
      <c r="H80" s="159"/>
      <c r="I80" s="159"/>
      <c r="J80" s="159"/>
      <c r="K80" s="159"/>
      <c r="L80" s="159"/>
      <c r="M80" s="159"/>
      <c r="N80" s="159"/>
      <c r="O80" s="159"/>
      <c r="P80" s="159"/>
      <c r="Q80" s="159"/>
      <c r="R80" s="159"/>
      <c r="S80" s="159"/>
      <c r="T80" s="159"/>
      <c r="U80" s="159"/>
      <c r="V80" s="159"/>
      <c r="W80" s="159"/>
      <c r="X80" s="159"/>
      <c r="Y80" s="159"/>
      <c r="Z80" s="159"/>
      <c r="AA80" s="159"/>
      <c r="AB80" s="159"/>
      <c r="AC80" s="159"/>
      <c r="AD80" s="159"/>
      <c r="AE80" s="159"/>
    </row>
    <row r="81">
      <c r="A81" s="159"/>
      <c r="B81" s="159"/>
      <c r="C81" s="159"/>
      <c r="D81" s="159"/>
      <c r="E81" s="159"/>
      <c r="F81" s="159"/>
      <c r="G81" s="159"/>
      <c r="H81" s="159"/>
      <c r="I81" s="159"/>
      <c r="J81" s="159"/>
      <c r="K81" s="159"/>
      <c r="L81" s="159"/>
      <c r="M81" s="159"/>
      <c r="N81" s="159"/>
      <c r="O81" s="159"/>
      <c r="P81" s="159"/>
      <c r="Q81" s="159"/>
      <c r="R81" s="159"/>
      <c r="S81" s="159"/>
      <c r="T81" s="159"/>
      <c r="U81" s="159"/>
      <c r="V81" s="159"/>
      <c r="W81" s="159"/>
      <c r="X81" s="159"/>
      <c r="Y81" s="159"/>
      <c r="Z81" s="159"/>
      <c r="AA81" s="159"/>
      <c r="AB81" s="159"/>
      <c r="AC81" s="159"/>
      <c r="AD81" s="159"/>
      <c r="AE81" s="159"/>
    </row>
    <row r="82">
      <c r="A82" s="159"/>
      <c r="B82" s="159"/>
      <c r="C82" s="159"/>
      <c r="D82" s="159"/>
      <c r="E82" s="159"/>
      <c r="F82" s="159"/>
      <c r="G82" s="159"/>
      <c r="H82" s="159"/>
      <c r="I82" s="159"/>
      <c r="J82" s="159"/>
      <c r="K82" s="159"/>
      <c r="L82" s="159"/>
      <c r="M82" s="159"/>
      <c r="N82" s="159"/>
      <c r="O82" s="159"/>
      <c r="P82" s="159"/>
      <c r="Q82" s="159"/>
      <c r="R82" s="159"/>
      <c r="S82" s="159"/>
      <c r="T82" s="159"/>
      <c r="U82" s="159"/>
      <c r="V82" s="159"/>
      <c r="W82" s="159"/>
      <c r="X82" s="159"/>
      <c r="Y82" s="159"/>
      <c r="Z82" s="159"/>
      <c r="AA82" s="159"/>
      <c r="AB82" s="159"/>
      <c r="AC82" s="159"/>
      <c r="AD82" s="159"/>
      <c r="AE82" s="159"/>
    </row>
    <row r="83">
      <c r="A83" s="159"/>
      <c r="B83" s="159"/>
      <c r="C83" s="159"/>
      <c r="D83" s="159"/>
      <c r="E83" s="159"/>
      <c r="F83" s="159"/>
      <c r="G83" s="159"/>
      <c r="H83" s="159"/>
      <c r="I83" s="159"/>
      <c r="J83" s="159"/>
      <c r="K83" s="159"/>
      <c r="L83" s="159"/>
      <c r="M83" s="159"/>
      <c r="N83" s="159"/>
      <c r="O83" s="159"/>
      <c r="P83" s="159"/>
      <c r="Q83" s="159"/>
      <c r="R83" s="159"/>
      <c r="S83" s="159"/>
      <c r="T83" s="159"/>
      <c r="U83" s="159"/>
      <c r="V83" s="159"/>
      <c r="W83" s="159"/>
      <c r="X83" s="159"/>
      <c r="Y83" s="159"/>
      <c r="Z83" s="159"/>
      <c r="AA83" s="159"/>
      <c r="AB83" s="159"/>
      <c r="AC83" s="159"/>
      <c r="AD83" s="159"/>
      <c r="AE83" s="159"/>
    </row>
    <row r="84">
      <c r="A84" s="159"/>
      <c r="B84" s="159"/>
      <c r="C84" s="159"/>
      <c r="D84" s="159"/>
      <c r="E84" s="159"/>
      <c r="F84" s="159"/>
      <c r="G84" s="159"/>
      <c r="H84" s="159"/>
      <c r="I84" s="159"/>
      <c r="J84" s="159"/>
      <c r="K84" s="159"/>
      <c r="L84" s="159"/>
      <c r="M84" s="159"/>
      <c r="N84" s="159"/>
      <c r="O84" s="159"/>
      <c r="P84" s="159"/>
      <c r="Q84" s="159"/>
      <c r="R84" s="159"/>
      <c r="S84" s="159"/>
      <c r="T84" s="159"/>
      <c r="U84" s="159"/>
      <c r="V84" s="159"/>
      <c r="W84" s="159"/>
      <c r="X84" s="159"/>
      <c r="Y84" s="159"/>
      <c r="Z84" s="159"/>
      <c r="AA84" s="159"/>
      <c r="AB84" s="159"/>
      <c r="AC84" s="159"/>
      <c r="AD84" s="159"/>
      <c r="AE84" s="159"/>
    </row>
    <row r="85">
      <c r="A85" s="159"/>
      <c r="B85" s="159"/>
      <c r="C85" s="159"/>
      <c r="D85" s="159"/>
      <c r="E85" s="159"/>
      <c r="F85" s="159"/>
      <c r="G85" s="159"/>
      <c r="H85" s="159"/>
      <c r="I85" s="159"/>
      <c r="J85" s="159"/>
      <c r="K85" s="159"/>
      <c r="L85" s="159"/>
      <c r="M85" s="159"/>
      <c r="N85" s="159"/>
      <c r="O85" s="159"/>
      <c r="P85" s="159"/>
      <c r="Q85" s="159"/>
      <c r="R85" s="159"/>
      <c r="S85" s="159"/>
      <c r="T85" s="159"/>
      <c r="U85" s="159"/>
      <c r="V85" s="159"/>
      <c r="W85" s="159"/>
      <c r="X85" s="159"/>
      <c r="Y85" s="159"/>
      <c r="Z85" s="159"/>
      <c r="AA85" s="159"/>
      <c r="AB85" s="159"/>
      <c r="AC85" s="159"/>
      <c r="AD85" s="159"/>
      <c r="AE85" s="159"/>
    </row>
    <row r="86">
      <c r="A86" s="159"/>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c r="AA86" s="159"/>
      <c r="AB86" s="159"/>
      <c r="AC86" s="159"/>
      <c r="AD86" s="159"/>
      <c r="AE86" s="159"/>
    </row>
    <row r="87">
      <c r="A87" s="159"/>
      <c r="B87" s="159"/>
      <c r="C87" s="159"/>
      <c r="D87" s="159"/>
      <c r="E87" s="159"/>
      <c r="F87" s="159"/>
      <c r="G87" s="159"/>
      <c r="H87" s="159"/>
      <c r="I87" s="159"/>
      <c r="J87" s="159"/>
      <c r="K87" s="159"/>
      <c r="L87" s="159"/>
      <c r="M87" s="159"/>
      <c r="N87" s="159"/>
      <c r="O87" s="159"/>
      <c r="P87" s="159"/>
      <c r="Q87" s="159"/>
      <c r="R87" s="159"/>
      <c r="S87" s="159"/>
      <c r="T87" s="159"/>
      <c r="U87" s="159"/>
      <c r="V87" s="159"/>
      <c r="W87" s="159"/>
      <c r="X87" s="159"/>
      <c r="Y87" s="159"/>
      <c r="Z87" s="159"/>
      <c r="AA87" s="159"/>
      <c r="AB87" s="159"/>
      <c r="AC87" s="159"/>
      <c r="AD87" s="159"/>
      <c r="AE87" s="159"/>
    </row>
    <row r="88">
      <c r="A88" s="159"/>
      <c r="B88" s="159"/>
      <c r="C88" s="159"/>
      <c r="D88" s="159"/>
      <c r="E88" s="159"/>
      <c r="F88" s="159"/>
      <c r="G88" s="159"/>
      <c r="H88" s="159"/>
      <c r="I88" s="159"/>
      <c r="J88" s="159"/>
      <c r="K88" s="159"/>
      <c r="L88" s="159"/>
      <c r="M88" s="159"/>
      <c r="N88" s="159"/>
      <c r="O88" s="159"/>
      <c r="P88" s="159"/>
      <c r="Q88" s="159"/>
      <c r="R88" s="159"/>
      <c r="S88" s="159"/>
      <c r="T88" s="159"/>
      <c r="U88" s="159"/>
      <c r="V88" s="159"/>
      <c r="W88" s="159"/>
      <c r="X88" s="159"/>
      <c r="Y88" s="159"/>
      <c r="Z88" s="159"/>
      <c r="AA88" s="159"/>
      <c r="AB88" s="159"/>
      <c r="AC88" s="159"/>
      <c r="AD88" s="159"/>
      <c r="AE88" s="159"/>
    </row>
    <row r="89">
      <c r="A89" s="159"/>
      <c r="B89" s="159"/>
      <c r="C89" s="159"/>
      <c r="D89" s="159"/>
      <c r="E89" s="159"/>
      <c r="F89" s="159"/>
      <c r="G89" s="159"/>
      <c r="H89" s="159"/>
      <c r="I89" s="159"/>
      <c r="J89" s="159"/>
      <c r="K89" s="159"/>
      <c r="L89" s="159"/>
      <c r="M89" s="159"/>
      <c r="N89" s="159"/>
      <c r="O89" s="159"/>
      <c r="P89" s="159"/>
      <c r="Q89" s="159"/>
      <c r="R89" s="159"/>
      <c r="S89" s="159"/>
      <c r="T89" s="159"/>
      <c r="U89" s="159"/>
      <c r="V89" s="159"/>
      <c r="W89" s="159"/>
      <c r="X89" s="159"/>
      <c r="Y89" s="159"/>
      <c r="Z89" s="159"/>
      <c r="AA89" s="159"/>
      <c r="AB89" s="159"/>
      <c r="AC89" s="159"/>
      <c r="AD89" s="159"/>
      <c r="AE89" s="159"/>
    </row>
    <row r="90">
      <c r="A90" s="159"/>
      <c r="B90" s="159"/>
      <c r="C90" s="159"/>
      <c r="D90" s="159"/>
      <c r="E90" s="159"/>
      <c r="F90" s="159"/>
      <c r="G90" s="159"/>
      <c r="H90" s="159"/>
      <c r="I90" s="159"/>
      <c r="J90" s="159"/>
      <c r="K90" s="159"/>
      <c r="L90" s="159"/>
      <c r="M90" s="159"/>
      <c r="N90" s="159"/>
      <c r="O90" s="159"/>
      <c r="P90" s="159"/>
      <c r="Q90" s="159"/>
      <c r="R90" s="159"/>
      <c r="S90" s="159"/>
      <c r="T90" s="159"/>
      <c r="U90" s="159"/>
      <c r="V90" s="159"/>
      <c r="W90" s="159"/>
      <c r="X90" s="159"/>
      <c r="Y90" s="159"/>
      <c r="Z90" s="159"/>
      <c r="AA90" s="159"/>
      <c r="AB90" s="159"/>
      <c r="AC90" s="159"/>
      <c r="AD90" s="159"/>
      <c r="AE90" s="159"/>
    </row>
    <row r="91">
      <c r="A91" s="159"/>
      <c r="B91" s="159"/>
      <c r="C91" s="159"/>
      <c r="D91" s="159"/>
      <c r="E91" s="159"/>
      <c r="F91" s="159"/>
      <c r="G91" s="159"/>
      <c r="H91" s="159"/>
      <c r="I91" s="159"/>
      <c r="J91" s="159"/>
      <c r="K91" s="159"/>
      <c r="L91" s="159"/>
      <c r="M91" s="159"/>
      <c r="N91" s="159"/>
      <c r="O91" s="159"/>
      <c r="P91" s="159"/>
      <c r="Q91" s="159"/>
      <c r="R91" s="159"/>
      <c r="S91" s="159"/>
      <c r="T91" s="159"/>
      <c r="U91" s="159"/>
      <c r="V91" s="159"/>
      <c r="W91" s="159"/>
      <c r="X91" s="159"/>
      <c r="Y91" s="159"/>
      <c r="Z91" s="159"/>
      <c r="AA91" s="159"/>
      <c r="AB91" s="159"/>
      <c r="AC91" s="159"/>
      <c r="AD91" s="159"/>
      <c r="AE91" s="159"/>
    </row>
    <row r="92">
      <c r="A92" s="159"/>
      <c r="B92" s="159"/>
      <c r="C92" s="159"/>
      <c r="D92" s="159"/>
      <c r="E92" s="159"/>
      <c r="F92" s="159"/>
      <c r="G92" s="159"/>
      <c r="H92" s="159"/>
      <c r="I92" s="159"/>
      <c r="J92" s="159"/>
      <c r="K92" s="159"/>
      <c r="L92" s="159"/>
      <c r="M92" s="159"/>
      <c r="N92" s="159"/>
      <c r="O92" s="159"/>
      <c r="P92" s="159"/>
      <c r="Q92" s="159"/>
      <c r="R92" s="159"/>
      <c r="S92" s="159"/>
      <c r="T92" s="159"/>
      <c r="U92" s="159"/>
      <c r="V92" s="159"/>
      <c r="W92" s="159"/>
      <c r="X92" s="159"/>
      <c r="Y92" s="159"/>
      <c r="Z92" s="159"/>
      <c r="AA92" s="159"/>
      <c r="AB92" s="159"/>
      <c r="AC92" s="159"/>
      <c r="AD92" s="159"/>
      <c r="AE92" s="159"/>
    </row>
    <row r="93">
      <c r="A93" s="159"/>
      <c r="B93" s="159"/>
      <c r="C93" s="159"/>
      <c r="D93" s="159"/>
      <c r="E93" s="159"/>
      <c r="F93" s="159"/>
      <c r="G93" s="159"/>
      <c r="H93" s="159"/>
      <c r="I93" s="159"/>
      <c r="J93" s="159"/>
      <c r="K93" s="159"/>
      <c r="L93" s="159"/>
      <c r="M93" s="159"/>
      <c r="N93" s="159"/>
      <c r="O93" s="159"/>
      <c r="P93" s="159"/>
      <c r="Q93" s="159"/>
      <c r="R93" s="159"/>
      <c r="S93" s="159"/>
      <c r="T93" s="159"/>
      <c r="U93" s="159"/>
      <c r="V93" s="159"/>
      <c r="W93" s="159"/>
      <c r="X93" s="159"/>
      <c r="Y93" s="159"/>
      <c r="Z93" s="159"/>
      <c r="AA93" s="159"/>
      <c r="AB93" s="159"/>
      <c r="AC93" s="159"/>
      <c r="AD93" s="159"/>
      <c r="AE93" s="159"/>
    </row>
    <row r="94">
      <c r="A94" s="159"/>
      <c r="B94" s="159"/>
      <c r="C94" s="159"/>
      <c r="D94" s="159"/>
      <c r="E94" s="159"/>
      <c r="F94" s="159"/>
      <c r="G94" s="159"/>
      <c r="H94" s="159"/>
      <c r="I94" s="159"/>
      <c r="J94" s="159"/>
      <c r="K94" s="159"/>
      <c r="L94" s="159"/>
      <c r="M94" s="159"/>
      <c r="N94" s="159"/>
      <c r="O94" s="159"/>
      <c r="P94" s="159"/>
      <c r="Q94" s="159"/>
      <c r="R94" s="159"/>
      <c r="S94" s="159"/>
      <c r="T94" s="159"/>
      <c r="U94" s="159"/>
      <c r="V94" s="159"/>
      <c r="W94" s="159"/>
      <c r="X94" s="159"/>
      <c r="Y94" s="159"/>
      <c r="Z94" s="159"/>
      <c r="AA94" s="159"/>
      <c r="AB94" s="159"/>
      <c r="AC94" s="159"/>
      <c r="AD94" s="159"/>
      <c r="AE94" s="159"/>
    </row>
    <row r="95">
      <c r="A95" s="159"/>
      <c r="B95" s="159"/>
      <c r="C95" s="159"/>
      <c r="D95" s="159"/>
      <c r="E95" s="159"/>
      <c r="F95" s="159"/>
      <c r="G95" s="159"/>
      <c r="H95" s="159"/>
      <c r="I95" s="159"/>
      <c r="J95" s="159"/>
      <c r="K95" s="159"/>
      <c r="L95" s="159"/>
      <c r="M95" s="159"/>
      <c r="N95" s="159"/>
      <c r="O95" s="159"/>
      <c r="P95" s="159"/>
      <c r="Q95" s="159"/>
      <c r="R95" s="159"/>
      <c r="S95" s="159"/>
      <c r="T95" s="159"/>
      <c r="U95" s="159"/>
      <c r="V95" s="159"/>
      <c r="W95" s="159"/>
      <c r="X95" s="159"/>
      <c r="Y95" s="159"/>
      <c r="Z95" s="159"/>
      <c r="AA95" s="159"/>
      <c r="AB95" s="159"/>
      <c r="AC95" s="159"/>
      <c r="AD95" s="159"/>
      <c r="AE95" s="159"/>
    </row>
    <row r="96">
      <c r="A96" s="159"/>
      <c r="B96" s="159"/>
      <c r="C96" s="159"/>
      <c r="D96" s="159"/>
      <c r="E96" s="159"/>
      <c r="F96" s="159"/>
      <c r="G96" s="159"/>
      <c r="H96" s="159"/>
      <c r="I96" s="159"/>
      <c r="J96" s="159"/>
      <c r="K96" s="159"/>
      <c r="L96" s="159"/>
      <c r="M96" s="159"/>
      <c r="N96" s="159"/>
      <c r="O96" s="159"/>
      <c r="P96" s="159"/>
      <c r="Q96" s="159"/>
      <c r="R96" s="159"/>
      <c r="S96" s="159"/>
      <c r="T96" s="159"/>
      <c r="U96" s="159"/>
      <c r="V96" s="159"/>
      <c r="W96" s="159"/>
      <c r="X96" s="159"/>
      <c r="Y96" s="159"/>
      <c r="Z96" s="159"/>
      <c r="AA96" s="159"/>
      <c r="AB96" s="159"/>
      <c r="AC96" s="159"/>
      <c r="AD96" s="159"/>
      <c r="AE96" s="159"/>
    </row>
    <row r="97">
      <c r="A97" s="159"/>
      <c r="B97" s="159"/>
      <c r="C97" s="159"/>
      <c r="D97" s="159"/>
      <c r="E97" s="159"/>
      <c r="F97" s="159"/>
      <c r="G97" s="159"/>
      <c r="H97" s="159"/>
      <c r="I97" s="159"/>
      <c r="J97" s="159"/>
      <c r="K97" s="159"/>
      <c r="L97" s="159"/>
      <c r="M97" s="159"/>
      <c r="N97" s="159"/>
      <c r="O97" s="159"/>
      <c r="P97" s="159"/>
      <c r="Q97" s="159"/>
      <c r="R97" s="159"/>
      <c r="S97" s="159"/>
      <c r="T97" s="159"/>
      <c r="U97" s="159"/>
      <c r="V97" s="159"/>
      <c r="W97" s="159"/>
      <c r="X97" s="159"/>
      <c r="Y97" s="159"/>
      <c r="Z97" s="159"/>
      <c r="AA97" s="159"/>
      <c r="AB97" s="159"/>
      <c r="AC97" s="159"/>
      <c r="AD97" s="159"/>
      <c r="AE97" s="159"/>
    </row>
    <row r="98">
      <c r="A98" s="159"/>
      <c r="B98" s="159"/>
      <c r="C98" s="159"/>
      <c r="D98" s="159"/>
      <c r="E98" s="159"/>
      <c r="F98" s="159"/>
      <c r="G98" s="159"/>
      <c r="H98" s="159"/>
      <c r="I98" s="159"/>
      <c r="J98" s="159"/>
      <c r="K98" s="159"/>
      <c r="L98" s="159"/>
      <c r="M98" s="159"/>
      <c r="N98" s="159"/>
      <c r="O98" s="159"/>
      <c r="P98" s="159"/>
      <c r="Q98" s="159"/>
      <c r="R98" s="159"/>
      <c r="S98" s="159"/>
      <c r="T98" s="159"/>
      <c r="U98" s="159"/>
      <c r="V98" s="159"/>
      <c r="W98" s="159"/>
      <c r="X98" s="159"/>
      <c r="Y98" s="159"/>
      <c r="Z98" s="159"/>
      <c r="AA98" s="159"/>
      <c r="AB98" s="159"/>
      <c r="AC98" s="159"/>
      <c r="AD98" s="159"/>
      <c r="AE98" s="159"/>
    </row>
    <row r="99">
      <c r="A99" s="159"/>
      <c r="B99" s="159"/>
      <c r="C99" s="159"/>
      <c r="D99" s="159"/>
      <c r="E99" s="159"/>
      <c r="F99" s="159"/>
      <c r="G99" s="159"/>
      <c r="H99" s="159"/>
      <c r="I99" s="159"/>
      <c r="J99" s="159"/>
      <c r="K99" s="159"/>
      <c r="L99" s="159"/>
      <c r="M99" s="159"/>
      <c r="N99" s="159"/>
      <c r="O99" s="159"/>
      <c r="P99" s="159"/>
      <c r="Q99" s="159"/>
      <c r="R99" s="159"/>
      <c r="S99" s="159"/>
      <c r="T99" s="159"/>
      <c r="U99" s="159"/>
      <c r="V99" s="159"/>
      <c r="W99" s="159"/>
      <c r="X99" s="159"/>
      <c r="Y99" s="159"/>
      <c r="Z99" s="159"/>
      <c r="AA99" s="159"/>
      <c r="AB99" s="159"/>
      <c r="AC99" s="159"/>
      <c r="AD99" s="159"/>
      <c r="AE99" s="159"/>
    </row>
    <row r="100">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c r="AA100" s="159"/>
      <c r="AB100" s="159"/>
      <c r="AC100" s="159"/>
      <c r="AD100" s="159"/>
      <c r="AE100" s="159"/>
    </row>
    <row r="10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c r="X101" s="159"/>
      <c r="Y101" s="159"/>
      <c r="Z101" s="159"/>
      <c r="AA101" s="159"/>
      <c r="AB101" s="159"/>
      <c r="AC101" s="159"/>
      <c r="AD101" s="159"/>
      <c r="AE101" s="159"/>
    </row>
    <row r="102">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c r="X102" s="159"/>
      <c r="Y102" s="159"/>
      <c r="Z102" s="159"/>
      <c r="AA102" s="159"/>
      <c r="AB102" s="159"/>
      <c r="AC102" s="159"/>
      <c r="AD102" s="159"/>
      <c r="AE102" s="159"/>
    </row>
    <row r="103">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c r="X103" s="159"/>
      <c r="Y103" s="159"/>
      <c r="Z103" s="159"/>
      <c r="AA103" s="159"/>
      <c r="AB103" s="159"/>
      <c r="AC103" s="159"/>
      <c r="AD103" s="159"/>
      <c r="AE103" s="159"/>
    </row>
    <row r="104">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c r="X104" s="159"/>
      <c r="Y104" s="159"/>
      <c r="Z104" s="159"/>
      <c r="AA104" s="159"/>
      <c r="AB104" s="159"/>
      <c r="AC104" s="159"/>
      <c r="AD104" s="159"/>
      <c r="AE104" s="159"/>
    </row>
    <row r="105">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c r="AA105" s="159"/>
      <c r="AB105" s="159"/>
      <c r="AC105" s="159"/>
      <c r="AD105" s="159"/>
      <c r="AE105" s="159"/>
    </row>
    <row r="106">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c r="X106" s="159"/>
      <c r="Y106" s="159"/>
      <c r="Z106" s="159"/>
      <c r="AA106" s="159"/>
      <c r="AB106" s="159"/>
      <c r="AC106" s="159"/>
      <c r="AD106" s="159"/>
      <c r="AE106" s="159"/>
    </row>
    <row r="107">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c r="Z107" s="159"/>
      <c r="AA107" s="159"/>
      <c r="AB107" s="159"/>
      <c r="AC107" s="159"/>
      <c r="AD107" s="159"/>
      <c r="AE107" s="159"/>
    </row>
    <row r="108">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c r="X108" s="159"/>
      <c r="Y108" s="159"/>
      <c r="Z108" s="159"/>
      <c r="AA108" s="159"/>
      <c r="AB108" s="159"/>
      <c r="AC108" s="159"/>
      <c r="AD108" s="159"/>
      <c r="AE108" s="159"/>
    </row>
    <row r="109">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c r="AA109" s="159"/>
      <c r="AB109" s="159"/>
      <c r="AC109" s="159"/>
      <c r="AD109" s="159"/>
      <c r="AE109" s="159"/>
    </row>
    <row r="110">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c r="X110" s="159"/>
      <c r="Y110" s="159"/>
      <c r="Z110" s="159"/>
      <c r="AA110" s="159"/>
      <c r="AB110" s="159"/>
      <c r="AC110" s="159"/>
      <c r="AD110" s="159"/>
      <c r="AE110" s="159"/>
    </row>
    <row r="11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c r="X111" s="159"/>
      <c r="Y111" s="159"/>
      <c r="Z111" s="159"/>
      <c r="AA111" s="159"/>
      <c r="AB111" s="159"/>
      <c r="AC111" s="159"/>
      <c r="AD111" s="159"/>
      <c r="AE111" s="159"/>
    </row>
    <row r="112">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c r="X112" s="159"/>
      <c r="Y112" s="159"/>
      <c r="Z112" s="159"/>
      <c r="AA112" s="159"/>
      <c r="AB112" s="159"/>
      <c r="AC112" s="159"/>
      <c r="AD112" s="159"/>
      <c r="AE112" s="159"/>
    </row>
    <row r="113">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c r="X113" s="159"/>
      <c r="Y113" s="159"/>
      <c r="Z113" s="159"/>
      <c r="AA113" s="159"/>
      <c r="AB113" s="159"/>
      <c r="AC113" s="159"/>
      <c r="AD113" s="159"/>
      <c r="AE113" s="159"/>
    </row>
    <row r="114">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c r="X114" s="159"/>
      <c r="Y114" s="159"/>
      <c r="Z114" s="159"/>
      <c r="AA114" s="159"/>
      <c r="AB114" s="159"/>
      <c r="AC114" s="159"/>
      <c r="AD114" s="159"/>
      <c r="AE114" s="159"/>
    </row>
    <row r="115">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c r="X115" s="159"/>
      <c r="Y115" s="159"/>
      <c r="Z115" s="159"/>
      <c r="AA115" s="159"/>
      <c r="AB115" s="159"/>
      <c r="AC115" s="159"/>
      <c r="AD115" s="159"/>
      <c r="AE115" s="159"/>
    </row>
    <row r="116">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c r="X116" s="159"/>
      <c r="Y116" s="159"/>
      <c r="Z116" s="159"/>
      <c r="AA116" s="159"/>
      <c r="AB116" s="159"/>
      <c r="AC116" s="159"/>
      <c r="AD116" s="159"/>
      <c r="AE116" s="159"/>
    </row>
    <row r="117">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c r="X117" s="159"/>
      <c r="Y117" s="159"/>
      <c r="Z117" s="159"/>
      <c r="AA117" s="159"/>
      <c r="AB117" s="159"/>
      <c r="AC117" s="159"/>
      <c r="AD117" s="159"/>
      <c r="AE117" s="159"/>
    </row>
    <row r="118">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c r="X118" s="159"/>
      <c r="Y118" s="159"/>
      <c r="Z118" s="159"/>
      <c r="AA118" s="159"/>
      <c r="AB118" s="159"/>
      <c r="AC118" s="159"/>
      <c r="AD118" s="159"/>
      <c r="AE118" s="159"/>
    </row>
    <row r="119">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c r="AA119" s="159"/>
      <c r="AB119" s="159"/>
      <c r="AC119" s="159"/>
      <c r="AD119" s="159"/>
      <c r="AE119" s="159"/>
    </row>
    <row r="120">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c r="AA120" s="159"/>
      <c r="AB120" s="159"/>
      <c r="AC120" s="159"/>
      <c r="AD120" s="159"/>
      <c r="AE120" s="159"/>
    </row>
    <row r="12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c r="X121" s="159"/>
      <c r="Y121" s="159"/>
      <c r="Z121" s="159"/>
      <c r="AA121" s="159"/>
      <c r="AB121" s="159"/>
      <c r="AC121" s="159"/>
      <c r="AD121" s="159"/>
      <c r="AE121" s="159"/>
    </row>
    <row r="122">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c r="X122" s="159"/>
      <c r="Y122" s="159"/>
      <c r="Z122" s="159"/>
      <c r="AA122" s="159"/>
      <c r="AB122" s="159"/>
      <c r="AC122" s="159"/>
      <c r="AD122" s="159"/>
      <c r="AE122" s="159"/>
    </row>
    <row r="123">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59"/>
      <c r="AA123" s="159"/>
      <c r="AB123" s="159"/>
      <c r="AC123" s="159"/>
      <c r="AD123" s="159"/>
      <c r="AE123" s="159"/>
    </row>
    <row r="124">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c r="X124" s="159"/>
      <c r="Y124" s="159"/>
      <c r="Z124" s="159"/>
      <c r="AA124" s="159"/>
      <c r="AB124" s="159"/>
      <c r="AC124" s="159"/>
      <c r="AD124" s="159"/>
      <c r="AE124" s="159"/>
    </row>
    <row r="125">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c r="Z125" s="159"/>
      <c r="AA125" s="159"/>
      <c r="AB125" s="159"/>
      <c r="AC125" s="159"/>
      <c r="AD125" s="159"/>
      <c r="AE125" s="159"/>
    </row>
    <row r="126">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c r="X126" s="159"/>
      <c r="Y126" s="159"/>
      <c r="Z126" s="159"/>
      <c r="AA126" s="159"/>
      <c r="AB126" s="159"/>
      <c r="AC126" s="159"/>
      <c r="AD126" s="159"/>
      <c r="AE126" s="159"/>
    </row>
    <row r="127">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c r="X127" s="159"/>
      <c r="Y127" s="159"/>
      <c r="Z127" s="159"/>
      <c r="AA127" s="159"/>
      <c r="AB127" s="159"/>
      <c r="AC127" s="159"/>
      <c r="AD127" s="159"/>
      <c r="AE127" s="159"/>
    </row>
    <row r="128">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c r="X128" s="159"/>
      <c r="Y128" s="159"/>
      <c r="Z128" s="159"/>
      <c r="AA128" s="159"/>
      <c r="AB128" s="159"/>
      <c r="AC128" s="159"/>
      <c r="AD128" s="159"/>
      <c r="AE128" s="159"/>
    </row>
    <row r="129">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c r="X129" s="159"/>
      <c r="Y129" s="159"/>
      <c r="Z129" s="159"/>
      <c r="AA129" s="159"/>
      <c r="AB129" s="159"/>
      <c r="AC129" s="159"/>
      <c r="AD129" s="159"/>
      <c r="AE129" s="159"/>
    </row>
    <row r="130">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c r="X130" s="159"/>
      <c r="Y130" s="159"/>
      <c r="Z130" s="159"/>
      <c r="AA130" s="159"/>
      <c r="AB130" s="159"/>
      <c r="AC130" s="159"/>
      <c r="AD130" s="159"/>
      <c r="AE130" s="159"/>
    </row>
    <row r="13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c r="X131" s="159"/>
      <c r="Y131" s="159"/>
      <c r="Z131" s="159"/>
      <c r="AA131" s="159"/>
      <c r="AB131" s="159"/>
      <c r="AC131" s="159"/>
      <c r="AD131" s="159"/>
      <c r="AE131" s="159"/>
    </row>
    <row r="132">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c r="X132" s="159"/>
      <c r="Y132" s="159"/>
      <c r="Z132" s="159"/>
      <c r="AA132" s="159"/>
      <c r="AB132" s="159"/>
      <c r="AC132" s="159"/>
      <c r="AD132" s="159"/>
      <c r="AE132" s="159"/>
    </row>
    <row r="133">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c r="X133" s="159"/>
      <c r="Y133" s="159"/>
      <c r="Z133" s="159"/>
      <c r="AA133" s="159"/>
      <c r="AB133" s="159"/>
      <c r="AC133" s="159"/>
      <c r="AD133" s="159"/>
      <c r="AE133" s="159"/>
    </row>
    <row r="134">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c r="X134" s="159"/>
      <c r="Y134" s="159"/>
      <c r="Z134" s="159"/>
      <c r="AA134" s="159"/>
      <c r="AB134" s="159"/>
      <c r="AC134" s="159"/>
      <c r="AD134" s="159"/>
      <c r="AE134" s="159"/>
    </row>
    <row r="135">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c r="X135" s="159"/>
      <c r="Y135" s="159"/>
      <c r="Z135" s="159"/>
      <c r="AA135" s="159"/>
      <c r="AB135" s="159"/>
      <c r="AC135" s="159"/>
      <c r="AD135" s="159"/>
      <c r="AE135" s="159"/>
    </row>
    <row r="136">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c r="X136" s="159"/>
      <c r="Y136" s="159"/>
      <c r="Z136" s="159"/>
      <c r="AA136" s="159"/>
      <c r="AB136" s="159"/>
      <c r="AC136" s="159"/>
      <c r="AD136" s="159"/>
      <c r="AE136" s="159"/>
    </row>
    <row r="137">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c r="X137" s="159"/>
      <c r="Y137" s="159"/>
      <c r="Z137" s="159"/>
      <c r="AA137" s="159"/>
      <c r="AB137" s="159"/>
      <c r="AC137" s="159"/>
      <c r="AD137" s="159"/>
      <c r="AE137" s="159"/>
    </row>
    <row r="138">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59"/>
      <c r="Z138" s="159"/>
      <c r="AA138" s="159"/>
      <c r="AB138" s="159"/>
      <c r="AC138" s="159"/>
      <c r="AD138" s="159"/>
      <c r="AE138" s="159"/>
    </row>
    <row r="139">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c r="X139" s="159"/>
      <c r="Y139" s="159"/>
      <c r="Z139" s="159"/>
      <c r="AA139" s="159"/>
      <c r="AB139" s="159"/>
      <c r="AC139" s="159"/>
      <c r="AD139" s="159"/>
      <c r="AE139" s="159"/>
    </row>
    <row r="140">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c r="X140" s="159"/>
      <c r="Y140" s="159"/>
      <c r="Z140" s="159"/>
      <c r="AA140" s="159"/>
      <c r="AB140" s="159"/>
      <c r="AC140" s="159"/>
      <c r="AD140" s="159"/>
      <c r="AE140" s="159"/>
    </row>
    <row r="14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c r="X141" s="159"/>
      <c r="Y141" s="159"/>
      <c r="Z141" s="159"/>
      <c r="AA141" s="159"/>
      <c r="AB141" s="159"/>
      <c r="AC141" s="159"/>
      <c r="AD141" s="159"/>
      <c r="AE141" s="159"/>
    </row>
    <row r="142">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c r="X142" s="159"/>
      <c r="Y142" s="159"/>
      <c r="Z142" s="159"/>
      <c r="AA142" s="159"/>
      <c r="AB142" s="159"/>
      <c r="AC142" s="159"/>
      <c r="AD142" s="159"/>
      <c r="AE142" s="159"/>
    </row>
    <row r="143">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c r="X143" s="159"/>
      <c r="Y143" s="159"/>
      <c r="Z143" s="159"/>
      <c r="AA143" s="159"/>
      <c r="AB143" s="159"/>
      <c r="AC143" s="159"/>
      <c r="AD143" s="159"/>
      <c r="AE143" s="159"/>
    </row>
    <row r="144">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c r="X144" s="159"/>
      <c r="Y144" s="159"/>
      <c r="Z144" s="159"/>
      <c r="AA144" s="159"/>
      <c r="AB144" s="159"/>
      <c r="AC144" s="159"/>
      <c r="AD144" s="159"/>
      <c r="AE144" s="159"/>
    </row>
    <row r="145">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c r="X145" s="159"/>
      <c r="Y145" s="159"/>
      <c r="Z145" s="159"/>
      <c r="AA145" s="159"/>
      <c r="AB145" s="159"/>
      <c r="AC145" s="159"/>
      <c r="AD145" s="159"/>
      <c r="AE145" s="159"/>
    </row>
    <row r="146">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c r="X146" s="159"/>
      <c r="Y146" s="159"/>
      <c r="Z146" s="159"/>
      <c r="AA146" s="159"/>
      <c r="AB146" s="159"/>
      <c r="AC146" s="159"/>
      <c r="AD146" s="159"/>
      <c r="AE146" s="159"/>
    </row>
    <row r="147">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c r="X147" s="159"/>
      <c r="Y147" s="159"/>
      <c r="Z147" s="159"/>
      <c r="AA147" s="159"/>
      <c r="AB147" s="159"/>
      <c r="AC147" s="159"/>
      <c r="AD147" s="159"/>
      <c r="AE147" s="159"/>
    </row>
    <row r="148">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c r="X148" s="159"/>
      <c r="Y148" s="159"/>
      <c r="Z148" s="159"/>
      <c r="AA148" s="159"/>
      <c r="AB148" s="159"/>
      <c r="AC148" s="159"/>
      <c r="AD148" s="159"/>
      <c r="AE148" s="159"/>
    </row>
    <row r="149">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c r="X149" s="159"/>
      <c r="Y149" s="159"/>
      <c r="Z149" s="159"/>
      <c r="AA149" s="159"/>
      <c r="AB149" s="159"/>
      <c r="AC149" s="159"/>
      <c r="AD149" s="159"/>
      <c r="AE149" s="159"/>
    </row>
    <row r="150">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c r="X150" s="159"/>
      <c r="Y150" s="159"/>
      <c r="Z150" s="159"/>
      <c r="AA150" s="159"/>
      <c r="AB150" s="159"/>
      <c r="AC150" s="159"/>
      <c r="AD150" s="159"/>
      <c r="AE150" s="159"/>
    </row>
    <row r="15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c r="X151" s="159"/>
      <c r="Y151" s="159"/>
      <c r="Z151" s="159"/>
      <c r="AA151" s="159"/>
      <c r="AB151" s="159"/>
      <c r="AC151" s="159"/>
      <c r="AD151" s="159"/>
      <c r="AE151" s="159"/>
    </row>
    <row r="152">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c r="X152" s="159"/>
      <c r="Y152" s="159"/>
      <c r="Z152" s="159"/>
      <c r="AA152" s="159"/>
      <c r="AB152" s="159"/>
      <c r="AC152" s="159"/>
      <c r="AD152" s="159"/>
      <c r="AE152" s="159"/>
    </row>
    <row r="153">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c r="X153" s="159"/>
      <c r="Y153" s="159"/>
      <c r="Z153" s="159"/>
      <c r="AA153" s="159"/>
      <c r="AB153" s="159"/>
      <c r="AC153" s="159"/>
      <c r="AD153" s="159"/>
      <c r="AE153" s="159"/>
    </row>
    <row r="154">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c r="X154" s="159"/>
      <c r="Y154" s="159"/>
      <c r="Z154" s="159"/>
      <c r="AA154" s="159"/>
      <c r="AB154" s="159"/>
      <c r="AC154" s="159"/>
      <c r="AD154" s="159"/>
      <c r="AE154" s="159"/>
    </row>
    <row r="155">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c r="X155" s="159"/>
      <c r="Y155" s="159"/>
      <c r="Z155" s="159"/>
      <c r="AA155" s="159"/>
      <c r="AB155" s="159"/>
      <c r="AC155" s="159"/>
      <c r="AD155" s="159"/>
      <c r="AE155" s="159"/>
    </row>
    <row r="156">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c r="X156" s="159"/>
      <c r="Y156" s="159"/>
      <c r="Z156" s="159"/>
      <c r="AA156" s="159"/>
      <c r="AB156" s="159"/>
      <c r="AC156" s="159"/>
      <c r="AD156" s="159"/>
      <c r="AE156" s="159"/>
    </row>
    <row r="157">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c r="AA157" s="159"/>
      <c r="AB157" s="159"/>
      <c r="AC157" s="159"/>
      <c r="AD157" s="159"/>
      <c r="AE157" s="159"/>
    </row>
    <row r="158">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c r="AA158" s="159"/>
      <c r="AB158" s="159"/>
      <c r="AC158" s="159"/>
      <c r="AD158" s="159"/>
      <c r="AE158" s="159"/>
    </row>
    <row r="159">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c r="Z159" s="159"/>
      <c r="AA159" s="159"/>
      <c r="AB159" s="159"/>
      <c r="AC159" s="159"/>
      <c r="AD159" s="159"/>
      <c r="AE159" s="159"/>
    </row>
    <row r="160">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c r="Z160" s="159"/>
      <c r="AA160" s="159"/>
      <c r="AB160" s="159"/>
      <c r="AC160" s="159"/>
      <c r="AD160" s="159"/>
      <c r="AE160" s="159"/>
    </row>
    <row r="16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c r="X161" s="159"/>
      <c r="Y161" s="159"/>
      <c r="Z161" s="159"/>
      <c r="AA161" s="159"/>
      <c r="AB161" s="159"/>
      <c r="AC161" s="159"/>
      <c r="AD161" s="159"/>
      <c r="AE161" s="159"/>
    </row>
    <row r="162">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c r="Z162" s="159"/>
      <c r="AA162" s="159"/>
      <c r="AB162" s="159"/>
      <c r="AC162" s="159"/>
      <c r="AD162" s="159"/>
      <c r="AE162" s="159"/>
    </row>
    <row r="163">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c r="X163" s="159"/>
      <c r="Y163" s="159"/>
      <c r="Z163" s="159"/>
      <c r="AA163" s="159"/>
      <c r="AB163" s="159"/>
      <c r="AC163" s="159"/>
      <c r="AD163" s="159"/>
      <c r="AE163" s="159"/>
    </row>
    <row r="164">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c r="X164" s="159"/>
      <c r="Y164" s="159"/>
      <c r="Z164" s="159"/>
      <c r="AA164" s="159"/>
      <c r="AB164" s="159"/>
      <c r="AC164" s="159"/>
      <c r="AD164" s="159"/>
      <c r="AE164" s="159"/>
    </row>
    <row r="165">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c r="X165" s="159"/>
      <c r="Y165" s="159"/>
      <c r="Z165" s="159"/>
      <c r="AA165" s="159"/>
      <c r="AB165" s="159"/>
      <c r="AC165" s="159"/>
      <c r="AD165" s="159"/>
      <c r="AE165" s="159"/>
    </row>
    <row r="166">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c r="X166" s="159"/>
      <c r="Y166" s="159"/>
      <c r="Z166" s="159"/>
      <c r="AA166" s="159"/>
      <c r="AB166" s="159"/>
      <c r="AC166" s="159"/>
      <c r="AD166" s="159"/>
      <c r="AE166" s="159"/>
    </row>
    <row r="167">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c r="X167" s="159"/>
      <c r="Y167" s="159"/>
      <c r="Z167" s="159"/>
      <c r="AA167" s="159"/>
      <c r="AB167" s="159"/>
      <c r="AC167" s="159"/>
      <c r="AD167" s="159"/>
      <c r="AE167" s="159"/>
    </row>
    <row r="168">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c r="X168" s="159"/>
      <c r="Y168" s="159"/>
      <c r="Z168" s="159"/>
      <c r="AA168" s="159"/>
      <c r="AB168" s="159"/>
      <c r="AC168" s="159"/>
      <c r="AD168" s="159"/>
      <c r="AE168" s="159"/>
    </row>
    <row r="169">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c r="X169" s="159"/>
      <c r="Y169" s="159"/>
      <c r="Z169" s="159"/>
      <c r="AA169" s="159"/>
      <c r="AB169" s="159"/>
      <c r="AC169" s="159"/>
      <c r="AD169" s="159"/>
      <c r="AE169" s="159"/>
    </row>
    <row r="170">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c r="X170" s="159"/>
      <c r="Y170" s="159"/>
      <c r="Z170" s="159"/>
      <c r="AA170" s="159"/>
      <c r="AB170" s="159"/>
      <c r="AC170" s="159"/>
      <c r="AD170" s="159"/>
      <c r="AE170" s="159"/>
    </row>
    <row r="17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c r="X171" s="159"/>
      <c r="Y171" s="159"/>
      <c r="Z171" s="159"/>
      <c r="AA171" s="159"/>
      <c r="AB171" s="159"/>
      <c r="AC171" s="159"/>
      <c r="AD171" s="159"/>
      <c r="AE171" s="159"/>
    </row>
    <row r="172">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c r="Z172" s="159"/>
      <c r="AA172" s="159"/>
      <c r="AB172" s="159"/>
      <c r="AC172" s="159"/>
      <c r="AD172" s="159"/>
      <c r="AE172" s="159"/>
    </row>
    <row r="173">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c r="AA173" s="159"/>
      <c r="AB173" s="159"/>
      <c r="AC173" s="159"/>
      <c r="AD173" s="159"/>
      <c r="AE173" s="159"/>
    </row>
    <row r="174">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c r="AA174" s="159"/>
      <c r="AB174" s="159"/>
      <c r="AC174" s="159"/>
      <c r="AD174" s="159"/>
      <c r="AE174" s="159"/>
    </row>
    <row r="175">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c r="X175" s="159"/>
      <c r="Y175" s="159"/>
      <c r="Z175" s="159"/>
      <c r="AA175" s="159"/>
      <c r="AB175" s="159"/>
      <c r="AC175" s="159"/>
      <c r="AD175" s="159"/>
      <c r="AE175" s="159"/>
    </row>
    <row r="176">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c r="X176" s="159"/>
      <c r="Y176" s="159"/>
      <c r="Z176" s="159"/>
      <c r="AA176" s="159"/>
      <c r="AB176" s="159"/>
      <c r="AC176" s="159"/>
      <c r="AD176" s="159"/>
      <c r="AE176" s="159"/>
    </row>
    <row r="177">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c r="X177" s="159"/>
      <c r="Y177" s="159"/>
      <c r="Z177" s="159"/>
      <c r="AA177" s="159"/>
      <c r="AB177" s="159"/>
      <c r="AC177" s="159"/>
      <c r="AD177" s="159"/>
      <c r="AE177" s="159"/>
    </row>
    <row r="178">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c r="X178" s="159"/>
      <c r="Y178" s="159"/>
      <c r="Z178" s="159"/>
      <c r="AA178" s="159"/>
      <c r="AB178" s="159"/>
      <c r="AC178" s="159"/>
      <c r="AD178" s="159"/>
      <c r="AE178" s="159"/>
    </row>
    <row r="179">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c r="X179" s="159"/>
      <c r="Y179" s="159"/>
      <c r="Z179" s="159"/>
      <c r="AA179" s="159"/>
      <c r="AB179" s="159"/>
      <c r="AC179" s="159"/>
      <c r="AD179" s="159"/>
      <c r="AE179" s="159"/>
    </row>
    <row r="180">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c r="X180" s="159"/>
      <c r="Y180" s="159"/>
      <c r="Z180" s="159"/>
      <c r="AA180" s="159"/>
      <c r="AB180" s="159"/>
      <c r="AC180" s="159"/>
      <c r="AD180" s="159"/>
      <c r="AE180" s="159"/>
    </row>
    <row r="181">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c r="X181" s="159"/>
      <c r="Y181" s="159"/>
      <c r="Z181" s="159"/>
      <c r="AA181" s="159"/>
      <c r="AB181" s="159"/>
      <c r="AC181" s="159"/>
      <c r="AD181" s="159"/>
      <c r="AE181" s="159"/>
    </row>
    <row r="182">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c r="X182" s="159"/>
      <c r="Y182" s="159"/>
      <c r="Z182" s="159"/>
      <c r="AA182" s="159"/>
      <c r="AB182" s="159"/>
      <c r="AC182" s="159"/>
      <c r="AD182" s="159"/>
      <c r="AE182" s="159"/>
    </row>
    <row r="183">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c r="Z183" s="159"/>
      <c r="AA183" s="159"/>
      <c r="AB183" s="159"/>
      <c r="AC183" s="159"/>
      <c r="AD183" s="159"/>
      <c r="AE183" s="159"/>
    </row>
    <row r="184">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c r="X184" s="159"/>
      <c r="Y184" s="159"/>
      <c r="Z184" s="159"/>
      <c r="AA184" s="159"/>
      <c r="AB184" s="159"/>
      <c r="AC184" s="159"/>
      <c r="AD184" s="159"/>
      <c r="AE184" s="159"/>
    </row>
    <row r="185">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c r="X185" s="159"/>
      <c r="Y185" s="159"/>
      <c r="Z185" s="159"/>
      <c r="AA185" s="159"/>
      <c r="AB185" s="159"/>
      <c r="AC185" s="159"/>
      <c r="AD185" s="159"/>
      <c r="AE185" s="159"/>
    </row>
    <row r="186">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c r="X186" s="159"/>
      <c r="Y186" s="159"/>
      <c r="Z186" s="159"/>
      <c r="AA186" s="159"/>
      <c r="AB186" s="159"/>
      <c r="AC186" s="159"/>
      <c r="AD186" s="159"/>
      <c r="AE186" s="159"/>
    </row>
    <row r="187">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c r="X187" s="159"/>
      <c r="Y187" s="159"/>
      <c r="Z187" s="159"/>
      <c r="AA187" s="159"/>
      <c r="AB187" s="159"/>
      <c r="AC187" s="159"/>
      <c r="AD187" s="159"/>
      <c r="AE187" s="159"/>
    </row>
    <row r="188">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c r="X188" s="159"/>
      <c r="Y188" s="159"/>
      <c r="Z188" s="159"/>
      <c r="AA188" s="159"/>
      <c r="AB188" s="159"/>
      <c r="AC188" s="159"/>
      <c r="AD188" s="159"/>
      <c r="AE188" s="159"/>
    </row>
    <row r="189">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c r="X189" s="159"/>
      <c r="Y189" s="159"/>
      <c r="Z189" s="159"/>
      <c r="AA189" s="159"/>
      <c r="AB189" s="159"/>
      <c r="AC189" s="159"/>
      <c r="AD189" s="159"/>
      <c r="AE189" s="159"/>
    </row>
    <row r="190">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c r="X190" s="159"/>
      <c r="Y190" s="159"/>
      <c r="Z190" s="159"/>
      <c r="AA190" s="159"/>
      <c r="AB190" s="159"/>
      <c r="AC190" s="159"/>
      <c r="AD190" s="159"/>
      <c r="AE190" s="159"/>
    </row>
    <row r="191">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c r="X191" s="159"/>
      <c r="Y191" s="159"/>
      <c r="Z191" s="159"/>
      <c r="AA191" s="159"/>
      <c r="AB191" s="159"/>
      <c r="AC191" s="159"/>
      <c r="AD191" s="159"/>
      <c r="AE191" s="159"/>
    </row>
    <row r="192">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c r="X192" s="159"/>
      <c r="Y192" s="159"/>
      <c r="Z192" s="159"/>
      <c r="AA192" s="159"/>
      <c r="AB192" s="159"/>
      <c r="AC192" s="159"/>
      <c r="AD192" s="159"/>
      <c r="AE192" s="159"/>
    </row>
    <row r="193">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59"/>
      <c r="AC193" s="159"/>
      <c r="AD193" s="159"/>
      <c r="AE193" s="159"/>
    </row>
    <row r="194">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c r="X194" s="159"/>
      <c r="Y194" s="159"/>
      <c r="Z194" s="159"/>
      <c r="AA194" s="159"/>
      <c r="AB194" s="159"/>
      <c r="AC194" s="159"/>
      <c r="AD194" s="159"/>
      <c r="AE194" s="159"/>
    </row>
    <row r="195">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c r="X195" s="159"/>
      <c r="Y195" s="159"/>
      <c r="Z195" s="159"/>
      <c r="AA195" s="159"/>
      <c r="AB195" s="159"/>
      <c r="AC195" s="159"/>
      <c r="AD195" s="159"/>
      <c r="AE195" s="159"/>
    </row>
    <row r="196">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c r="X196" s="159"/>
      <c r="Y196" s="159"/>
      <c r="Z196" s="159"/>
      <c r="AA196" s="159"/>
      <c r="AB196" s="159"/>
      <c r="AC196" s="159"/>
      <c r="AD196" s="159"/>
      <c r="AE196" s="159"/>
    </row>
    <row r="197">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c r="X197" s="159"/>
      <c r="Y197" s="159"/>
      <c r="Z197" s="159"/>
      <c r="AA197" s="159"/>
      <c r="AB197" s="159"/>
      <c r="AC197" s="159"/>
      <c r="AD197" s="159"/>
      <c r="AE197" s="159"/>
    </row>
    <row r="198">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c r="X198" s="159"/>
      <c r="Y198" s="159"/>
      <c r="Z198" s="159"/>
      <c r="AA198" s="159"/>
      <c r="AB198" s="159"/>
      <c r="AC198" s="159"/>
      <c r="AD198" s="159"/>
      <c r="AE198" s="159"/>
    </row>
    <row r="199">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c r="X199" s="159"/>
      <c r="Y199" s="159"/>
      <c r="Z199" s="159"/>
      <c r="AA199" s="159"/>
      <c r="AB199" s="159"/>
      <c r="AC199" s="159"/>
      <c r="AD199" s="159"/>
      <c r="AE199" s="159"/>
    </row>
    <row r="200">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c r="X200" s="159"/>
      <c r="Y200" s="159"/>
      <c r="Z200" s="159"/>
      <c r="AA200" s="159"/>
      <c r="AB200" s="159"/>
      <c r="AC200" s="159"/>
      <c r="AD200" s="159"/>
      <c r="AE200" s="159"/>
    </row>
    <row r="201">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c r="X201" s="159"/>
      <c r="Y201" s="159"/>
      <c r="Z201" s="159"/>
      <c r="AA201" s="159"/>
      <c r="AB201" s="159"/>
      <c r="AC201" s="159"/>
      <c r="AD201" s="159"/>
      <c r="AE201" s="159"/>
    </row>
    <row r="202">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c r="X202" s="159"/>
      <c r="Y202" s="159"/>
      <c r="Z202" s="159"/>
      <c r="AA202" s="159"/>
      <c r="AB202" s="159"/>
      <c r="AC202" s="159"/>
      <c r="AD202" s="159"/>
      <c r="AE202" s="159"/>
    </row>
    <row r="203">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c r="X203" s="159"/>
      <c r="Y203" s="159"/>
      <c r="Z203" s="159"/>
      <c r="AA203" s="159"/>
      <c r="AB203" s="159"/>
      <c r="AC203" s="159"/>
      <c r="AD203" s="159"/>
      <c r="AE203" s="159"/>
    </row>
    <row r="204">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c r="X204" s="159"/>
      <c r="Y204" s="159"/>
      <c r="Z204" s="159"/>
      <c r="AA204" s="159"/>
      <c r="AB204" s="159"/>
      <c r="AC204" s="159"/>
      <c r="AD204" s="159"/>
      <c r="AE204" s="159"/>
    </row>
    <row r="205">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c r="X205" s="159"/>
      <c r="Y205" s="159"/>
      <c r="Z205" s="159"/>
      <c r="AA205" s="159"/>
      <c r="AB205" s="159"/>
      <c r="AC205" s="159"/>
      <c r="AD205" s="159"/>
      <c r="AE205" s="159"/>
    </row>
    <row r="206">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c r="X206" s="159"/>
      <c r="Y206" s="159"/>
      <c r="Z206" s="159"/>
      <c r="AA206" s="159"/>
      <c r="AB206" s="159"/>
      <c r="AC206" s="159"/>
      <c r="AD206" s="159"/>
      <c r="AE206" s="159"/>
    </row>
    <row r="207">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c r="X207" s="159"/>
      <c r="Y207" s="159"/>
      <c r="Z207" s="159"/>
      <c r="AA207" s="159"/>
      <c r="AB207" s="159"/>
      <c r="AC207" s="159"/>
      <c r="AD207" s="159"/>
      <c r="AE207" s="159"/>
    </row>
    <row r="208">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c r="X208" s="159"/>
      <c r="Y208" s="159"/>
      <c r="Z208" s="159"/>
      <c r="AA208" s="159"/>
      <c r="AB208" s="159"/>
      <c r="AC208" s="159"/>
      <c r="AD208" s="159"/>
      <c r="AE208" s="159"/>
    </row>
    <row r="209">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c r="X209" s="159"/>
      <c r="Y209" s="159"/>
      <c r="Z209" s="159"/>
      <c r="AA209" s="159"/>
      <c r="AB209" s="159"/>
      <c r="AC209" s="159"/>
      <c r="AD209" s="159"/>
      <c r="AE209" s="159"/>
    </row>
    <row r="210">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c r="X210" s="159"/>
      <c r="Y210" s="159"/>
      <c r="Z210" s="159"/>
      <c r="AA210" s="159"/>
      <c r="AB210" s="159"/>
      <c r="AC210" s="159"/>
      <c r="AD210" s="159"/>
      <c r="AE210" s="159"/>
    </row>
    <row r="211">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c r="X211" s="159"/>
      <c r="Y211" s="159"/>
      <c r="Z211" s="159"/>
      <c r="AA211" s="159"/>
      <c r="AB211" s="159"/>
      <c r="AC211" s="159"/>
      <c r="AD211" s="159"/>
      <c r="AE211" s="159"/>
    </row>
    <row r="212">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c r="X212" s="159"/>
      <c r="Y212" s="159"/>
      <c r="Z212" s="159"/>
      <c r="AA212" s="159"/>
      <c r="AB212" s="159"/>
      <c r="AC212" s="159"/>
      <c r="AD212" s="159"/>
      <c r="AE212" s="159"/>
    </row>
    <row r="213">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c r="X213" s="159"/>
      <c r="Y213" s="159"/>
      <c r="Z213" s="159"/>
      <c r="AA213" s="159"/>
      <c r="AB213" s="159"/>
      <c r="AC213" s="159"/>
      <c r="AD213" s="159"/>
      <c r="AE213" s="159"/>
    </row>
    <row r="214">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c r="X214" s="159"/>
      <c r="Y214" s="159"/>
      <c r="Z214" s="159"/>
      <c r="AA214" s="159"/>
      <c r="AB214" s="159"/>
      <c r="AC214" s="159"/>
      <c r="AD214" s="159"/>
      <c r="AE214" s="159"/>
    </row>
    <row r="215">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c r="X215" s="159"/>
      <c r="Y215" s="159"/>
      <c r="Z215" s="159"/>
      <c r="AA215" s="159"/>
      <c r="AB215" s="159"/>
      <c r="AC215" s="159"/>
      <c r="AD215" s="159"/>
      <c r="AE215" s="159"/>
    </row>
    <row r="216">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c r="X216" s="159"/>
      <c r="Y216" s="159"/>
      <c r="Z216" s="159"/>
      <c r="AA216" s="159"/>
      <c r="AB216" s="159"/>
      <c r="AC216" s="159"/>
      <c r="AD216" s="159"/>
      <c r="AE216" s="159"/>
    </row>
    <row r="217">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c r="X217" s="159"/>
      <c r="Y217" s="159"/>
      <c r="Z217" s="159"/>
      <c r="AA217" s="159"/>
      <c r="AB217" s="159"/>
      <c r="AC217" s="159"/>
      <c r="AD217" s="159"/>
      <c r="AE217" s="159"/>
    </row>
    <row r="218">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c r="X218" s="159"/>
      <c r="Y218" s="159"/>
      <c r="Z218" s="159"/>
      <c r="AA218" s="159"/>
      <c r="AB218" s="159"/>
      <c r="AC218" s="159"/>
      <c r="AD218" s="159"/>
      <c r="AE218" s="159"/>
    </row>
    <row r="219">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c r="X219" s="159"/>
      <c r="Y219" s="159"/>
      <c r="Z219" s="159"/>
      <c r="AA219" s="159"/>
      <c r="AB219" s="159"/>
      <c r="AC219" s="159"/>
      <c r="AD219" s="159"/>
      <c r="AE219" s="159"/>
    </row>
    <row r="220">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c r="X220" s="159"/>
      <c r="Y220" s="159"/>
      <c r="Z220" s="159"/>
      <c r="AA220" s="159"/>
      <c r="AB220" s="159"/>
      <c r="AC220" s="159"/>
      <c r="AD220" s="159"/>
      <c r="AE220" s="159"/>
    </row>
    <row r="221">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c r="X221" s="159"/>
      <c r="Y221" s="159"/>
      <c r="Z221" s="159"/>
      <c r="AA221" s="159"/>
      <c r="AB221" s="159"/>
      <c r="AC221" s="159"/>
      <c r="AD221" s="159"/>
      <c r="AE221" s="159"/>
    </row>
    <row r="222">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c r="X222" s="159"/>
      <c r="Y222" s="159"/>
      <c r="Z222" s="159"/>
      <c r="AA222" s="159"/>
      <c r="AB222" s="159"/>
      <c r="AC222" s="159"/>
      <c r="AD222" s="159"/>
      <c r="AE222" s="159"/>
    </row>
    <row r="223">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c r="X223" s="159"/>
      <c r="Y223" s="159"/>
      <c r="Z223" s="159"/>
      <c r="AA223" s="159"/>
      <c r="AB223" s="159"/>
      <c r="AC223" s="159"/>
      <c r="AD223" s="159"/>
      <c r="AE223" s="159"/>
    </row>
    <row r="224">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c r="X224" s="159"/>
      <c r="Y224" s="159"/>
      <c r="Z224" s="159"/>
      <c r="AA224" s="159"/>
      <c r="AB224" s="159"/>
      <c r="AC224" s="159"/>
      <c r="AD224" s="159"/>
      <c r="AE224" s="159"/>
    </row>
    <row r="225">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c r="X225" s="159"/>
      <c r="Y225" s="159"/>
      <c r="Z225" s="159"/>
      <c r="AA225" s="159"/>
      <c r="AB225" s="159"/>
      <c r="AC225" s="159"/>
      <c r="AD225" s="159"/>
      <c r="AE225" s="159"/>
    </row>
    <row r="226">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c r="X226" s="159"/>
      <c r="Y226" s="159"/>
      <c r="Z226" s="159"/>
      <c r="AA226" s="159"/>
      <c r="AB226" s="159"/>
      <c r="AC226" s="159"/>
      <c r="AD226" s="159"/>
      <c r="AE226" s="159"/>
    </row>
    <row r="227">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c r="X227" s="159"/>
      <c r="Y227" s="159"/>
      <c r="Z227" s="159"/>
      <c r="AA227" s="159"/>
      <c r="AB227" s="159"/>
      <c r="AC227" s="159"/>
      <c r="AD227" s="159"/>
      <c r="AE227" s="159"/>
    </row>
    <row r="228">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c r="X228" s="159"/>
      <c r="Y228" s="159"/>
      <c r="Z228" s="159"/>
      <c r="AA228" s="159"/>
      <c r="AB228" s="159"/>
      <c r="AC228" s="159"/>
      <c r="AD228" s="159"/>
      <c r="AE228" s="159"/>
    </row>
    <row r="229">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c r="X229" s="159"/>
      <c r="Y229" s="159"/>
      <c r="Z229" s="159"/>
      <c r="AA229" s="159"/>
      <c r="AB229" s="159"/>
      <c r="AC229" s="159"/>
      <c r="AD229" s="159"/>
      <c r="AE229" s="159"/>
    </row>
    <row r="230">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c r="X230" s="159"/>
      <c r="Y230" s="159"/>
      <c r="Z230" s="159"/>
      <c r="AA230" s="159"/>
      <c r="AB230" s="159"/>
      <c r="AC230" s="159"/>
      <c r="AD230" s="159"/>
      <c r="AE230" s="159"/>
    </row>
    <row r="231">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c r="X231" s="159"/>
      <c r="Y231" s="159"/>
      <c r="Z231" s="159"/>
      <c r="AA231" s="159"/>
      <c r="AB231" s="159"/>
      <c r="AC231" s="159"/>
      <c r="AD231" s="159"/>
      <c r="AE231" s="159"/>
    </row>
    <row r="232">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c r="X232" s="159"/>
      <c r="Y232" s="159"/>
      <c r="Z232" s="159"/>
      <c r="AA232" s="159"/>
      <c r="AB232" s="159"/>
      <c r="AC232" s="159"/>
      <c r="AD232" s="159"/>
      <c r="AE232" s="159"/>
    </row>
    <row r="233">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c r="X233" s="159"/>
      <c r="Y233" s="159"/>
      <c r="Z233" s="159"/>
      <c r="AA233" s="159"/>
      <c r="AB233" s="159"/>
      <c r="AC233" s="159"/>
      <c r="AD233" s="159"/>
      <c r="AE233" s="159"/>
    </row>
    <row r="234">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c r="X234" s="159"/>
      <c r="Y234" s="159"/>
      <c r="Z234" s="159"/>
      <c r="AA234" s="159"/>
      <c r="AB234" s="159"/>
      <c r="AC234" s="159"/>
      <c r="AD234" s="159"/>
      <c r="AE234" s="159"/>
    </row>
    <row r="235">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c r="X235" s="159"/>
      <c r="Y235" s="159"/>
      <c r="Z235" s="159"/>
      <c r="AA235" s="159"/>
      <c r="AB235" s="159"/>
      <c r="AC235" s="159"/>
      <c r="AD235" s="159"/>
      <c r="AE235" s="159"/>
    </row>
    <row r="236">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c r="X236" s="159"/>
      <c r="Y236" s="159"/>
      <c r="Z236" s="159"/>
      <c r="AA236" s="159"/>
      <c r="AB236" s="159"/>
      <c r="AC236" s="159"/>
      <c r="AD236" s="159"/>
      <c r="AE236" s="159"/>
    </row>
    <row r="237">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c r="X237" s="159"/>
      <c r="Y237" s="159"/>
      <c r="Z237" s="159"/>
      <c r="AA237" s="159"/>
      <c r="AB237" s="159"/>
      <c r="AC237" s="159"/>
      <c r="AD237" s="159"/>
      <c r="AE237" s="159"/>
    </row>
    <row r="238">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c r="X238" s="159"/>
      <c r="Y238" s="159"/>
      <c r="Z238" s="159"/>
      <c r="AA238" s="159"/>
      <c r="AB238" s="159"/>
      <c r="AC238" s="159"/>
      <c r="AD238" s="159"/>
      <c r="AE238" s="159"/>
    </row>
    <row r="239">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c r="X239" s="159"/>
      <c r="Y239" s="159"/>
      <c r="Z239" s="159"/>
      <c r="AA239" s="159"/>
      <c r="AB239" s="159"/>
      <c r="AC239" s="159"/>
      <c r="AD239" s="159"/>
      <c r="AE239" s="159"/>
    </row>
    <row r="240">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c r="X240" s="159"/>
      <c r="Y240" s="159"/>
      <c r="Z240" s="159"/>
      <c r="AA240" s="159"/>
      <c r="AB240" s="159"/>
      <c r="AC240" s="159"/>
      <c r="AD240" s="159"/>
      <c r="AE240" s="159"/>
    </row>
    <row r="241">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c r="X241" s="159"/>
      <c r="Y241" s="159"/>
      <c r="Z241" s="159"/>
      <c r="AA241" s="159"/>
      <c r="AB241" s="159"/>
      <c r="AC241" s="159"/>
      <c r="AD241" s="159"/>
      <c r="AE241" s="159"/>
    </row>
    <row r="242">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c r="X242" s="159"/>
      <c r="Y242" s="159"/>
      <c r="Z242" s="159"/>
      <c r="AA242" s="159"/>
      <c r="AB242" s="159"/>
      <c r="AC242" s="159"/>
      <c r="AD242" s="159"/>
      <c r="AE242" s="159"/>
    </row>
    <row r="243">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c r="X243" s="159"/>
      <c r="Y243" s="159"/>
      <c r="Z243" s="159"/>
      <c r="AA243" s="159"/>
      <c r="AB243" s="159"/>
      <c r="AC243" s="159"/>
      <c r="AD243" s="159"/>
      <c r="AE243" s="159"/>
    </row>
    <row r="244">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c r="X244" s="159"/>
      <c r="Y244" s="159"/>
      <c r="Z244" s="159"/>
      <c r="AA244" s="159"/>
      <c r="AB244" s="159"/>
      <c r="AC244" s="159"/>
      <c r="AD244" s="159"/>
      <c r="AE244" s="159"/>
    </row>
    <row r="245">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c r="X245" s="159"/>
      <c r="Y245" s="159"/>
      <c r="Z245" s="159"/>
      <c r="AA245" s="159"/>
      <c r="AB245" s="159"/>
      <c r="AC245" s="159"/>
      <c r="AD245" s="159"/>
      <c r="AE245" s="159"/>
    </row>
    <row r="246">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c r="X246" s="159"/>
      <c r="Y246" s="159"/>
      <c r="Z246" s="159"/>
      <c r="AA246" s="159"/>
      <c r="AB246" s="159"/>
      <c r="AC246" s="159"/>
      <c r="AD246" s="159"/>
      <c r="AE246" s="159"/>
    </row>
    <row r="247">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c r="X247" s="159"/>
      <c r="Y247" s="159"/>
      <c r="Z247" s="159"/>
      <c r="AA247" s="159"/>
      <c r="AB247" s="159"/>
      <c r="AC247" s="159"/>
      <c r="AD247" s="159"/>
      <c r="AE247" s="159"/>
    </row>
    <row r="248">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c r="X248" s="159"/>
      <c r="Y248" s="159"/>
      <c r="Z248" s="159"/>
      <c r="AA248" s="159"/>
      <c r="AB248" s="159"/>
      <c r="AC248" s="159"/>
      <c r="AD248" s="159"/>
      <c r="AE248" s="159"/>
    </row>
    <row r="249">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c r="X249" s="159"/>
      <c r="Y249" s="159"/>
      <c r="Z249" s="159"/>
      <c r="AA249" s="159"/>
      <c r="AB249" s="159"/>
      <c r="AC249" s="159"/>
      <c r="AD249" s="159"/>
      <c r="AE249" s="159"/>
    </row>
    <row r="250">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c r="X250" s="159"/>
      <c r="Y250" s="159"/>
      <c r="Z250" s="159"/>
      <c r="AA250" s="159"/>
      <c r="AB250" s="159"/>
      <c r="AC250" s="159"/>
      <c r="AD250" s="159"/>
      <c r="AE250" s="159"/>
    </row>
    <row r="251">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c r="X251" s="159"/>
      <c r="Y251" s="159"/>
      <c r="Z251" s="159"/>
      <c r="AA251" s="159"/>
      <c r="AB251" s="159"/>
      <c r="AC251" s="159"/>
      <c r="AD251" s="159"/>
      <c r="AE251" s="159"/>
    </row>
    <row r="252">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c r="X252" s="159"/>
      <c r="Y252" s="159"/>
      <c r="Z252" s="159"/>
      <c r="AA252" s="159"/>
      <c r="AB252" s="159"/>
      <c r="AC252" s="159"/>
      <c r="AD252" s="159"/>
      <c r="AE252" s="159"/>
    </row>
    <row r="253">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c r="X253" s="159"/>
      <c r="Y253" s="159"/>
      <c r="Z253" s="159"/>
      <c r="AA253" s="159"/>
      <c r="AB253" s="159"/>
      <c r="AC253" s="159"/>
      <c r="AD253" s="159"/>
      <c r="AE253" s="159"/>
    </row>
    <row r="254">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c r="X254" s="159"/>
      <c r="Y254" s="159"/>
      <c r="Z254" s="159"/>
      <c r="AA254" s="159"/>
      <c r="AB254" s="159"/>
      <c r="AC254" s="159"/>
      <c r="AD254" s="159"/>
      <c r="AE254" s="159"/>
    </row>
    <row r="255">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c r="X255" s="159"/>
      <c r="Y255" s="159"/>
      <c r="Z255" s="159"/>
      <c r="AA255" s="159"/>
      <c r="AB255" s="159"/>
      <c r="AC255" s="159"/>
      <c r="AD255" s="159"/>
      <c r="AE255" s="159"/>
    </row>
    <row r="256">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c r="X256" s="159"/>
      <c r="Y256" s="159"/>
      <c r="Z256" s="159"/>
      <c r="AA256" s="159"/>
      <c r="AB256" s="159"/>
      <c r="AC256" s="159"/>
      <c r="AD256" s="159"/>
      <c r="AE256" s="159"/>
    </row>
    <row r="257">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c r="X257" s="159"/>
      <c r="Y257" s="159"/>
      <c r="Z257" s="159"/>
      <c r="AA257" s="159"/>
      <c r="AB257" s="159"/>
      <c r="AC257" s="159"/>
      <c r="AD257" s="159"/>
      <c r="AE257" s="159"/>
    </row>
    <row r="258">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c r="X258" s="159"/>
      <c r="Y258" s="159"/>
      <c r="Z258" s="159"/>
      <c r="AA258" s="159"/>
      <c r="AB258" s="159"/>
      <c r="AC258" s="159"/>
      <c r="AD258" s="159"/>
      <c r="AE258" s="159"/>
    </row>
    <row r="259">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c r="X259" s="159"/>
      <c r="Y259" s="159"/>
      <c r="Z259" s="159"/>
      <c r="AA259" s="159"/>
      <c r="AB259" s="159"/>
      <c r="AC259" s="159"/>
      <c r="AD259" s="159"/>
      <c r="AE259" s="159"/>
    </row>
    <row r="260">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c r="X260" s="159"/>
      <c r="Y260" s="159"/>
      <c r="Z260" s="159"/>
      <c r="AA260" s="159"/>
      <c r="AB260" s="159"/>
      <c r="AC260" s="159"/>
      <c r="AD260" s="159"/>
      <c r="AE260" s="159"/>
    </row>
    <row r="261">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c r="X261" s="159"/>
      <c r="Y261" s="159"/>
      <c r="Z261" s="159"/>
      <c r="AA261" s="159"/>
      <c r="AB261" s="159"/>
      <c r="AC261" s="159"/>
      <c r="AD261" s="159"/>
      <c r="AE261" s="159"/>
    </row>
    <row r="262">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c r="X262" s="159"/>
      <c r="Y262" s="159"/>
      <c r="Z262" s="159"/>
      <c r="AA262" s="159"/>
      <c r="AB262" s="159"/>
      <c r="AC262" s="159"/>
      <c r="AD262" s="159"/>
      <c r="AE262" s="159"/>
    </row>
    <row r="263">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c r="X263" s="159"/>
      <c r="Y263" s="159"/>
      <c r="Z263" s="159"/>
      <c r="AA263" s="159"/>
      <c r="AB263" s="159"/>
      <c r="AC263" s="159"/>
      <c r="AD263" s="159"/>
      <c r="AE263" s="159"/>
    </row>
    <row r="264">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c r="X264" s="159"/>
      <c r="Y264" s="159"/>
      <c r="Z264" s="159"/>
      <c r="AA264" s="159"/>
      <c r="AB264" s="159"/>
      <c r="AC264" s="159"/>
      <c r="AD264" s="159"/>
      <c r="AE264" s="159"/>
    </row>
    <row r="265">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c r="X265" s="159"/>
      <c r="Y265" s="159"/>
      <c r="Z265" s="159"/>
      <c r="AA265" s="159"/>
      <c r="AB265" s="159"/>
      <c r="AC265" s="159"/>
      <c r="AD265" s="159"/>
      <c r="AE265" s="159"/>
    </row>
    <row r="266">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c r="X266" s="159"/>
      <c r="Y266" s="159"/>
      <c r="Z266" s="159"/>
      <c r="AA266" s="159"/>
      <c r="AB266" s="159"/>
      <c r="AC266" s="159"/>
      <c r="AD266" s="159"/>
      <c r="AE266" s="159"/>
    </row>
    <row r="267">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c r="X267" s="159"/>
      <c r="Y267" s="159"/>
      <c r="Z267" s="159"/>
      <c r="AA267" s="159"/>
      <c r="AB267" s="159"/>
      <c r="AC267" s="159"/>
      <c r="AD267" s="159"/>
      <c r="AE267" s="159"/>
    </row>
    <row r="268">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c r="X268" s="159"/>
      <c r="Y268" s="159"/>
      <c r="Z268" s="159"/>
      <c r="AA268" s="159"/>
      <c r="AB268" s="159"/>
      <c r="AC268" s="159"/>
      <c r="AD268" s="159"/>
      <c r="AE268" s="159"/>
    </row>
    <row r="269">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c r="X269" s="159"/>
      <c r="Y269" s="159"/>
      <c r="Z269" s="159"/>
      <c r="AA269" s="159"/>
      <c r="AB269" s="159"/>
      <c r="AC269" s="159"/>
      <c r="AD269" s="159"/>
      <c r="AE269" s="159"/>
    </row>
    <row r="270">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c r="X270" s="159"/>
      <c r="Y270" s="159"/>
      <c r="Z270" s="159"/>
      <c r="AA270" s="159"/>
      <c r="AB270" s="159"/>
      <c r="AC270" s="159"/>
      <c r="AD270" s="159"/>
      <c r="AE270" s="159"/>
    </row>
    <row r="271">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c r="X271" s="159"/>
      <c r="Y271" s="159"/>
      <c r="Z271" s="159"/>
      <c r="AA271" s="159"/>
      <c r="AB271" s="159"/>
      <c r="AC271" s="159"/>
      <c r="AD271" s="159"/>
      <c r="AE271" s="159"/>
    </row>
    <row r="272">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c r="X272" s="159"/>
      <c r="Y272" s="159"/>
      <c r="Z272" s="159"/>
      <c r="AA272" s="159"/>
      <c r="AB272" s="159"/>
      <c r="AC272" s="159"/>
      <c r="AD272" s="159"/>
      <c r="AE272" s="159"/>
    </row>
    <row r="273">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c r="X273" s="159"/>
      <c r="Y273" s="159"/>
      <c r="Z273" s="159"/>
      <c r="AA273" s="159"/>
      <c r="AB273" s="159"/>
      <c r="AC273" s="159"/>
      <c r="AD273" s="159"/>
      <c r="AE273" s="159"/>
    </row>
    <row r="274">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c r="X274" s="159"/>
      <c r="Y274" s="159"/>
      <c r="Z274" s="159"/>
      <c r="AA274" s="159"/>
      <c r="AB274" s="159"/>
      <c r="AC274" s="159"/>
      <c r="AD274" s="159"/>
      <c r="AE274" s="159"/>
    </row>
    <row r="275">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c r="X275" s="159"/>
      <c r="Y275" s="159"/>
      <c r="Z275" s="159"/>
      <c r="AA275" s="159"/>
      <c r="AB275" s="159"/>
      <c r="AC275" s="159"/>
      <c r="AD275" s="159"/>
      <c r="AE275" s="159"/>
    </row>
    <row r="276">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c r="X276" s="159"/>
      <c r="Y276" s="159"/>
      <c r="Z276" s="159"/>
      <c r="AA276" s="159"/>
      <c r="AB276" s="159"/>
      <c r="AC276" s="159"/>
      <c r="AD276" s="159"/>
      <c r="AE276" s="159"/>
    </row>
    <row r="277">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c r="X277" s="159"/>
      <c r="Y277" s="159"/>
      <c r="Z277" s="159"/>
      <c r="AA277" s="159"/>
      <c r="AB277" s="159"/>
      <c r="AC277" s="159"/>
      <c r="AD277" s="159"/>
      <c r="AE277" s="159"/>
    </row>
    <row r="278">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c r="X278" s="159"/>
      <c r="Y278" s="159"/>
      <c r="Z278" s="159"/>
      <c r="AA278" s="159"/>
      <c r="AB278" s="159"/>
      <c r="AC278" s="159"/>
      <c r="AD278" s="159"/>
      <c r="AE278" s="159"/>
    </row>
    <row r="279">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c r="X279" s="159"/>
      <c r="Y279" s="159"/>
      <c r="Z279" s="159"/>
      <c r="AA279" s="159"/>
      <c r="AB279" s="159"/>
      <c r="AC279" s="159"/>
      <c r="AD279" s="159"/>
      <c r="AE279" s="159"/>
    </row>
    <row r="280">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c r="X280" s="159"/>
      <c r="Y280" s="159"/>
      <c r="Z280" s="159"/>
      <c r="AA280" s="159"/>
      <c r="AB280" s="159"/>
      <c r="AC280" s="159"/>
      <c r="AD280" s="159"/>
      <c r="AE280" s="159"/>
    </row>
    <row r="281">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c r="X281" s="159"/>
      <c r="Y281" s="159"/>
      <c r="Z281" s="159"/>
      <c r="AA281" s="159"/>
      <c r="AB281" s="159"/>
      <c r="AC281" s="159"/>
      <c r="AD281" s="159"/>
      <c r="AE281" s="159"/>
    </row>
    <row r="282">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c r="X282" s="159"/>
      <c r="Y282" s="159"/>
      <c r="Z282" s="159"/>
      <c r="AA282" s="159"/>
      <c r="AB282" s="159"/>
      <c r="AC282" s="159"/>
      <c r="AD282" s="159"/>
      <c r="AE282" s="159"/>
    </row>
    <row r="283">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c r="X283" s="159"/>
      <c r="Y283" s="159"/>
      <c r="Z283" s="159"/>
      <c r="AA283" s="159"/>
      <c r="AB283" s="159"/>
      <c r="AC283" s="159"/>
      <c r="AD283" s="159"/>
      <c r="AE283" s="159"/>
    </row>
    <row r="284">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c r="X284" s="159"/>
      <c r="Y284" s="159"/>
      <c r="Z284" s="159"/>
      <c r="AA284" s="159"/>
      <c r="AB284" s="159"/>
      <c r="AC284" s="159"/>
      <c r="AD284" s="159"/>
      <c r="AE284" s="159"/>
    </row>
    <row r="285">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c r="X285" s="159"/>
      <c r="Y285" s="159"/>
      <c r="Z285" s="159"/>
      <c r="AA285" s="159"/>
      <c r="AB285" s="159"/>
      <c r="AC285" s="159"/>
      <c r="AD285" s="159"/>
      <c r="AE285" s="159"/>
    </row>
    <row r="286">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c r="X286" s="159"/>
      <c r="Y286" s="159"/>
      <c r="Z286" s="159"/>
      <c r="AA286" s="159"/>
      <c r="AB286" s="159"/>
      <c r="AC286" s="159"/>
      <c r="AD286" s="159"/>
      <c r="AE286" s="159"/>
    </row>
    <row r="287">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c r="X287" s="159"/>
      <c r="Y287" s="159"/>
      <c r="Z287" s="159"/>
      <c r="AA287" s="159"/>
      <c r="AB287" s="159"/>
      <c r="AC287" s="159"/>
      <c r="AD287" s="159"/>
      <c r="AE287" s="159"/>
    </row>
    <row r="288">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c r="X288" s="159"/>
      <c r="Y288" s="159"/>
      <c r="Z288" s="159"/>
      <c r="AA288" s="159"/>
      <c r="AB288" s="159"/>
      <c r="AC288" s="159"/>
      <c r="AD288" s="159"/>
      <c r="AE288" s="159"/>
    </row>
    <row r="289">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c r="X289" s="159"/>
      <c r="Y289" s="159"/>
      <c r="Z289" s="159"/>
      <c r="AA289" s="159"/>
      <c r="AB289" s="159"/>
      <c r="AC289" s="159"/>
      <c r="AD289" s="159"/>
      <c r="AE289" s="159"/>
    </row>
    <row r="290">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c r="X290" s="159"/>
      <c r="Y290" s="159"/>
      <c r="Z290" s="159"/>
      <c r="AA290" s="159"/>
      <c r="AB290" s="159"/>
      <c r="AC290" s="159"/>
      <c r="AD290" s="159"/>
      <c r="AE290" s="159"/>
    </row>
    <row r="291">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c r="X291" s="159"/>
      <c r="Y291" s="159"/>
      <c r="Z291" s="159"/>
      <c r="AA291" s="159"/>
      <c r="AB291" s="159"/>
      <c r="AC291" s="159"/>
      <c r="AD291" s="159"/>
      <c r="AE291" s="159"/>
    </row>
    <row r="292">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c r="X292" s="159"/>
      <c r="Y292" s="159"/>
      <c r="Z292" s="159"/>
      <c r="AA292" s="159"/>
      <c r="AB292" s="159"/>
      <c r="AC292" s="159"/>
      <c r="AD292" s="159"/>
      <c r="AE292" s="159"/>
    </row>
    <row r="293">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c r="X293" s="159"/>
      <c r="Y293" s="159"/>
      <c r="Z293" s="159"/>
      <c r="AA293" s="159"/>
      <c r="AB293" s="159"/>
      <c r="AC293" s="159"/>
      <c r="AD293" s="159"/>
      <c r="AE293" s="159"/>
    </row>
    <row r="294">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c r="X294" s="159"/>
      <c r="Y294" s="159"/>
      <c r="Z294" s="159"/>
      <c r="AA294" s="159"/>
      <c r="AB294" s="159"/>
      <c r="AC294" s="159"/>
      <c r="AD294" s="159"/>
      <c r="AE294" s="159"/>
    </row>
    <row r="295">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c r="X295" s="159"/>
      <c r="Y295" s="159"/>
      <c r="Z295" s="159"/>
      <c r="AA295" s="159"/>
      <c r="AB295" s="159"/>
      <c r="AC295" s="159"/>
      <c r="AD295" s="159"/>
      <c r="AE295" s="159"/>
    </row>
    <row r="296">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c r="X296" s="159"/>
      <c r="Y296" s="159"/>
      <c r="Z296" s="159"/>
      <c r="AA296" s="159"/>
      <c r="AB296" s="159"/>
      <c r="AC296" s="159"/>
      <c r="AD296" s="159"/>
      <c r="AE296" s="159"/>
    </row>
    <row r="297">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c r="X297" s="159"/>
      <c r="Y297" s="159"/>
      <c r="Z297" s="159"/>
      <c r="AA297" s="159"/>
      <c r="AB297" s="159"/>
      <c r="AC297" s="159"/>
      <c r="AD297" s="159"/>
      <c r="AE297" s="159"/>
    </row>
    <row r="298">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c r="X298" s="159"/>
      <c r="Y298" s="159"/>
      <c r="Z298" s="159"/>
      <c r="AA298" s="159"/>
      <c r="AB298" s="159"/>
      <c r="AC298" s="159"/>
      <c r="AD298" s="159"/>
      <c r="AE298" s="159"/>
    </row>
    <row r="299">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c r="X299" s="159"/>
      <c r="Y299" s="159"/>
      <c r="Z299" s="159"/>
      <c r="AA299" s="159"/>
      <c r="AB299" s="159"/>
      <c r="AC299" s="159"/>
      <c r="AD299" s="159"/>
      <c r="AE299" s="159"/>
    </row>
    <row r="300">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c r="X300" s="159"/>
      <c r="Y300" s="159"/>
      <c r="Z300" s="159"/>
      <c r="AA300" s="159"/>
      <c r="AB300" s="159"/>
      <c r="AC300" s="159"/>
      <c r="AD300" s="159"/>
      <c r="AE300" s="159"/>
    </row>
    <row r="301">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c r="X301" s="159"/>
      <c r="Y301" s="159"/>
      <c r="Z301" s="159"/>
      <c r="AA301" s="159"/>
      <c r="AB301" s="159"/>
      <c r="AC301" s="159"/>
      <c r="AD301" s="159"/>
      <c r="AE301" s="159"/>
    </row>
    <row r="302">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c r="X302" s="159"/>
      <c r="Y302" s="159"/>
      <c r="Z302" s="159"/>
      <c r="AA302" s="159"/>
      <c r="AB302" s="159"/>
      <c r="AC302" s="159"/>
      <c r="AD302" s="159"/>
      <c r="AE302" s="159"/>
    </row>
    <row r="303">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c r="X303" s="159"/>
      <c r="Y303" s="159"/>
      <c r="Z303" s="159"/>
      <c r="AA303" s="159"/>
      <c r="AB303" s="159"/>
      <c r="AC303" s="159"/>
      <c r="AD303" s="159"/>
      <c r="AE303" s="159"/>
    </row>
    <row r="304">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c r="X304" s="159"/>
      <c r="Y304" s="159"/>
      <c r="Z304" s="159"/>
      <c r="AA304" s="159"/>
      <c r="AB304" s="159"/>
      <c r="AC304" s="159"/>
      <c r="AD304" s="159"/>
      <c r="AE304" s="159"/>
    </row>
    <row r="305">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c r="X305" s="159"/>
      <c r="Y305" s="159"/>
      <c r="Z305" s="159"/>
      <c r="AA305" s="159"/>
      <c r="AB305" s="159"/>
      <c r="AC305" s="159"/>
      <c r="AD305" s="159"/>
      <c r="AE305" s="159"/>
    </row>
    <row r="306">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c r="X306" s="159"/>
      <c r="Y306" s="159"/>
      <c r="Z306" s="159"/>
      <c r="AA306" s="159"/>
      <c r="AB306" s="159"/>
      <c r="AC306" s="159"/>
      <c r="AD306" s="159"/>
      <c r="AE306" s="159"/>
    </row>
    <row r="307">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c r="X307" s="159"/>
      <c r="Y307" s="159"/>
      <c r="Z307" s="159"/>
      <c r="AA307" s="159"/>
      <c r="AB307" s="159"/>
      <c r="AC307" s="159"/>
      <c r="AD307" s="159"/>
      <c r="AE307" s="159"/>
    </row>
    <row r="308">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c r="X308" s="159"/>
      <c r="Y308" s="159"/>
      <c r="Z308" s="159"/>
      <c r="AA308" s="159"/>
      <c r="AB308" s="159"/>
      <c r="AC308" s="159"/>
      <c r="AD308" s="159"/>
      <c r="AE308" s="159"/>
    </row>
    <row r="309">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c r="X309" s="159"/>
      <c r="Y309" s="159"/>
      <c r="Z309" s="159"/>
      <c r="AA309" s="159"/>
      <c r="AB309" s="159"/>
      <c r="AC309" s="159"/>
      <c r="AD309" s="159"/>
      <c r="AE309" s="159"/>
    </row>
    <row r="310">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c r="X310" s="159"/>
      <c r="Y310" s="159"/>
      <c r="Z310" s="159"/>
      <c r="AA310" s="159"/>
      <c r="AB310" s="159"/>
      <c r="AC310" s="159"/>
      <c r="AD310" s="159"/>
      <c r="AE310" s="159"/>
    </row>
    <row r="311">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c r="X311" s="159"/>
      <c r="Y311" s="159"/>
      <c r="Z311" s="159"/>
      <c r="AA311" s="159"/>
      <c r="AB311" s="159"/>
      <c r="AC311" s="159"/>
      <c r="AD311" s="159"/>
      <c r="AE311" s="159"/>
    </row>
    <row r="312">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c r="X312" s="159"/>
      <c r="Y312" s="159"/>
      <c r="Z312" s="159"/>
      <c r="AA312" s="159"/>
      <c r="AB312" s="159"/>
      <c r="AC312" s="159"/>
      <c r="AD312" s="159"/>
      <c r="AE312" s="159"/>
    </row>
    <row r="313">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c r="X313" s="159"/>
      <c r="Y313" s="159"/>
      <c r="Z313" s="159"/>
      <c r="AA313" s="159"/>
      <c r="AB313" s="159"/>
      <c r="AC313" s="159"/>
      <c r="AD313" s="159"/>
      <c r="AE313" s="159"/>
    </row>
    <row r="314">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c r="X314" s="159"/>
      <c r="Y314" s="159"/>
      <c r="Z314" s="159"/>
      <c r="AA314" s="159"/>
      <c r="AB314" s="159"/>
      <c r="AC314" s="159"/>
      <c r="AD314" s="159"/>
      <c r="AE314" s="159"/>
    </row>
    <row r="315">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c r="X315" s="159"/>
      <c r="Y315" s="159"/>
      <c r="Z315" s="159"/>
      <c r="AA315" s="159"/>
      <c r="AB315" s="159"/>
      <c r="AC315" s="159"/>
      <c r="AD315" s="159"/>
      <c r="AE315" s="159"/>
    </row>
    <row r="316">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c r="X316" s="159"/>
      <c r="Y316" s="159"/>
      <c r="Z316" s="159"/>
      <c r="AA316" s="159"/>
      <c r="AB316" s="159"/>
      <c r="AC316" s="159"/>
      <c r="AD316" s="159"/>
      <c r="AE316" s="159"/>
    </row>
    <row r="317">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c r="X317" s="159"/>
      <c r="Y317" s="159"/>
      <c r="Z317" s="159"/>
      <c r="AA317" s="159"/>
      <c r="AB317" s="159"/>
      <c r="AC317" s="159"/>
      <c r="AD317" s="159"/>
      <c r="AE317" s="159"/>
    </row>
    <row r="318">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c r="X318" s="159"/>
      <c r="Y318" s="159"/>
      <c r="Z318" s="159"/>
      <c r="AA318" s="159"/>
      <c r="AB318" s="159"/>
      <c r="AC318" s="159"/>
      <c r="AD318" s="159"/>
      <c r="AE318" s="159"/>
    </row>
    <row r="319">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c r="X319" s="159"/>
      <c r="Y319" s="159"/>
      <c r="Z319" s="159"/>
      <c r="AA319" s="159"/>
      <c r="AB319" s="159"/>
      <c r="AC319" s="159"/>
      <c r="AD319" s="159"/>
      <c r="AE319" s="159"/>
    </row>
    <row r="320">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c r="X320" s="159"/>
      <c r="Y320" s="159"/>
      <c r="Z320" s="159"/>
      <c r="AA320" s="159"/>
      <c r="AB320" s="159"/>
      <c r="AC320" s="159"/>
      <c r="AD320" s="159"/>
      <c r="AE320" s="159"/>
    </row>
    <row r="321">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c r="X321" s="159"/>
      <c r="Y321" s="159"/>
      <c r="Z321" s="159"/>
      <c r="AA321" s="159"/>
      <c r="AB321" s="159"/>
      <c r="AC321" s="159"/>
      <c r="AD321" s="159"/>
      <c r="AE321" s="159"/>
    </row>
    <row r="322">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c r="X322" s="159"/>
      <c r="Y322" s="159"/>
      <c r="Z322" s="159"/>
      <c r="AA322" s="159"/>
      <c r="AB322" s="159"/>
      <c r="AC322" s="159"/>
      <c r="AD322" s="159"/>
      <c r="AE322" s="159"/>
    </row>
    <row r="323">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c r="X323" s="159"/>
      <c r="Y323" s="159"/>
      <c r="Z323" s="159"/>
      <c r="AA323" s="159"/>
      <c r="AB323" s="159"/>
      <c r="AC323" s="159"/>
      <c r="AD323" s="159"/>
      <c r="AE323" s="159"/>
    </row>
    <row r="324">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c r="X324" s="159"/>
      <c r="Y324" s="159"/>
      <c r="Z324" s="159"/>
      <c r="AA324" s="159"/>
      <c r="AB324" s="159"/>
      <c r="AC324" s="159"/>
      <c r="AD324" s="159"/>
      <c r="AE324" s="159"/>
    </row>
    <row r="325">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c r="X325" s="159"/>
      <c r="Y325" s="159"/>
      <c r="Z325" s="159"/>
      <c r="AA325" s="159"/>
      <c r="AB325" s="159"/>
      <c r="AC325" s="159"/>
      <c r="AD325" s="159"/>
      <c r="AE325" s="159"/>
    </row>
    <row r="326">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c r="X326" s="159"/>
      <c r="Y326" s="159"/>
      <c r="Z326" s="159"/>
      <c r="AA326" s="159"/>
      <c r="AB326" s="159"/>
      <c r="AC326" s="159"/>
      <c r="AD326" s="159"/>
      <c r="AE326" s="159"/>
    </row>
    <row r="327">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c r="X327" s="159"/>
      <c r="Y327" s="159"/>
      <c r="Z327" s="159"/>
      <c r="AA327" s="159"/>
      <c r="AB327" s="159"/>
      <c r="AC327" s="159"/>
      <c r="AD327" s="159"/>
      <c r="AE327" s="159"/>
    </row>
    <row r="328">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c r="X328" s="159"/>
      <c r="Y328" s="159"/>
      <c r="Z328" s="159"/>
      <c r="AA328" s="159"/>
      <c r="AB328" s="159"/>
      <c r="AC328" s="159"/>
      <c r="AD328" s="159"/>
      <c r="AE328" s="159"/>
    </row>
    <row r="329">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c r="AA329" s="159"/>
      <c r="AB329" s="159"/>
      <c r="AC329" s="159"/>
      <c r="AD329" s="159"/>
      <c r="AE329" s="159"/>
    </row>
    <row r="330">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c r="AA330" s="159"/>
      <c r="AB330" s="159"/>
      <c r="AC330" s="159"/>
      <c r="AD330" s="159"/>
      <c r="AE330" s="159"/>
    </row>
    <row r="331">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c r="AA331" s="159"/>
      <c r="AB331" s="159"/>
      <c r="AC331" s="159"/>
      <c r="AD331" s="159"/>
      <c r="AE331" s="159"/>
    </row>
    <row r="332">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c r="AA332" s="159"/>
      <c r="AB332" s="159"/>
      <c r="AC332" s="159"/>
      <c r="AD332" s="159"/>
      <c r="AE332" s="159"/>
    </row>
    <row r="333">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c r="X333" s="159"/>
      <c r="Y333" s="159"/>
      <c r="Z333" s="159"/>
      <c r="AA333" s="159"/>
      <c r="AB333" s="159"/>
      <c r="AC333" s="159"/>
      <c r="AD333" s="159"/>
      <c r="AE333" s="159"/>
    </row>
    <row r="334">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c r="X334" s="159"/>
      <c r="Y334" s="159"/>
      <c r="Z334" s="159"/>
      <c r="AA334" s="159"/>
      <c r="AB334" s="159"/>
      <c r="AC334" s="159"/>
      <c r="AD334" s="159"/>
      <c r="AE334" s="159"/>
    </row>
    <row r="335">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c r="X335" s="159"/>
      <c r="Y335" s="159"/>
      <c r="Z335" s="159"/>
      <c r="AA335" s="159"/>
      <c r="AB335" s="159"/>
      <c r="AC335" s="159"/>
      <c r="AD335" s="159"/>
      <c r="AE335" s="159"/>
    </row>
    <row r="336">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c r="X336" s="159"/>
      <c r="Y336" s="159"/>
      <c r="Z336" s="159"/>
      <c r="AA336" s="159"/>
      <c r="AB336" s="159"/>
      <c r="AC336" s="159"/>
      <c r="AD336" s="159"/>
      <c r="AE336" s="159"/>
    </row>
    <row r="337">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c r="X337" s="159"/>
      <c r="Y337" s="159"/>
      <c r="Z337" s="159"/>
      <c r="AA337" s="159"/>
      <c r="AB337" s="159"/>
      <c r="AC337" s="159"/>
      <c r="AD337" s="159"/>
      <c r="AE337" s="159"/>
    </row>
    <row r="338">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c r="X338" s="159"/>
      <c r="Y338" s="159"/>
      <c r="Z338" s="159"/>
      <c r="AA338" s="159"/>
      <c r="AB338" s="159"/>
      <c r="AC338" s="159"/>
      <c r="AD338" s="159"/>
      <c r="AE338" s="159"/>
    </row>
    <row r="339">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c r="X339" s="159"/>
      <c r="Y339" s="159"/>
      <c r="Z339" s="159"/>
      <c r="AA339" s="159"/>
      <c r="AB339" s="159"/>
      <c r="AC339" s="159"/>
      <c r="AD339" s="159"/>
      <c r="AE339" s="159"/>
    </row>
    <row r="340">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c r="X340" s="159"/>
      <c r="Y340" s="159"/>
      <c r="Z340" s="159"/>
      <c r="AA340" s="159"/>
      <c r="AB340" s="159"/>
      <c r="AC340" s="159"/>
      <c r="AD340" s="159"/>
      <c r="AE340" s="159"/>
    </row>
    <row r="341">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c r="X341" s="159"/>
      <c r="Y341" s="159"/>
      <c r="Z341" s="159"/>
      <c r="AA341" s="159"/>
      <c r="AB341" s="159"/>
      <c r="AC341" s="159"/>
      <c r="AD341" s="159"/>
      <c r="AE341" s="159"/>
    </row>
    <row r="342">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c r="X342" s="159"/>
      <c r="Y342" s="159"/>
      <c r="Z342" s="159"/>
      <c r="AA342" s="159"/>
      <c r="AB342" s="159"/>
      <c r="AC342" s="159"/>
      <c r="AD342" s="159"/>
      <c r="AE342" s="159"/>
    </row>
    <row r="343">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c r="X343" s="159"/>
      <c r="Y343" s="159"/>
      <c r="Z343" s="159"/>
      <c r="AA343" s="159"/>
      <c r="AB343" s="159"/>
      <c r="AC343" s="159"/>
      <c r="AD343" s="159"/>
      <c r="AE343" s="159"/>
    </row>
    <row r="344">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c r="X344" s="159"/>
      <c r="Y344" s="159"/>
      <c r="Z344" s="159"/>
      <c r="AA344" s="159"/>
      <c r="AB344" s="159"/>
      <c r="AC344" s="159"/>
      <c r="AD344" s="159"/>
      <c r="AE344" s="159"/>
    </row>
    <row r="345">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c r="X345" s="159"/>
      <c r="Y345" s="159"/>
      <c r="Z345" s="159"/>
      <c r="AA345" s="159"/>
      <c r="AB345" s="159"/>
      <c r="AC345" s="159"/>
      <c r="AD345" s="159"/>
      <c r="AE345" s="159"/>
    </row>
    <row r="346">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c r="X346" s="159"/>
      <c r="Y346" s="159"/>
      <c r="Z346" s="159"/>
      <c r="AA346" s="159"/>
      <c r="AB346" s="159"/>
      <c r="AC346" s="159"/>
      <c r="AD346" s="159"/>
      <c r="AE346" s="159"/>
    </row>
    <row r="347">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c r="X347" s="159"/>
      <c r="Y347" s="159"/>
      <c r="Z347" s="159"/>
      <c r="AA347" s="159"/>
      <c r="AB347" s="159"/>
      <c r="AC347" s="159"/>
      <c r="AD347" s="159"/>
      <c r="AE347" s="159"/>
    </row>
    <row r="348">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c r="X348" s="159"/>
      <c r="Y348" s="159"/>
      <c r="Z348" s="159"/>
      <c r="AA348" s="159"/>
      <c r="AB348" s="159"/>
      <c r="AC348" s="159"/>
      <c r="AD348" s="159"/>
      <c r="AE348" s="159"/>
    </row>
    <row r="349">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c r="X349" s="159"/>
      <c r="Y349" s="159"/>
      <c r="Z349" s="159"/>
      <c r="AA349" s="159"/>
      <c r="AB349" s="159"/>
      <c r="AC349" s="159"/>
      <c r="AD349" s="159"/>
      <c r="AE349" s="159"/>
    </row>
    <row r="350">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c r="X350" s="159"/>
      <c r="Y350" s="159"/>
      <c r="Z350" s="159"/>
      <c r="AA350" s="159"/>
      <c r="AB350" s="159"/>
      <c r="AC350" s="159"/>
      <c r="AD350" s="159"/>
      <c r="AE350" s="159"/>
    </row>
    <row r="351">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c r="X351" s="159"/>
      <c r="Y351" s="159"/>
      <c r="Z351" s="159"/>
      <c r="AA351" s="159"/>
      <c r="AB351" s="159"/>
      <c r="AC351" s="159"/>
      <c r="AD351" s="159"/>
      <c r="AE351" s="159"/>
    </row>
    <row r="352">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c r="X352" s="159"/>
      <c r="Y352" s="159"/>
      <c r="Z352" s="159"/>
      <c r="AA352" s="159"/>
      <c r="AB352" s="159"/>
      <c r="AC352" s="159"/>
      <c r="AD352" s="159"/>
      <c r="AE352" s="159"/>
    </row>
    <row r="353">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c r="X353" s="159"/>
      <c r="Y353" s="159"/>
      <c r="Z353" s="159"/>
      <c r="AA353" s="159"/>
      <c r="AB353" s="159"/>
      <c r="AC353" s="159"/>
      <c r="AD353" s="159"/>
      <c r="AE353" s="159"/>
    </row>
    <row r="354">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c r="X354" s="159"/>
      <c r="Y354" s="159"/>
      <c r="Z354" s="159"/>
      <c r="AA354" s="159"/>
      <c r="AB354" s="159"/>
      <c r="AC354" s="159"/>
      <c r="AD354" s="159"/>
      <c r="AE354" s="159"/>
    </row>
    <row r="355">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c r="X355" s="159"/>
      <c r="Y355" s="159"/>
      <c r="Z355" s="159"/>
      <c r="AA355" s="159"/>
      <c r="AB355" s="159"/>
      <c r="AC355" s="159"/>
      <c r="AD355" s="159"/>
      <c r="AE355" s="159"/>
    </row>
    <row r="356">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c r="X356" s="159"/>
      <c r="Y356" s="159"/>
      <c r="Z356" s="159"/>
      <c r="AA356" s="159"/>
      <c r="AB356" s="159"/>
      <c r="AC356" s="159"/>
      <c r="AD356" s="159"/>
      <c r="AE356" s="159"/>
    </row>
    <row r="357">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c r="X357" s="159"/>
      <c r="Y357" s="159"/>
      <c r="Z357" s="159"/>
      <c r="AA357" s="159"/>
      <c r="AB357" s="159"/>
      <c r="AC357" s="159"/>
      <c r="AD357" s="159"/>
      <c r="AE357" s="159"/>
    </row>
    <row r="358">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c r="X358" s="159"/>
      <c r="Y358" s="159"/>
      <c r="Z358" s="159"/>
      <c r="AA358" s="159"/>
      <c r="AB358" s="159"/>
      <c r="AC358" s="159"/>
      <c r="AD358" s="159"/>
      <c r="AE358" s="159"/>
    </row>
    <row r="359">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c r="X359" s="159"/>
      <c r="Y359" s="159"/>
      <c r="Z359" s="159"/>
      <c r="AA359" s="159"/>
      <c r="AB359" s="159"/>
      <c r="AC359" s="159"/>
      <c r="AD359" s="159"/>
      <c r="AE359" s="159"/>
    </row>
    <row r="360">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c r="X360" s="159"/>
      <c r="Y360" s="159"/>
      <c r="Z360" s="159"/>
      <c r="AA360" s="159"/>
      <c r="AB360" s="159"/>
      <c r="AC360" s="159"/>
      <c r="AD360" s="159"/>
      <c r="AE360" s="159"/>
    </row>
    <row r="361">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c r="X361" s="159"/>
      <c r="Y361" s="159"/>
      <c r="Z361" s="159"/>
      <c r="AA361" s="159"/>
      <c r="AB361" s="159"/>
      <c r="AC361" s="159"/>
      <c r="AD361" s="159"/>
      <c r="AE361" s="159"/>
    </row>
    <row r="362">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c r="X362" s="159"/>
      <c r="Y362" s="159"/>
      <c r="Z362" s="159"/>
      <c r="AA362" s="159"/>
      <c r="AB362" s="159"/>
      <c r="AC362" s="159"/>
      <c r="AD362" s="159"/>
      <c r="AE362" s="159"/>
    </row>
    <row r="363">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c r="X363" s="159"/>
      <c r="Y363" s="159"/>
      <c r="Z363" s="159"/>
      <c r="AA363" s="159"/>
      <c r="AB363" s="159"/>
      <c r="AC363" s="159"/>
      <c r="AD363" s="159"/>
      <c r="AE363" s="159"/>
    </row>
    <row r="364">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c r="X364" s="159"/>
      <c r="Y364" s="159"/>
      <c r="Z364" s="159"/>
      <c r="AA364" s="159"/>
      <c r="AB364" s="159"/>
      <c r="AC364" s="159"/>
      <c r="AD364" s="159"/>
      <c r="AE364" s="159"/>
    </row>
    <row r="365">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c r="X365" s="159"/>
      <c r="Y365" s="159"/>
      <c r="Z365" s="159"/>
      <c r="AA365" s="159"/>
      <c r="AB365" s="159"/>
      <c r="AC365" s="159"/>
      <c r="AD365" s="159"/>
      <c r="AE365" s="159"/>
    </row>
    <row r="366">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c r="X366" s="159"/>
      <c r="Y366" s="159"/>
      <c r="Z366" s="159"/>
      <c r="AA366" s="159"/>
      <c r="AB366" s="159"/>
      <c r="AC366" s="159"/>
      <c r="AD366" s="159"/>
      <c r="AE366" s="159"/>
    </row>
    <row r="367">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c r="X367" s="159"/>
      <c r="Y367" s="159"/>
      <c r="Z367" s="159"/>
      <c r="AA367" s="159"/>
      <c r="AB367" s="159"/>
      <c r="AC367" s="159"/>
      <c r="AD367" s="159"/>
      <c r="AE367" s="159"/>
    </row>
    <row r="368">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c r="X368" s="159"/>
      <c r="Y368" s="159"/>
      <c r="Z368" s="159"/>
      <c r="AA368" s="159"/>
      <c r="AB368" s="159"/>
      <c r="AC368" s="159"/>
      <c r="AD368" s="159"/>
      <c r="AE368" s="159"/>
    </row>
    <row r="369">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c r="X369" s="159"/>
      <c r="Y369" s="159"/>
      <c r="Z369" s="159"/>
      <c r="AA369" s="159"/>
      <c r="AB369" s="159"/>
      <c r="AC369" s="159"/>
      <c r="AD369" s="159"/>
      <c r="AE369" s="159"/>
    </row>
    <row r="370">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c r="X370" s="159"/>
      <c r="Y370" s="159"/>
      <c r="Z370" s="159"/>
      <c r="AA370" s="159"/>
      <c r="AB370" s="159"/>
      <c r="AC370" s="159"/>
      <c r="AD370" s="159"/>
      <c r="AE370" s="159"/>
    </row>
    <row r="371">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c r="X371" s="159"/>
      <c r="Y371" s="159"/>
      <c r="Z371" s="159"/>
      <c r="AA371" s="159"/>
      <c r="AB371" s="159"/>
      <c r="AC371" s="159"/>
      <c r="AD371" s="159"/>
      <c r="AE371" s="159"/>
    </row>
    <row r="372">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c r="X372" s="159"/>
      <c r="Y372" s="159"/>
      <c r="Z372" s="159"/>
      <c r="AA372" s="159"/>
      <c r="AB372" s="159"/>
      <c r="AC372" s="159"/>
      <c r="AD372" s="159"/>
      <c r="AE372" s="159"/>
    </row>
    <row r="373">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c r="X373" s="159"/>
      <c r="Y373" s="159"/>
      <c r="Z373" s="159"/>
      <c r="AA373" s="159"/>
      <c r="AB373" s="159"/>
      <c r="AC373" s="159"/>
      <c r="AD373" s="159"/>
      <c r="AE373" s="159"/>
    </row>
    <row r="374">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c r="X374" s="159"/>
      <c r="Y374" s="159"/>
      <c r="Z374" s="159"/>
      <c r="AA374" s="159"/>
      <c r="AB374" s="159"/>
      <c r="AC374" s="159"/>
      <c r="AD374" s="159"/>
      <c r="AE374" s="159"/>
    </row>
    <row r="375">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c r="X375" s="159"/>
      <c r="Y375" s="159"/>
      <c r="Z375" s="159"/>
      <c r="AA375" s="159"/>
      <c r="AB375" s="159"/>
      <c r="AC375" s="159"/>
      <c r="AD375" s="159"/>
      <c r="AE375" s="159"/>
    </row>
    <row r="376">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c r="X376" s="159"/>
      <c r="Y376" s="159"/>
      <c r="Z376" s="159"/>
      <c r="AA376" s="159"/>
      <c r="AB376" s="159"/>
      <c r="AC376" s="159"/>
      <c r="AD376" s="159"/>
      <c r="AE376" s="159"/>
    </row>
    <row r="377">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c r="X377" s="159"/>
      <c r="Y377" s="159"/>
      <c r="Z377" s="159"/>
      <c r="AA377" s="159"/>
      <c r="AB377" s="159"/>
      <c r="AC377" s="159"/>
      <c r="AD377" s="159"/>
      <c r="AE377" s="159"/>
    </row>
    <row r="378">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c r="X378" s="159"/>
      <c r="Y378" s="159"/>
      <c r="Z378" s="159"/>
      <c r="AA378" s="159"/>
      <c r="AB378" s="159"/>
      <c r="AC378" s="159"/>
      <c r="AD378" s="159"/>
      <c r="AE378" s="159"/>
    </row>
    <row r="379">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c r="X379" s="159"/>
      <c r="Y379" s="159"/>
      <c r="Z379" s="159"/>
      <c r="AA379" s="159"/>
      <c r="AB379" s="159"/>
      <c r="AC379" s="159"/>
      <c r="AD379" s="159"/>
      <c r="AE379" s="159"/>
    </row>
    <row r="380">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c r="X380" s="159"/>
      <c r="Y380" s="159"/>
      <c r="Z380" s="159"/>
      <c r="AA380" s="159"/>
      <c r="AB380" s="159"/>
      <c r="AC380" s="159"/>
      <c r="AD380" s="159"/>
      <c r="AE380" s="159"/>
    </row>
    <row r="381">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c r="X381" s="159"/>
      <c r="Y381" s="159"/>
      <c r="Z381" s="159"/>
      <c r="AA381" s="159"/>
      <c r="AB381" s="159"/>
      <c r="AC381" s="159"/>
      <c r="AD381" s="159"/>
      <c r="AE381" s="159"/>
    </row>
    <row r="382">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c r="X382" s="159"/>
      <c r="Y382" s="159"/>
      <c r="Z382" s="159"/>
      <c r="AA382" s="159"/>
      <c r="AB382" s="159"/>
      <c r="AC382" s="159"/>
      <c r="AD382" s="159"/>
      <c r="AE382" s="159"/>
    </row>
    <row r="383">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c r="X383" s="159"/>
      <c r="Y383" s="159"/>
      <c r="Z383" s="159"/>
      <c r="AA383" s="159"/>
      <c r="AB383" s="159"/>
      <c r="AC383" s="159"/>
      <c r="AD383" s="159"/>
      <c r="AE383" s="159"/>
    </row>
    <row r="384">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c r="X384" s="159"/>
      <c r="Y384" s="159"/>
      <c r="Z384" s="159"/>
      <c r="AA384" s="159"/>
      <c r="AB384" s="159"/>
      <c r="AC384" s="159"/>
      <c r="AD384" s="159"/>
      <c r="AE384" s="159"/>
    </row>
    <row r="385">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c r="X385" s="159"/>
      <c r="Y385" s="159"/>
      <c r="Z385" s="159"/>
      <c r="AA385" s="159"/>
      <c r="AB385" s="159"/>
      <c r="AC385" s="159"/>
      <c r="AD385" s="159"/>
      <c r="AE385" s="159"/>
    </row>
    <row r="386">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c r="X386" s="159"/>
      <c r="Y386" s="159"/>
      <c r="Z386" s="159"/>
      <c r="AA386" s="159"/>
      <c r="AB386" s="159"/>
      <c r="AC386" s="159"/>
      <c r="AD386" s="159"/>
      <c r="AE386" s="159"/>
    </row>
    <row r="387">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c r="X387" s="159"/>
      <c r="Y387" s="159"/>
      <c r="Z387" s="159"/>
      <c r="AA387" s="159"/>
      <c r="AB387" s="159"/>
      <c r="AC387" s="159"/>
      <c r="AD387" s="159"/>
      <c r="AE387" s="159"/>
    </row>
    <row r="388">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c r="X388" s="159"/>
      <c r="Y388" s="159"/>
      <c r="Z388" s="159"/>
      <c r="AA388" s="159"/>
      <c r="AB388" s="159"/>
      <c r="AC388" s="159"/>
      <c r="AD388" s="159"/>
      <c r="AE388" s="159"/>
    </row>
    <row r="389">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c r="X389" s="159"/>
      <c r="Y389" s="159"/>
      <c r="Z389" s="159"/>
      <c r="AA389" s="159"/>
      <c r="AB389" s="159"/>
      <c r="AC389" s="159"/>
      <c r="AD389" s="159"/>
      <c r="AE389" s="159"/>
    </row>
    <row r="390">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c r="X390" s="159"/>
      <c r="Y390" s="159"/>
      <c r="Z390" s="159"/>
      <c r="AA390" s="159"/>
      <c r="AB390" s="159"/>
      <c r="AC390" s="159"/>
      <c r="AD390" s="159"/>
      <c r="AE390" s="159"/>
    </row>
    <row r="391">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c r="X391" s="159"/>
      <c r="Y391" s="159"/>
      <c r="Z391" s="159"/>
      <c r="AA391" s="159"/>
      <c r="AB391" s="159"/>
      <c r="AC391" s="159"/>
      <c r="AD391" s="159"/>
      <c r="AE391" s="159"/>
    </row>
    <row r="392">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c r="X392" s="159"/>
      <c r="Y392" s="159"/>
      <c r="Z392" s="159"/>
      <c r="AA392" s="159"/>
      <c r="AB392" s="159"/>
      <c r="AC392" s="159"/>
      <c r="AD392" s="159"/>
      <c r="AE392" s="159"/>
    </row>
    <row r="393">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c r="X393" s="159"/>
      <c r="Y393" s="159"/>
      <c r="Z393" s="159"/>
      <c r="AA393" s="159"/>
      <c r="AB393" s="159"/>
      <c r="AC393" s="159"/>
      <c r="AD393" s="159"/>
      <c r="AE393" s="159"/>
    </row>
    <row r="394">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c r="X394" s="159"/>
      <c r="Y394" s="159"/>
      <c r="Z394" s="159"/>
      <c r="AA394" s="159"/>
      <c r="AB394" s="159"/>
      <c r="AC394" s="159"/>
      <c r="AD394" s="159"/>
      <c r="AE394" s="159"/>
    </row>
    <row r="395">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c r="X395" s="159"/>
      <c r="Y395" s="159"/>
      <c r="Z395" s="159"/>
      <c r="AA395" s="159"/>
      <c r="AB395" s="159"/>
      <c r="AC395" s="159"/>
      <c r="AD395" s="159"/>
      <c r="AE395" s="159"/>
    </row>
    <row r="396">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c r="X396" s="159"/>
      <c r="Y396" s="159"/>
      <c r="Z396" s="159"/>
      <c r="AA396" s="159"/>
      <c r="AB396" s="159"/>
      <c r="AC396" s="159"/>
      <c r="AD396" s="159"/>
      <c r="AE396" s="159"/>
    </row>
    <row r="397">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c r="X397" s="159"/>
      <c r="Y397" s="159"/>
      <c r="Z397" s="159"/>
      <c r="AA397" s="159"/>
      <c r="AB397" s="159"/>
      <c r="AC397" s="159"/>
      <c r="AD397" s="159"/>
      <c r="AE397" s="159"/>
    </row>
    <row r="398">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c r="X398" s="159"/>
      <c r="Y398" s="159"/>
      <c r="Z398" s="159"/>
      <c r="AA398" s="159"/>
      <c r="AB398" s="159"/>
      <c r="AC398" s="159"/>
      <c r="AD398" s="159"/>
      <c r="AE398" s="159"/>
    </row>
    <row r="399">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c r="X399" s="159"/>
      <c r="Y399" s="159"/>
      <c r="Z399" s="159"/>
      <c r="AA399" s="159"/>
      <c r="AB399" s="159"/>
      <c r="AC399" s="159"/>
      <c r="AD399" s="159"/>
      <c r="AE399" s="159"/>
    </row>
    <row r="400">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c r="X400" s="159"/>
      <c r="Y400" s="159"/>
      <c r="Z400" s="159"/>
      <c r="AA400" s="159"/>
      <c r="AB400" s="159"/>
      <c r="AC400" s="159"/>
      <c r="AD400" s="159"/>
      <c r="AE400" s="159"/>
    </row>
    <row r="401">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c r="X401" s="159"/>
      <c r="Y401" s="159"/>
      <c r="Z401" s="159"/>
      <c r="AA401" s="159"/>
      <c r="AB401" s="159"/>
      <c r="AC401" s="159"/>
      <c r="AD401" s="159"/>
      <c r="AE401" s="159"/>
    </row>
    <row r="402">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c r="X402" s="159"/>
      <c r="Y402" s="159"/>
      <c r="Z402" s="159"/>
      <c r="AA402" s="159"/>
      <c r="AB402" s="159"/>
      <c r="AC402" s="159"/>
      <c r="AD402" s="159"/>
      <c r="AE402" s="159"/>
    </row>
    <row r="403">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c r="X403" s="159"/>
      <c r="Y403" s="159"/>
      <c r="Z403" s="159"/>
      <c r="AA403" s="159"/>
      <c r="AB403" s="159"/>
      <c r="AC403" s="159"/>
      <c r="AD403" s="159"/>
      <c r="AE403" s="159"/>
    </row>
    <row r="404">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c r="X404" s="159"/>
      <c r="Y404" s="159"/>
      <c r="Z404" s="159"/>
      <c r="AA404" s="159"/>
      <c r="AB404" s="159"/>
      <c r="AC404" s="159"/>
      <c r="AD404" s="159"/>
      <c r="AE404" s="159"/>
    </row>
    <row r="405">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c r="X405" s="159"/>
      <c r="Y405" s="159"/>
      <c r="Z405" s="159"/>
      <c r="AA405" s="159"/>
      <c r="AB405" s="159"/>
      <c r="AC405" s="159"/>
      <c r="AD405" s="159"/>
      <c r="AE405" s="159"/>
    </row>
    <row r="406">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c r="X406" s="159"/>
      <c r="Y406" s="159"/>
      <c r="Z406" s="159"/>
      <c r="AA406" s="159"/>
      <c r="AB406" s="159"/>
      <c r="AC406" s="159"/>
      <c r="AD406" s="159"/>
      <c r="AE406" s="159"/>
    </row>
    <row r="407">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c r="X407" s="159"/>
      <c r="Y407" s="159"/>
      <c r="Z407" s="159"/>
      <c r="AA407" s="159"/>
      <c r="AB407" s="159"/>
      <c r="AC407" s="159"/>
      <c r="AD407" s="159"/>
      <c r="AE407" s="159"/>
    </row>
    <row r="408">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c r="X408" s="159"/>
      <c r="Y408" s="159"/>
      <c r="Z408" s="159"/>
      <c r="AA408" s="159"/>
      <c r="AB408" s="159"/>
      <c r="AC408" s="159"/>
      <c r="AD408" s="159"/>
      <c r="AE408" s="159"/>
    </row>
    <row r="409">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c r="X409" s="159"/>
      <c r="Y409" s="159"/>
      <c r="Z409" s="159"/>
      <c r="AA409" s="159"/>
      <c r="AB409" s="159"/>
      <c r="AC409" s="159"/>
      <c r="AD409" s="159"/>
      <c r="AE409" s="159"/>
    </row>
    <row r="410">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c r="X410" s="159"/>
      <c r="Y410" s="159"/>
      <c r="Z410" s="159"/>
      <c r="AA410" s="159"/>
      <c r="AB410" s="159"/>
      <c r="AC410" s="159"/>
      <c r="AD410" s="159"/>
      <c r="AE410" s="159"/>
    </row>
    <row r="411">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c r="X411" s="159"/>
      <c r="Y411" s="159"/>
      <c r="Z411" s="159"/>
      <c r="AA411" s="159"/>
      <c r="AB411" s="159"/>
      <c r="AC411" s="159"/>
      <c r="AD411" s="159"/>
      <c r="AE411" s="159"/>
    </row>
    <row r="412">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c r="X412" s="159"/>
      <c r="Y412" s="159"/>
      <c r="Z412" s="159"/>
      <c r="AA412" s="159"/>
      <c r="AB412" s="159"/>
      <c r="AC412" s="159"/>
      <c r="AD412" s="159"/>
      <c r="AE412" s="159"/>
    </row>
    <row r="413">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c r="X413" s="159"/>
      <c r="Y413" s="159"/>
      <c r="Z413" s="159"/>
      <c r="AA413" s="159"/>
      <c r="AB413" s="159"/>
      <c r="AC413" s="159"/>
      <c r="AD413" s="159"/>
      <c r="AE413" s="159"/>
    </row>
    <row r="414">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c r="X414" s="159"/>
      <c r="Y414" s="159"/>
      <c r="Z414" s="159"/>
      <c r="AA414" s="159"/>
      <c r="AB414" s="159"/>
      <c r="AC414" s="159"/>
      <c r="AD414" s="159"/>
      <c r="AE414" s="159"/>
    </row>
    <row r="415">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c r="X415" s="159"/>
      <c r="Y415" s="159"/>
      <c r="Z415" s="159"/>
      <c r="AA415" s="159"/>
      <c r="AB415" s="159"/>
      <c r="AC415" s="159"/>
      <c r="AD415" s="159"/>
      <c r="AE415" s="159"/>
    </row>
    <row r="416">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c r="X416" s="159"/>
      <c r="Y416" s="159"/>
      <c r="Z416" s="159"/>
      <c r="AA416" s="159"/>
      <c r="AB416" s="159"/>
      <c r="AC416" s="159"/>
      <c r="AD416" s="159"/>
      <c r="AE416" s="159"/>
    </row>
    <row r="417">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c r="X417" s="159"/>
      <c r="Y417" s="159"/>
      <c r="Z417" s="159"/>
      <c r="AA417" s="159"/>
      <c r="AB417" s="159"/>
      <c r="AC417" s="159"/>
      <c r="AD417" s="159"/>
      <c r="AE417" s="159"/>
    </row>
    <row r="418">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c r="X418" s="159"/>
      <c r="Y418" s="159"/>
      <c r="Z418" s="159"/>
      <c r="AA418" s="159"/>
      <c r="AB418" s="159"/>
      <c r="AC418" s="159"/>
      <c r="AD418" s="159"/>
      <c r="AE418" s="159"/>
    </row>
    <row r="419">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c r="X419" s="159"/>
      <c r="Y419" s="159"/>
      <c r="Z419" s="159"/>
      <c r="AA419" s="159"/>
      <c r="AB419" s="159"/>
      <c r="AC419" s="159"/>
      <c r="AD419" s="159"/>
      <c r="AE419" s="159"/>
    </row>
    <row r="420">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c r="X420" s="159"/>
      <c r="Y420" s="159"/>
      <c r="Z420" s="159"/>
      <c r="AA420" s="159"/>
      <c r="AB420" s="159"/>
      <c r="AC420" s="159"/>
      <c r="AD420" s="159"/>
      <c r="AE420" s="159"/>
    </row>
    <row r="421">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c r="X421" s="159"/>
      <c r="Y421" s="159"/>
      <c r="Z421" s="159"/>
      <c r="AA421" s="159"/>
      <c r="AB421" s="159"/>
      <c r="AC421" s="159"/>
      <c r="AD421" s="159"/>
      <c r="AE421" s="159"/>
    </row>
    <row r="422">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c r="X422" s="159"/>
      <c r="Y422" s="159"/>
      <c r="Z422" s="159"/>
      <c r="AA422" s="159"/>
      <c r="AB422" s="159"/>
      <c r="AC422" s="159"/>
      <c r="AD422" s="159"/>
      <c r="AE422" s="159"/>
    </row>
    <row r="423">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c r="X423" s="159"/>
      <c r="Y423" s="159"/>
      <c r="Z423" s="159"/>
      <c r="AA423" s="159"/>
      <c r="AB423" s="159"/>
      <c r="AC423" s="159"/>
      <c r="AD423" s="159"/>
      <c r="AE423" s="159"/>
    </row>
    <row r="424">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c r="X424" s="159"/>
      <c r="Y424" s="159"/>
      <c r="Z424" s="159"/>
      <c r="AA424" s="159"/>
      <c r="AB424" s="159"/>
      <c r="AC424" s="159"/>
      <c r="AD424" s="159"/>
      <c r="AE424" s="159"/>
    </row>
    <row r="425">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c r="X425" s="159"/>
      <c r="Y425" s="159"/>
      <c r="Z425" s="159"/>
      <c r="AA425" s="159"/>
      <c r="AB425" s="159"/>
      <c r="AC425" s="159"/>
      <c r="AD425" s="159"/>
      <c r="AE425" s="159"/>
    </row>
    <row r="426">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c r="X426" s="159"/>
      <c r="Y426" s="159"/>
      <c r="Z426" s="159"/>
      <c r="AA426" s="159"/>
      <c r="AB426" s="159"/>
      <c r="AC426" s="159"/>
      <c r="AD426" s="159"/>
      <c r="AE426" s="159"/>
    </row>
    <row r="427">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c r="X427" s="159"/>
      <c r="Y427" s="159"/>
      <c r="Z427" s="159"/>
      <c r="AA427" s="159"/>
      <c r="AB427" s="159"/>
      <c r="AC427" s="159"/>
      <c r="AD427" s="159"/>
      <c r="AE427" s="159"/>
    </row>
    <row r="428">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c r="X428" s="159"/>
      <c r="Y428" s="159"/>
      <c r="Z428" s="159"/>
      <c r="AA428" s="159"/>
      <c r="AB428" s="159"/>
      <c r="AC428" s="159"/>
      <c r="AD428" s="159"/>
      <c r="AE428" s="159"/>
    </row>
    <row r="429">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c r="X429" s="159"/>
      <c r="Y429" s="159"/>
      <c r="Z429" s="159"/>
      <c r="AA429" s="159"/>
      <c r="AB429" s="159"/>
      <c r="AC429" s="159"/>
      <c r="AD429" s="159"/>
      <c r="AE429" s="159"/>
    </row>
    <row r="430">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c r="X430" s="159"/>
      <c r="Y430" s="159"/>
      <c r="Z430" s="159"/>
      <c r="AA430" s="159"/>
      <c r="AB430" s="159"/>
      <c r="AC430" s="159"/>
      <c r="AD430" s="159"/>
      <c r="AE430" s="159"/>
    </row>
    <row r="431">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c r="X431" s="159"/>
      <c r="Y431" s="159"/>
      <c r="Z431" s="159"/>
      <c r="AA431" s="159"/>
      <c r="AB431" s="159"/>
      <c r="AC431" s="159"/>
      <c r="AD431" s="159"/>
      <c r="AE431" s="159"/>
    </row>
    <row r="432">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c r="X432" s="159"/>
      <c r="Y432" s="159"/>
      <c r="Z432" s="159"/>
      <c r="AA432" s="159"/>
      <c r="AB432" s="159"/>
      <c r="AC432" s="159"/>
      <c r="AD432" s="159"/>
      <c r="AE432" s="159"/>
    </row>
    <row r="433">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c r="X433" s="159"/>
      <c r="Y433" s="159"/>
      <c r="Z433" s="159"/>
      <c r="AA433" s="159"/>
      <c r="AB433" s="159"/>
      <c r="AC433" s="159"/>
      <c r="AD433" s="159"/>
      <c r="AE433" s="159"/>
    </row>
    <row r="434">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c r="X434" s="159"/>
      <c r="Y434" s="159"/>
      <c r="Z434" s="159"/>
      <c r="AA434" s="159"/>
      <c r="AB434" s="159"/>
      <c r="AC434" s="159"/>
      <c r="AD434" s="159"/>
      <c r="AE434" s="159"/>
    </row>
    <row r="435">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c r="X435" s="159"/>
      <c r="Y435" s="159"/>
      <c r="Z435" s="159"/>
      <c r="AA435" s="159"/>
      <c r="AB435" s="159"/>
      <c r="AC435" s="159"/>
      <c r="AD435" s="159"/>
      <c r="AE435" s="159"/>
    </row>
    <row r="436">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c r="X436" s="159"/>
      <c r="Y436" s="159"/>
      <c r="Z436" s="159"/>
      <c r="AA436" s="159"/>
      <c r="AB436" s="159"/>
      <c r="AC436" s="159"/>
      <c r="AD436" s="159"/>
      <c r="AE436" s="159"/>
    </row>
    <row r="437">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c r="X437" s="159"/>
      <c r="Y437" s="159"/>
      <c r="Z437" s="159"/>
      <c r="AA437" s="159"/>
      <c r="AB437" s="159"/>
      <c r="AC437" s="159"/>
      <c r="AD437" s="159"/>
      <c r="AE437" s="159"/>
    </row>
    <row r="438">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c r="X438" s="159"/>
      <c r="Y438" s="159"/>
      <c r="Z438" s="159"/>
      <c r="AA438" s="159"/>
      <c r="AB438" s="159"/>
      <c r="AC438" s="159"/>
      <c r="AD438" s="159"/>
      <c r="AE438" s="159"/>
    </row>
    <row r="439">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c r="X439" s="159"/>
      <c r="Y439" s="159"/>
      <c r="Z439" s="159"/>
      <c r="AA439" s="159"/>
      <c r="AB439" s="159"/>
      <c r="AC439" s="159"/>
      <c r="AD439" s="159"/>
      <c r="AE439" s="159"/>
    </row>
    <row r="440">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c r="X440" s="159"/>
      <c r="Y440" s="159"/>
      <c r="Z440" s="159"/>
      <c r="AA440" s="159"/>
      <c r="AB440" s="159"/>
      <c r="AC440" s="159"/>
      <c r="AD440" s="159"/>
      <c r="AE440" s="159"/>
    </row>
    <row r="441">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c r="X441" s="159"/>
      <c r="Y441" s="159"/>
      <c r="Z441" s="159"/>
      <c r="AA441" s="159"/>
      <c r="AB441" s="159"/>
      <c r="AC441" s="159"/>
      <c r="AD441" s="159"/>
      <c r="AE441" s="159"/>
    </row>
    <row r="442">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c r="X442" s="159"/>
      <c r="Y442" s="159"/>
      <c r="Z442" s="159"/>
      <c r="AA442" s="159"/>
      <c r="AB442" s="159"/>
      <c r="AC442" s="159"/>
      <c r="AD442" s="159"/>
      <c r="AE442" s="159"/>
    </row>
    <row r="443">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c r="X443" s="159"/>
      <c r="Y443" s="159"/>
      <c r="Z443" s="159"/>
      <c r="AA443" s="159"/>
      <c r="AB443" s="159"/>
      <c r="AC443" s="159"/>
      <c r="AD443" s="159"/>
      <c r="AE443" s="159"/>
    </row>
    <row r="444">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c r="X444" s="159"/>
      <c r="Y444" s="159"/>
      <c r="Z444" s="159"/>
      <c r="AA444" s="159"/>
      <c r="AB444" s="159"/>
      <c r="AC444" s="159"/>
      <c r="AD444" s="159"/>
      <c r="AE444" s="159"/>
    </row>
    <row r="445">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c r="X445" s="159"/>
      <c r="Y445" s="159"/>
      <c r="Z445" s="159"/>
      <c r="AA445" s="159"/>
      <c r="AB445" s="159"/>
      <c r="AC445" s="159"/>
      <c r="AD445" s="159"/>
      <c r="AE445" s="159"/>
    </row>
    <row r="446">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c r="X446" s="159"/>
      <c r="Y446" s="159"/>
      <c r="Z446" s="159"/>
      <c r="AA446" s="159"/>
      <c r="AB446" s="159"/>
      <c r="AC446" s="159"/>
      <c r="AD446" s="159"/>
      <c r="AE446" s="159"/>
    </row>
    <row r="447">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c r="X447" s="159"/>
      <c r="Y447" s="159"/>
      <c r="Z447" s="159"/>
      <c r="AA447" s="159"/>
      <c r="AB447" s="159"/>
      <c r="AC447" s="159"/>
      <c r="AD447" s="159"/>
      <c r="AE447" s="159"/>
    </row>
    <row r="448">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c r="X448" s="159"/>
      <c r="Y448" s="159"/>
      <c r="Z448" s="159"/>
      <c r="AA448" s="159"/>
      <c r="AB448" s="159"/>
      <c r="AC448" s="159"/>
      <c r="AD448" s="159"/>
      <c r="AE448" s="159"/>
    </row>
    <row r="449">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c r="X449" s="159"/>
      <c r="Y449" s="159"/>
      <c r="Z449" s="159"/>
      <c r="AA449" s="159"/>
      <c r="AB449" s="159"/>
      <c r="AC449" s="159"/>
      <c r="AD449" s="159"/>
      <c r="AE449" s="159"/>
    </row>
    <row r="450">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c r="X450" s="159"/>
      <c r="Y450" s="159"/>
      <c r="Z450" s="159"/>
      <c r="AA450" s="159"/>
      <c r="AB450" s="159"/>
      <c r="AC450" s="159"/>
      <c r="AD450" s="159"/>
      <c r="AE450" s="159"/>
    </row>
    <row r="451">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c r="X451" s="159"/>
      <c r="Y451" s="159"/>
      <c r="Z451" s="159"/>
      <c r="AA451" s="159"/>
      <c r="AB451" s="159"/>
      <c r="AC451" s="159"/>
      <c r="AD451" s="159"/>
      <c r="AE451" s="159"/>
    </row>
    <row r="452">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c r="X452" s="159"/>
      <c r="Y452" s="159"/>
      <c r="Z452" s="159"/>
      <c r="AA452" s="159"/>
      <c r="AB452" s="159"/>
      <c r="AC452" s="159"/>
      <c r="AD452" s="159"/>
      <c r="AE452" s="159"/>
    </row>
    <row r="453">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c r="X453" s="159"/>
      <c r="Y453" s="159"/>
      <c r="Z453" s="159"/>
      <c r="AA453" s="159"/>
      <c r="AB453" s="159"/>
      <c r="AC453" s="159"/>
      <c r="AD453" s="159"/>
      <c r="AE453" s="159"/>
    </row>
    <row r="454">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c r="X454" s="159"/>
      <c r="Y454" s="159"/>
      <c r="Z454" s="159"/>
      <c r="AA454" s="159"/>
      <c r="AB454" s="159"/>
      <c r="AC454" s="159"/>
      <c r="AD454" s="159"/>
      <c r="AE454" s="159"/>
    </row>
    <row r="455">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c r="X455" s="159"/>
      <c r="Y455" s="159"/>
      <c r="Z455" s="159"/>
      <c r="AA455" s="159"/>
      <c r="AB455" s="159"/>
      <c r="AC455" s="159"/>
      <c r="AD455" s="159"/>
      <c r="AE455" s="159"/>
    </row>
    <row r="456">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c r="X456" s="159"/>
      <c r="Y456" s="159"/>
      <c r="Z456" s="159"/>
      <c r="AA456" s="159"/>
      <c r="AB456" s="159"/>
      <c r="AC456" s="159"/>
      <c r="AD456" s="159"/>
      <c r="AE456" s="159"/>
    </row>
    <row r="457">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c r="X457" s="159"/>
      <c r="Y457" s="159"/>
      <c r="Z457" s="159"/>
      <c r="AA457" s="159"/>
      <c r="AB457" s="159"/>
      <c r="AC457" s="159"/>
      <c r="AD457" s="159"/>
      <c r="AE457" s="159"/>
    </row>
    <row r="458">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c r="X458" s="159"/>
      <c r="Y458" s="159"/>
      <c r="Z458" s="159"/>
      <c r="AA458" s="159"/>
      <c r="AB458" s="159"/>
      <c r="AC458" s="159"/>
      <c r="AD458" s="159"/>
      <c r="AE458" s="159"/>
    </row>
    <row r="459">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c r="X459" s="159"/>
      <c r="Y459" s="159"/>
      <c r="Z459" s="159"/>
      <c r="AA459" s="159"/>
      <c r="AB459" s="159"/>
      <c r="AC459" s="159"/>
      <c r="AD459" s="159"/>
      <c r="AE459" s="159"/>
    </row>
    <row r="460">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c r="X460" s="159"/>
      <c r="Y460" s="159"/>
      <c r="Z460" s="159"/>
      <c r="AA460" s="159"/>
      <c r="AB460" s="159"/>
      <c r="AC460" s="159"/>
      <c r="AD460" s="159"/>
      <c r="AE460" s="159"/>
    </row>
    <row r="461">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c r="X461" s="159"/>
      <c r="Y461" s="159"/>
      <c r="Z461" s="159"/>
      <c r="AA461" s="159"/>
      <c r="AB461" s="159"/>
      <c r="AC461" s="159"/>
      <c r="AD461" s="159"/>
      <c r="AE461" s="159"/>
    </row>
    <row r="462">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c r="X462" s="159"/>
      <c r="Y462" s="159"/>
      <c r="Z462" s="159"/>
      <c r="AA462" s="159"/>
      <c r="AB462" s="159"/>
      <c r="AC462" s="159"/>
      <c r="AD462" s="159"/>
      <c r="AE462" s="159"/>
    </row>
    <row r="463">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c r="X463" s="159"/>
      <c r="Y463" s="159"/>
      <c r="Z463" s="159"/>
      <c r="AA463" s="159"/>
      <c r="AB463" s="159"/>
      <c r="AC463" s="159"/>
      <c r="AD463" s="159"/>
      <c r="AE463" s="159"/>
    </row>
    <row r="464">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c r="X464" s="159"/>
      <c r="Y464" s="159"/>
      <c r="Z464" s="159"/>
      <c r="AA464" s="159"/>
      <c r="AB464" s="159"/>
      <c r="AC464" s="159"/>
      <c r="AD464" s="159"/>
      <c r="AE464" s="159"/>
    </row>
    <row r="465">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c r="X465" s="159"/>
      <c r="Y465" s="159"/>
      <c r="Z465" s="159"/>
      <c r="AA465" s="159"/>
      <c r="AB465" s="159"/>
      <c r="AC465" s="159"/>
      <c r="AD465" s="159"/>
      <c r="AE465" s="159"/>
    </row>
    <row r="466">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c r="X466" s="159"/>
      <c r="Y466" s="159"/>
      <c r="Z466" s="159"/>
      <c r="AA466" s="159"/>
      <c r="AB466" s="159"/>
      <c r="AC466" s="159"/>
      <c r="AD466" s="159"/>
      <c r="AE466" s="159"/>
    </row>
    <row r="467">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c r="X467" s="159"/>
      <c r="Y467" s="159"/>
      <c r="Z467" s="159"/>
      <c r="AA467" s="159"/>
      <c r="AB467" s="159"/>
      <c r="AC467" s="159"/>
      <c r="AD467" s="159"/>
      <c r="AE467" s="159"/>
    </row>
    <row r="468">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c r="X468" s="159"/>
      <c r="Y468" s="159"/>
      <c r="Z468" s="159"/>
      <c r="AA468" s="159"/>
      <c r="AB468" s="159"/>
      <c r="AC468" s="159"/>
      <c r="AD468" s="159"/>
      <c r="AE468" s="159"/>
    </row>
    <row r="469">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c r="X469" s="159"/>
      <c r="Y469" s="159"/>
      <c r="Z469" s="159"/>
      <c r="AA469" s="159"/>
      <c r="AB469" s="159"/>
      <c r="AC469" s="159"/>
      <c r="AD469" s="159"/>
      <c r="AE469" s="159"/>
    </row>
    <row r="470">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c r="X470" s="159"/>
      <c r="Y470" s="159"/>
      <c r="Z470" s="159"/>
      <c r="AA470" s="159"/>
      <c r="AB470" s="159"/>
      <c r="AC470" s="159"/>
      <c r="AD470" s="159"/>
      <c r="AE470" s="159"/>
    </row>
    <row r="471">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c r="X471" s="159"/>
      <c r="Y471" s="159"/>
      <c r="Z471" s="159"/>
      <c r="AA471" s="159"/>
      <c r="AB471" s="159"/>
      <c r="AC471" s="159"/>
      <c r="AD471" s="159"/>
      <c r="AE471" s="159"/>
    </row>
    <row r="472">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c r="X472" s="159"/>
      <c r="Y472" s="159"/>
      <c r="Z472" s="159"/>
      <c r="AA472" s="159"/>
      <c r="AB472" s="159"/>
      <c r="AC472" s="159"/>
      <c r="AD472" s="159"/>
      <c r="AE472" s="159"/>
    </row>
    <row r="473">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c r="X473" s="159"/>
      <c r="Y473" s="159"/>
      <c r="Z473" s="159"/>
      <c r="AA473" s="159"/>
      <c r="AB473" s="159"/>
      <c r="AC473" s="159"/>
      <c r="AD473" s="159"/>
      <c r="AE473" s="159"/>
    </row>
    <row r="474">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c r="X474" s="159"/>
      <c r="Y474" s="159"/>
      <c r="Z474" s="159"/>
      <c r="AA474" s="159"/>
      <c r="AB474" s="159"/>
      <c r="AC474" s="159"/>
      <c r="AD474" s="159"/>
      <c r="AE474" s="159"/>
    </row>
    <row r="475">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c r="X475" s="159"/>
      <c r="Y475" s="159"/>
      <c r="Z475" s="159"/>
      <c r="AA475" s="159"/>
      <c r="AB475" s="159"/>
      <c r="AC475" s="159"/>
      <c r="AD475" s="159"/>
      <c r="AE475" s="159"/>
    </row>
    <row r="476">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c r="X476" s="159"/>
      <c r="Y476" s="159"/>
      <c r="Z476" s="159"/>
      <c r="AA476" s="159"/>
      <c r="AB476" s="159"/>
      <c r="AC476" s="159"/>
      <c r="AD476" s="159"/>
      <c r="AE476" s="159"/>
    </row>
    <row r="477">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c r="X477" s="159"/>
      <c r="Y477" s="159"/>
      <c r="Z477" s="159"/>
      <c r="AA477" s="159"/>
      <c r="AB477" s="159"/>
      <c r="AC477" s="159"/>
      <c r="AD477" s="159"/>
      <c r="AE477" s="159"/>
    </row>
    <row r="478">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c r="X478" s="159"/>
      <c r="Y478" s="159"/>
      <c r="Z478" s="159"/>
      <c r="AA478" s="159"/>
      <c r="AB478" s="159"/>
      <c r="AC478" s="159"/>
      <c r="AD478" s="159"/>
      <c r="AE478" s="159"/>
    </row>
    <row r="479">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c r="X479" s="159"/>
      <c r="Y479" s="159"/>
      <c r="Z479" s="159"/>
      <c r="AA479" s="159"/>
      <c r="AB479" s="159"/>
      <c r="AC479" s="159"/>
      <c r="AD479" s="159"/>
      <c r="AE479" s="159"/>
    </row>
    <row r="480">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c r="X480" s="159"/>
      <c r="Y480" s="159"/>
      <c r="Z480" s="159"/>
      <c r="AA480" s="159"/>
      <c r="AB480" s="159"/>
      <c r="AC480" s="159"/>
      <c r="AD480" s="159"/>
      <c r="AE480" s="159"/>
    </row>
    <row r="481">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c r="X481" s="159"/>
      <c r="Y481" s="159"/>
      <c r="Z481" s="159"/>
      <c r="AA481" s="159"/>
      <c r="AB481" s="159"/>
      <c r="AC481" s="159"/>
      <c r="AD481" s="159"/>
      <c r="AE481" s="159"/>
    </row>
    <row r="482">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c r="X482" s="159"/>
      <c r="Y482" s="159"/>
      <c r="Z482" s="159"/>
      <c r="AA482" s="159"/>
      <c r="AB482" s="159"/>
      <c r="AC482" s="159"/>
      <c r="AD482" s="159"/>
      <c r="AE482" s="159"/>
    </row>
    <row r="483">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c r="X483" s="159"/>
      <c r="Y483" s="159"/>
      <c r="Z483" s="159"/>
      <c r="AA483" s="159"/>
      <c r="AB483" s="159"/>
      <c r="AC483" s="159"/>
      <c r="AD483" s="159"/>
      <c r="AE483" s="159"/>
    </row>
    <row r="484">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c r="X484" s="159"/>
      <c r="Y484" s="159"/>
      <c r="Z484" s="159"/>
      <c r="AA484" s="159"/>
      <c r="AB484" s="159"/>
      <c r="AC484" s="159"/>
      <c r="AD484" s="159"/>
      <c r="AE484" s="159"/>
    </row>
    <row r="485">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c r="X485" s="159"/>
      <c r="Y485" s="159"/>
      <c r="Z485" s="159"/>
      <c r="AA485" s="159"/>
      <c r="AB485" s="159"/>
      <c r="AC485" s="159"/>
      <c r="AD485" s="159"/>
      <c r="AE485" s="159"/>
    </row>
    <row r="486">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c r="X486" s="159"/>
      <c r="Y486" s="159"/>
      <c r="Z486" s="159"/>
      <c r="AA486" s="159"/>
      <c r="AB486" s="159"/>
      <c r="AC486" s="159"/>
      <c r="AD486" s="159"/>
      <c r="AE486" s="159"/>
    </row>
    <row r="487">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c r="X487" s="159"/>
      <c r="Y487" s="159"/>
      <c r="Z487" s="159"/>
      <c r="AA487" s="159"/>
      <c r="AB487" s="159"/>
      <c r="AC487" s="159"/>
      <c r="AD487" s="159"/>
      <c r="AE487" s="159"/>
    </row>
    <row r="488">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c r="X488" s="159"/>
      <c r="Y488" s="159"/>
      <c r="Z488" s="159"/>
      <c r="AA488" s="159"/>
      <c r="AB488" s="159"/>
      <c r="AC488" s="159"/>
      <c r="AD488" s="159"/>
      <c r="AE488" s="159"/>
    </row>
    <row r="489">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c r="X489" s="159"/>
      <c r="Y489" s="159"/>
      <c r="Z489" s="159"/>
      <c r="AA489" s="159"/>
      <c r="AB489" s="159"/>
      <c r="AC489" s="159"/>
      <c r="AD489" s="159"/>
      <c r="AE489" s="159"/>
    </row>
    <row r="490">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c r="X490" s="159"/>
      <c r="Y490" s="159"/>
      <c r="Z490" s="159"/>
      <c r="AA490" s="159"/>
      <c r="AB490" s="159"/>
      <c r="AC490" s="159"/>
      <c r="AD490" s="159"/>
      <c r="AE490" s="159"/>
    </row>
    <row r="491">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c r="X491" s="159"/>
      <c r="Y491" s="159"/>
      <c r="Z491" s="159"/>
      <c r="AA491" s="159"/>
      <c r="AB491" s="159"/>
      <c r="AC491" s="159"/>
      <c r="AD491" s="159"/>
      <c r="AE491" s="159"/>
    </row>
    <row r="492">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c r="X492" s="159"/>
      <c r="Y492" s="159"/>
      <c r="Z492" s="159"/>
      <c r="AA492" s="159"/>
      <c r="AB492" s="159"/>
      <c r="AC492" s="159"/>
      <c r="AD492" s="159"/>
      <c r="AE492" s="159"/>
    </row>
    <row r="493">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c r="X493" s="159"/>
      <c r="Y493" s="159"/>
      <c r="Z493" s="159"/>
      <c r="AA493" s="159"/>
      <c r="AB493" s="159"/>
      <c r="AC493" s="159"/>
      <c r="AD493" s="159"/>
      <c r="AE493" s="159"/>
    </row>
    <row r="494">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c r="X494" s="159"/>
      <c r="Y494" s="159"/>
      <c r="Z494" s="159"/>
      <c r="AA494" s="159"/>
      <c r="AB494" s="159"/>
      <c r="AC494" s="159"/>
      <c r="AD494" s="159"/>
      <c r="AE494" s="159"/>
    </row>
    <row r="495">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c r="X495" s="159"/>
      <c r="Y495" s="159"/>
      <c r="Z495" s="159"/>
      <c r="AA495" s="159"/>
      <c r="AB495" s="159"/>
      <c r="AC495" s="159"/>
      <c r="AD495" s="159"/>
      <c r="AE495" s="159"/>
    </row>
    <row r="496">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c r="X496" s="159"/>
      <c r="Y496" s="159"/>
      <c r="Z496" s="159"/>
      <c r="AA496" s="159"/>
      <c r="AB496" s="159"/>
      <c r="AC496" s="159"/>
      <c r="AD496" s="159"/>
      <c r="AE496" s="159"/>
    </row>
    <row r="497">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c r="X497" s="159"/>
      <c r="Y497" s="159"/>
      <c r="Z497" s="159"/>
      <c r="AA497" s="159"/>
      <c r="AB497" s="159"/>
      <c r="AC497" s="159"/>
      <c r="AD497" s="159"/>
      <c r="AE497" s="159"/>
    </row>
    <row r="498">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c r="X498" s="159"/>
      <c r="Y498" s="159"/>
      <c r="Z498" s="159"/>
      <c r="AA498" s="159"/>
      <c r="AB498" s="159"/>
      <c r="AC498" s="159"/>
      <c r="AD498" s="159"/>
      <c r="AE498" s="159"/>
    </row>
    <row r="499">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c r="X499" s="159"/>
      <c r="Y499" s="159"/>
      <c r="Z499" s="159"/>
      <c r="AA499" s="159"/>
      <c r="AB499" s="159"/>
      <c r="AC499" s="159"/>
      <c r="AD499" s="159"/>
      <c r="AE499" s="159"/>
    </row>
    <row r="500">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c r="X500" s="159"/>
      <c r="Y500" s="159"/>
      <c r="Z500" s="159"/>
      <c r="AA500" s="159"/>
      <c r="AB500" s="159"/>
      <c r="AC500" s="159"/>
      <c r="AD500" s="159"/>
      <c r="AE500" s="159"/>
    </row>
    <row r="501">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c r="X501" s="159"/>
      <c r="Y501" s="159"/>
      <c r="Z501" s="159"/>
      <c r="AA501" s="159"/>
      <c r="AB501" s="159"/>
      <c r="AC501" s="159"/>
      <c r="AD501" s="159"/>
      <c r="AE501" s="159"/>
    </row>
    <row r="502">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c r="X502" s="159"/>
      <c r="Y502" s="159"/>
      <c r="Z502" s="159"/>
      <c r="AA502" s="159"/>
      <c r="AB502" s="159"/>
      <c r="AC502" s="159"/>
      <c r="AD502" s="159"/>
      <c r="AE502" s="159"/>
    </row>
    <row r="503">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c r="X503" s="159"/>
      <c r="Y503" s="159"/>
      <c r="Z503" s="159"/>
      <c r="AA503" s="159"/>
      <c r="AB503" s="159"/>
      <c r="AC503" s="159"/>
      <c r="AD503" s="159"/>
      <c r="AE503" s="159"/>
    </row>
    <row r="504">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c r="X504" s="159"/>
      <c r="Y504" s="159"/>
      <c r="Z504" s="159"/>
      <c r="AA504" s="159"/>
      <c r="AB504" s="159"/>
      <c r="AC504" s="159"/>
      <c r="AD504" s="159"/>
      <c r="AE504" s="159"/>
    </row>
    <row r="505">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c r="X505" s="159"/>
      <c r="Y505" s="159"/>
      <c r="Z505" s="159"/>
      <c r="AA505" s="159"/>
      <c r="AB505" s="159"/>
      <c r="AC505" s="159"/>
      <c r="AD505" s="159"/>
      <c r="AE505" s="159"/>
    </row>
    <row r="506">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c r="X506" s="159"/>
      <c r="Y506" s="159"/>
      <c r="Z506" s="159"/>
      <c r="AA506" s="159"/>
      <c r="AB506" s="159"/>
      <c r="AC506" s="159"/>
      <c r="AD506" s="159"/>
      <c r="AE506" s="159"/>
    </row>
    <row r="507">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c r="X507" s="159"/>
      <c r="Y507" s="159"/>
      <c r="Z507" s="159"/>
      <c r="AA507" s="159"/>
      <c r="AB507" s="159"/>
      <c r="AC507" s="159"/>
      <c r="AD507" s="159"/>
      <c r="AE507" s="159"/>
    </row>
    <row r="508">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c r="X508" s="159"/>
      <c r="Y508" s="159"/>
      <c r="Z508" s="159"/>
      <c r="AA508" s="159"/>
      <c r="AB508" s="159"/>
      <c r="AC508" s="159"/>
      <c r="AD508" s="159"/>
      <c r="AE508" s="159"/>
    </row>
    <row r="509">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c r="X509" s="159"/>
      <c r="Y509" s="159"/>
      <c r="Z509" s="159"/>
      <c r="AA509" s="159"/>
      <c r="AB509" s="159"/>
      <c r="AC509" s="159"/>
      <c r="AD509" s="159"/>
      <c r="AE509" s="159"/>
    </row>
    <row r="510">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c r="X510" s="159"/>
      <c r="Y510" s="159"/>
      <c r="Z510" s="159"/>
      <c r="AA510" s="159"/>
      <c r="AB510" s="159"/>
      <c r="AC510" s="159"/>
      <c r="AD510" s="159"/>
      <c r="AE510" s="159"/>
    </row>
    <row r="511">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c r="X511" s="159"/>
      <c r="Y511" s="159"/>
      <c r="Z511" s="159"/>
      <c r="AA511" s="159"/>
      <c r="AB511" s="159"/>
      <c r="AC511" s="159"/>
      <c r="AD511" s="159"/>
      <c r="AE511" s="159"/>
    </row>
    <row r="512">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c r="X512" s="159"/>
      <c r="Y512" s="159"/>
      <c r="Z512" s="159"/>
      <c r="AA512" s="159"/>
      <c r="AB512" s="159"/>
      <c r="AC512" s="159"/>
      <c r="AD512" s="159"/>
      <c r="AE512" s="159"/>
    </row>
    <row r="513">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c r="X513" s="159"/>
      <c r="Y513" s="159"/>
      <c r="Z513" s="159"/>
      <c r="AA513" s="159"/>
      <c r="AB513" s="159"/>
      <c r="AC513" s="159"/>
      <c r="AD513" s="159"/>
      <c r="AE513" s="159"/>
    </row>
    <row r="514">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c r="X514" s="159"/>
      <c r="Y514" s="159"/>
      <c r="Z514" s="159"/>
      <c r="AA514" s="159"/>
      <c r="AB514" s="159"/>
      <c r="AC514" s="159"/>
      <c r="AD514" s="159"/>
      <c r="AE514" s="159"/>
    </row>
    <row r="515">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c r="X515" s="159"/>
      <c r="Y515" s="159"/>
      <c r="Z515" s="159"/>
      <c r="AA515" s="159"/>
      <c r="AB515" s="159"/>
      <c r="AC515" s="159"/>
      <c r="AD515" s="159"/>
      <c r="AE515" s="159"/>
    </row>
    <row r="516">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c r="X516" s="159"/>
      <c r="Y516" s="159"/>
      <c r="Z516" s="159"/>
      <c r="AA516" s="159"/>
      <c r="AB516" s="159"/>
      <c r="AC516" s="159"/>
      <c r="AD516" s="159"/>
      <c r="AE516" s="159"/>
    </row>
    <row r="517">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c r="X517" s="159"/>
      <c r="Y517" s="159"/>
      <c r="Z517" s="159"/>
      <c r="AA517" s="159"/>
      <c r="AB517" s="159"/>
      <c r="AC517" s="159"/>
      <c r="AD517" s="159"/>
      <c r="AE517" s="159"/>
    </row>
    <row r="518">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c r="X518" s="159"/>
      <c r="Y518" s="159"/>
      <c r="Z518" s="159"/>
      <c r="AA518" s="159"/>
      <c r="AB518" s="159"/>
      <c r="AC518" s="159"/>
      <c r="AD518" s="159"/>
      <c r="AE518" s="159"/>
    </row>
    <row r="519">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c r="X519" s="159"/>
      <c r="Y519" s="159"/>
      <c r="Z519" s="159"/>
      <c r="AA519" s="159"/>
      <c r="AB519" s="159"/>
      <c r="AC519" s="159"/>
      <c r="AD519" s="159"/>
      <c r="AE519" s="159"/>
    </row>
    <row r="520">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c r="X520" s="159"/>
      <c r="Y520" s="159"/>
      <c r="Z520" s="159"/>
      <c r="AA520" s="159"/>
      <c r="AB520" s="159"/>
      <c r="AC520" s="159"/>
      <c r="AD520" s="159"/>
      <c r="AE520" s="159"/>
    </row>
    <row r="521">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c r="X521" s="159"/>
      <c r="Y521" s="159"/>
      <c r="Z521" s="159"/>
      <c r="AA521" s="159"/>
      <c r="AB521" s="159"/>
      <c r="AC521" s="159"/>
      <c r="AD521" s="159"/>
      <c r="AE521" s="159"/>
    </row>
    <row r="522">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c r="X522" s="159"/>
      <c r="Y522" s="159"/>
      <c r="Z522" s="159"/>
      <c r="AA522" s="159"/>
      <c r="AB522" s="159"/>
      <c r="AC522" s="159"/>
      <c r="AD522" s="159"/>
      <c r="AE522" s="159"/>
    </row>
    <row r="523">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c r="X523" s="159"/>
      <c r="Y523" s="159"/>
      <c r="Z523" s="159"/>
      <c r="AA523" s="159"/>
      <c r="AB523" s="159"/>
      <c r="AC523" s="159"/>
      <c r="AD523" s="159"/>
      <c r="AE523" s="159"/>
    </row>
    <row r="524">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c r="X524" s="159"/>
      <c r="Y524" s="159"/>
      <c r="Z524" s="159"/>
      <c r="AA524" s="159"/>
      <c r="AB524" s="159"/>
      <c r="AC524" s="159"/>
      <c r="AD524" s="159"/>
      <c r="AE524" s="159"/>
    </row>
    <row r="525">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c r="X525" s="159"/>
      <c r="Y525" s="159"/>
      <c r="Z525" s="159"/>
      <c r="AA525" s="159"/>
      <c r="AB525" s="159"/>
      <c r="AC525" s="159"/>
      <c r="AD525" s="159"/>
      <c r="AE525" s="159"/>
    </row>
    <row r="526">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c r="X526" s="159"/>
      <c r="Y526" s="159"/>
      <c r="Z526" s="159"/>
      <c r="AA526" s="159"/>
      <c r="AB526" s="159"/>
      <c r="AC526" s="159"/>
      <c r="AD526" s="159"/>
      <c r="AE526" s="159"/>
    </row>
    <row r="527">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c r="X527" s="159"/>
      <c r="Y527" s="159"/>
      <c r="Z527" s="159"/>
      <c r="AA527" s="159"/>
      <c r="AB527" s="159"/>
      <c r="AC527" s="159"/>
      <c r="AD527" s="159"/>
      <c r="AE527" s="159"/>
    </row>
    <row r="528">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c r="X528" s="159"/>
      <c r="Y528" s="159"/>
      <c r="Z528" s="159"/>
      <c r="AA528" s="159"/>
      <c r="AB528" s="159"/>
      <c r="AC528" s="159"/>
      <c r="AD528" s="159"/>
      <c r="AE528" s="159"/>
    </row>
    <row r="529">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c r="X529" s="159"/>
      <c r="Y529" s="159"/>
      <c r="Z529" s="159"/>
      <c r="AA529" s="159"/>
      <c r="AB529" s="159"/>
      <c r="AC529" s="159"/>
      <c r="AD529" s="159"/>
      <c r="AE529" s="159"/>
    </row>
    <row r="530">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c r="X530" s="159"/>
      <c r="Y530" s="159"/>
      <c r="Z530" s="159"/>
      <c r="AA530" s="159"/>
      <c r="AB530" s="159"/>
      <c r="AC530" s="159"/>
      <c r="AD530" s="159"/>
      <c r="AE530" s="159"/>
    </row>
    <row r="531">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c r="X531" s="159"/>
      <c r="Y531" s="159"/>
      <c r="Z531" s="159"/>
      <c r="AA531" s="159"/>
      <c r="AB531" s="159"/>
      <c r="AC531" s="159"/>
      <c r="AD531" s="159"/>
      <c r="AE531" s="159"/>
    </row>
    <row r="532">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c r="X532" s="159"/>
      <c r="Y532" s="159"/>
      <c r="Z532" s="159"/>
      <c r="AA532" s="159"/>
      <c r="AB532" s="159"/>
      <c r="AC532" s="159"/>
      <c r="AD532" s="159"/>
      <c r="AE532" s="159"/>
    </row>
    <row r="533">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c r="X533" s="159"/>
      <c r="Y533" s="159"/>
      <c r="Z533" s="159"/>
      <c r="AA533" s="159"/>
      <c r="AB533" s="159"/>
      <c r="AC533" s="159"/>
      <c r="AD533" s="159"/>
      <c r="AE533" s="159"/>
    </row>
    <row r="534">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c r="X534" s="159"/>
      <c r="Y534" s="159"/>
      <c r="Z534" s="159"/>
      <c r="AA534" s="159"/>
      <c r="AB534" s="159"/>
      <c r="AC534" s="159"/>
      <c r="AD534" s="159"/>
      <c r="AE534" s="159"/>
    </row>
    <row r="535">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c r="X535" s="159"/>
      <c r="Y535" s="159"/>
      <c r="Z535" s="159"/>
      <c r="AA535" s="159"/>
      <c r="AB535" s="159"/>
      <c r="AC535" s="159"/>
      <c r="AD535" s="159"/>
      <c r="AE535" s="159"/>
    </row>
    <row r="536">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c r="X536" s="159"/>
      <c r="Y536" s="159"/>
      <c r="Z536" s="159"/>
      <c r="AA536" s="159"/>
      <c r="AB536" s="159"/>
      <c r="AC536" s="159"/>
      <c r="AD536" s="159"/>
      <c r="AE536" s="159"/>
    </row>
    <row r="537">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c r="X537" s="159"/>
      <c r="Y537" s="159"/>
      <c r="Z537" s="159"/>
      <c r="AA537" s="159"/>
      <c r="AB537" s="159"/>
      <c r="AC537" s="159"/>
      <c r="AD537" s="159"/>
      <c r="AE537" s="159"/>
    </row>
    <row r="538">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c r="X538" s="159"/>
      <c r="Y538" s="159"/>
      <c r="Z538" s="159"/>
      <c r="AA538" s="159"/>
      <c r="AB538" s="159"/>
      <c r="AC538" s="159"/>
      <c r="AD538" s="159"/>
      <c r="AE538" s="159"/>
    </row>
    <row r="539">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c r="X539" s="159"/>
      <c r="Y539" s="159"/>
      <c r="Z539" s="159"/>
      <c r="AA539" s="159"/>
      <c r="AB539" s="159"/>
      <c r="AC539" s="159"/>
      <c r="AD539" s="159"/>
      <c r="AE539" s="159"/>
    </row>
    <row r="540">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c r="X540" s="159"/>
      <c r="Y540" s="159"/>
      <c r="Z540" s="159"/>
      <c r="AA540" s="159"/>
      <c r="AB540" s="159"/>
      <c r="AC540" s="159"/>
      <c r="AD540" s="159"/>
      <c r="AE540" s="159"/>
    </row>
    <row r="541">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c r="X541" s="159"/>
      <c r="Y541" s="159"/>
      <c r="Z541" s="159"/>
      <c r="AA541" s="159"/>
      <c r="AB541" s="159"/>
      <c r="AC541" s="159"/>
      <c r="AD541" s="159"/>
      <c r="AE541" s="159"/>
    </row>
    <row r="542">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c r="X542" s="159"/>
      <c r="Y542" s="159"/>
      <c r="Z542" s="159"/>
      <c r="AA542" s="159"/>
      <c r="AB542" s="159"/>
      <c r="AC542" s="159"/>
      <c r="AD542" s="159"/>
      <c r="AE542" s="159"/>
    </row>
    <row r="543">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c r="X543" s="159"/>
      <c r="Y543" s="159"/>
      <c r="Z543" s="159"/>
      <c r="AA543" s="159"/>
      <c r="AB543" s="159"/>
      <c r="AC543" s="159"/>
      <c r="AD543" s="159"/>
      <c r="AE543" s="159"/>
    </row>
    <row r="544">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c r="X544" s="159"/>
      <c r="Y544" s="159"/>
      <c r="Z544" s="159"/>
      <c r="AA544" s="159"/>
      <c r="AB544" s="159"/>
      <c r="AC544" s="159"/>
      <c r="AD544" s="159"/>
      <c r="AE544" s="159"/>
    </row>
    <row r="545">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c r="X545" s="159"/>
      <c r="Y545" s="159"/>
      <c r="Z545" s="159"/>
      <c r="AA545" s="159"/>
      <c r="AB545" s="159"/>
      <c r="AC545" s="159"/>
      <c r="AD545" s="159"/>
      <c r="AE545" s="159"/>
    </row>
    <row r="546">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c r="X546" s="159"/>
      <c r="Y546" s="159"/>
      <c r="Z546" s="159"/>
      <c r="AA546" s="159"/>
      <c r="AB546" s="159"/>
      <c r="AC546" s="159"/>
      <c r="AD546" s="159"/>
      <c r="AE546" s="159"/>
    </row>
    <row r="547">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c r="X547" s="159"/>
      <c r="Y547" s="159"/>
      <c r="Z547" s="159"/>
      <c r="AA547" s="159"/>
      <c r="AB547" s="159"/>
      <c r="AC547" s="159"/>
      <c r="AD547" s="159"/>
      <c r="AE547" s="159"/>
    </row>
    <row r="548">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c r="X548" s="159"/>
      <c r="Y548" s="159"/>
      <c r="Z548" s="159"/>
      <c r="AA548" s="159"/>
      <c r="AB548" s="159"/>
      <c r="AC548" s="159"/>
      <c r="AD548" s="159"/>
      <c r="AE548" s="159"/>
    </row>
    <row r="549">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c r="X549" s="159"/>
      <c r="Y549" s="159"/>
      <c r="Z549" s="159"/>
      <c r="AA549" s="159"/>
      <c r="AB549" s="159"/>
      <c r="AC549" s="159"/>
      <c r="AD549" s="159"/>
      <c r="AE549" s="159"/>
    </row>
    <row r="550">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c r="X550" s="159"/>
      <c r="Y550" s="159"/>
      <c r="Z550" s="159"/>
      <c r="AA550" s="159"/>
      <c r="AB550" s="159"/>
      <c r="AC550" s="159"/>
      <c r="AD550" s="159"/>
      <c r="AE550" s="159"/>
    </row>
    <row r="551">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c r="X551" s="159"/>
      <c r="Y551" s="159"/>
      <c r="Z551" s="159"/>
      <c r="AA551" s="159"/>
      <c r="AB551" s="159"/>
      <c r="AC551" s="159"/>
      <c r="AD551" s="159"/>
      <c r="AE551" s="159"/>
    </row>
    <row r="552">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c r="X552" s="159"/>
      <c r="Y552" s="159"/>
      <c r="Z552" s="159"/>
      <c r="AA552" s="159"/>
      <c r="AB552" s="159"/>
      <c r="AC552" s="159"/>
      <c r="AD552" s="159"/>
      <c r="AE552" s="159"/>
    </row>
    <row r="553">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c r="X553" s="159"/>
      <c r="Y553" s="159"/>
      <c r="Z553" s="159"/>
      <c r="AA553" s="159"/>
      <c r="AB553" s="159"/>
      <c r="AC553" s="159"/>
      <c r="AD553" s="159"/>
      <c r="AE553" s="159"/>
    </row>
    <row r="554">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c r="X554" s="159"/>
      <c r="Y554" s="159"/>
      <c r="Z554" s="159"/>
      <c r="AA554" s="159"/>
      <c r="AB554" s="159"/>
      <c r="AC554" s="159"/>
      <c r="AD554" s="159"/>
      <c r="AE554" s="159"/>
    </row>
    <row r="555">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c r="X555" s="159"/>
      <c r="Y555" s="159"/>
      <c r="Z555" s="159"/>
      <c r="AA555" s="159"/>
      <c r="AB555" s="159"/>
      <c r="AC555" s="159"/>
      <c r="AD555" s="159"/>
      <c r="AE555" s="159"/>
    </row>
    <row r="556">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c r="X556" s="159"/>
      <c r="Y556" s="159"/>
      <c r="Z556" s="159"/>
      <c r="AA556" s="159"/>
      <c r="AB556" s="159"/>
      <c r="AC556" s="159"/>
      <c r="AD556" s="159"/>
      <c r="AE556" s="159"/>
    </row>
    <row r="557">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c r="X557" s="159"/>
      <c r="Y557" s="159"/>
      <c r="Z557" s="159"/>
      <c r="AA557" s="159"/>
      <c r="AB557" s="159"/>
      <c r="AC557" s="159"/>
      <c r="AD557" s="159"/>
      <c r="AE557" s="159"/>
    </row>
    <row r="558">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c r="X558" s="159"/>
      <c r="Y558" s="159"/>
      <c r="Z558" s="159"/>
      <c r="AA558" s="159"/>
      <c r="AB558" s="159"/>
      <c r="AC558" s="159"/>
      <c r="AD558" s="159"/>
      <c r="AE558" s="159"/>
    </row>
    <row r="559">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c r="X559" s="159"/>
      <c r="Y559" s="159"/>
      <c r="Z559" s="159"/>
      <c r="AA559" s="159"/>
      <c r="AB559" s="159"/>
      <c r="AC559" s="159"/>
      <c r="AD559" s="159"/>
      <c r="AE559" s="159"/>
    </row>
    <row r="560">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c r="X560" s="159"/>
      <c r="Y560" s="159"/>
      <c r="Z560" s="159"/>
      <c r="AA560" s="159"/>
      <c r="AB560" s="159"/>
      <c r="AC560" s="159"/>
      <c r="AD560" s="159"/>
      <c r="AE560" s="159"/>
    </row>
    <row r="561">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c r="X561" s="159"/>
      <c r="Y561" s="159"/>
      <c r="Z561" s="159"/>
      <c r="AA561" s="159"/>
      <c r="AB561" s="159"/>
      <c r="AC561" s="159"/>
      <c r="AD561" s="159"/>
      <c r="AE561" s="159"/>
    </row>
    <row r="562">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c r="X562" s="159"/>
      <c r="Y562" s="159"/>
      <c r="Z562" s="159"/>
      <c r="AA562" s="159"/>
      <c r="AB562" s="159"/>
      <c r="AC562" s="159"/>
      <c r="AD562" s="159"/>
      <c r="AE562" s="159"/>
    </row>
    <row r="563">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c r="X563" s="159"/>
      <c r="Y563" s="159"/>
      <c r="Z563" s="159"/>
      <c r="AA563" s="159"/>
      <c r="AB563" s="159"/>
      <c r="AC563" s="159"/>
      <c r="AD563" s="159"/>
      <c r="AE563" s="159"/>
    </row>
    <row r="564">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c r="X564" s="159"/>
      <c r="Y564" s="159"/>
      <c r="Z564" s="159"/>
      <c r="AA564" s="159"/>
      <c r="AB564" s="159"/>
      <c r="AC564" s="159"/>
      <c r="AD564" s="159"/>
      <c r="AE564" s="159"/>
    </row>
    <row r="565">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c r="X565" s="159"/>
      <c r="Y565" s="159"/>
      <c r="Z565" s="159"/>
      <c r="AA565" s="159"/>
      <c r="AB565" s="159"/>
      <c r="AC565" s="159"/>
      <c r="AD565" s="159"/>
      <c r="AE565" s="159"/>
    </row>
    <row r="566">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c r="X566" s="159"/>
      <c r="Y566" s="159"/>
      <c r="Z566" s="159"/>
      <c r="AA566" s="159"/>
      <c r="AB566" s="159"/>
      <c r="AC566" s="159"/>
      <c r="AD566" s="159"/>
      <c r="AE566" s="159"/>
    </row>
    <row r="567">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c r="X567" s="159"/>
      <c r="Y567" s="159"/>
      <c r="Z567" s="159"/>
      <c r="AA567" s="159"/>
      <c r="AB567" s="159"/>
      <c r="AC567" s="159"/>
      <c r="AD567" s="159"/>
      <c r="AE567" s="159"/>
    </row>
    <row r="568">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c r="X568" s="159"/>
      <c r="Y568" s="159"/>
      <c r="Z568" s="159"/>
      <c r="AA568" s="159"/>
      <c r="AB568" s="159"/>
      <c r="AC568" s="159"/>
      <c r="AD568" s="159"/>
      <c r="AE568" s="159"/>
    </row>
    <row r="569">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c r="X569" s="159"/>
      <c r="Y569" s="159"/>
      <c r="Z569" s="159"/>
      <c r="AA569" s="159"/>
      <c r="AB569" s="159"/>
      <c r="AC569" s="159"/>
      <c r="AD569" s="159"/>
      <c r="AE569" s="159"/>
    </row>
    <row r="570">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c r="X570" s="159"/>
      <c r="Y570" s="159"/>
      <c r="Z570" s="159"/>
      <c r="AA570" s="159"/>
      <c r="AB570" s="159"/>
      <c r="AC570" s="159"/>
      <c r="AD570" s="159"/>
      <c r="AE570" s="159"/>
    </row>
    <row r="571">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c r="X571" s="159"/>
      <c r="Y571" s="159"/>
      <c r="Z571" s="159"/>
      <c r="AA571" s="159"/>
      <c r="AB571" s="159"/>
      <c r="AC571" s="159"/>
      <c r="AD571" s="159"/>
      <c r="AE571" s="159"/>
    </row>
    <row r="572">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c r="X572" s="159"/>
      <c r="Y572" s="159"/>
      <c r="Z572" s="159"/>
      <c r="AA572" s="159"/>
      <c r="AB572" s="159"/>
      <c r="AC572" s="159"/>
      <c r="AD572" s="159"/>
      <c r="AE572" s="159"/>
    </row>
    <row r="573">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c r="X573" s="159"/>
      <c r="Y573" s="159"/>
      <c r="Z573" s="159"/>
      <c r="AA573" s="159"/>
      <c r="AB573" s="159"/>
      <c r="AC573" s="159"/>
      <c r="AD573" s="159"/>
      <c r="AE573" s="159"/>
    </row>
    <row r="574">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c r="X574" s="159"/>
      <c r="Y574" s="159"/>
      <c r="Z574" s="159"/>
      <c r="AA574" s="159"/>
      <c r="AB574" s="159"/>
      <c r="AC574" s="159"/>
      <c r="AD574" s="159"/>
      <c r="AE574" s="159"/>
    </row>
    <row r="575">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c r="X575" s="159"/>
      <c r="Y575" s="159"/>
      <c r="Z575" s="159"/>
      <c r="AA575" s="159"/>
      <c r="AB575" s="159"/>
      <c r="AC575" s="159"/>
      <c r="AD575" s="159"/>
      <c r="AE575" s="159"/>
    </row>
    <row r="576">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c r="X576" s="159"/>
      <c r="Y576" s="159"/>
      <c r="Z576" s="159"/>
      <c r="AA576" s="159"/>
      <c r="AB576" s="159"/>
      <c r="AC576" s="159"/>
      <c r="AD576" s="159"/>
      <c r="AE576" s="159"/>
    </row>
    <row r="577">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c r="X577" s="159"/>
      <c r="Y577" s="159"/>
      <c r="Z577" s="159"/>
      <c r="AA577" s="159"/>
      <c r="AB577" s="159"/>
      <c r="AC577" s="159"/>
      <c r="AD577" s="159"/>
      <c r="AE577" s="159"/>
    </row>
    <row r="578">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c r="X578" s="159"/>
      <c r="Y578" s="159"/>
      <c r="Z578" s="159"/>
      <c r="AA578" s="159"/>
      <c r="AB578" s="159"/>
      <c r="AC578" s="159"/>
      <c r="AD578" s="159"/>
      <c r="AE578" s="159"/>
    </row>
    <row r="579">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c r="X579" s="159"/>
      <c r="Y579" s="159"/>
      <c r="Z579" s="159"/>
      <c r="AA579" s="159"/>
      <c r="AB579" s="159"/>
      <c r="AC579" s="159"/>
      <c r="AD579" s="159"/>
      <c r="AE579" s="159"/>
    </row>
    <row r="580">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c r="X580" s="159"/>
      <c r="Y580" s="159"/>
      <c r="Z580" s="159"/>
      <c r="AA580" s="159"/>
      <c r="AB580" s="159"/>
      <c r="AC580" s="159"/>
      <c r="AD580" s="159"/>
      <c r="AE580" s="159"/>
    </row>
    <row r="581">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c r="X581" s="159"/>
      <c r="Y581" s="159"/>
      <c r="Z581" s="159"/>
      <c r="AA581" s="159"/>
      <c r="AB581" s="159"/>
      <c r="AC581" s="159"/>
      <c r="AD581" s="159"/>
      <c r="AE581" s="159"/>
    </row>
    <row r="582">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c r="X582" s="159"/>
      <c r="Y582" s="159"/>
      <c r="Z582" s="159"/>
      <c r="AA582" s="159"/>
      <c r="AB582" s="159"/>
      <c r="AC582" s="159"/>
      <c r="AD582" s="159"/>
      <c r="AE582" s="159"/>
    </row>
    <row r="583">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c r="X583" s="159"/>
      <c r="Y583" s="159"/>
      <c r="Z583" s="159"/>
      <c r="AA583" s="159"/>
      <c r="AB583" s="159"/>
      <c r="AC583" s="159"/>
      <c r="AD583" s="159"/>
      <c r="AE583" s="159"/>
    </row>
    <row r="584">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c r="X584" s="159"/>
      <c r="Y584" s="159"/>
      <c r="Z584" s="159"/>
      <c r="AA584" s="159"/>
      <c r="AB584" s="159"/>
      <c r="AC584" s="159"/>
      <c r="AD584" s="159"/>
      <c r="AE584" s="159"/>
    </row>
    <row r="585">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c r="X585" s="159"/>
      <c r="Y585" s="159"/>
      <c r="Z585" s="159"/>
      <c r="AA585" s="159"/>
      <c r="AB585" s="159"/>
      <c r="AC585" s="159"/>
      <c r="AD585" s="159"/>
      <c r="AE585" s="159"/>
    </row>
    <row r="586">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c r="X586" s="159"/>
      <c r="Y586" s="159"/>
      <c r="Z586" s="159"/>
      <c r="AA586" s="159"/>
      <c r="AB586" s="159"/>
      <c r="AC586" s="159"/>
      <c r="AD586" s="159"/>
      <c r="AE586" s="159"/>
    </row>
    <row r="587">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c r="X587" s="159"/>
      <c r="Y587" s="159"/>
      <c r="Z587" s="159"/>
      <c r="AA587" s="159"/>
      <c r="AB587" s="159"/>
      <c r="AC587" s="159"/>
      <c r="AD587" s="159"/>
      <c r="AE587" s="159"/>
    </row>
    <row r="588">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c r="X588" s="159"/>
      <c r="Y588" s="159"/>
      <c r="Z588" s="159"/>
      <c r="AA588" s="159"/>
      <c r="AB588" s="159"/>
      <c r="AC588" s="159"/>
      <c r="AD588" s="159"/>
      <c r="AE588" s="159"/>
    </row>
    <row r="589">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c r="X589" s="159"/>
      <c r="Y589" s="159"/>
      <c r="Z589" s="159"/>
      <c r="AA589" s="159"/>
      <c r="AB589" s="159"/>
      <c r="AC589" s="159"/>
      <c r="AD589" s="159"/>
      <c r="AE589" s="159"/>
    </row>
    <row r="590">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c r="X590" s="159"/>
      <c r="Y590" s="159"/>
      <c r="Z590" s="159"/>
      <c r="AA590" s="159"/>
      <c r="AB590" s="159"/>
      <c r="AC590" s="159"/>
      <c r="AD590" s="159"/>
      <c r="AE590" s="159"/>
    </row>
    <row r="591">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c r="X591" s="159"/>
      <c r="Y591" s="159"/>
      <c r="Z591" s="159"/>
      <c r="AA591" s="159"/>
      <c r="AB591" s="159"/>
      <c r="AC591" s="159"/>
      <c r="AD591" s="159"/>
      <c r="AE591" s="159"/>
    </row>
    <row r="592">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c r="X592" s="159"/>
      <c r="Y592" s="159"/>
      <c r="Z592" s="159"/>
      <c r="AA592" s="159"/>
      <c r="AB592" s="159"/>
      <c r="AC592" s="159"/>
      <c r="AD592" s="159"/>
      <c r="AE592" s="159"/>
    </row>
    <row r="593">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c r="X593" s="159"/>
      <c r="Y593" s="159"/>
      <c r="Z593" s="159"/>
      <c r="AA593" s="159"/>
      <c r="AB593" s="159"/>
      <c r="AC593" s="159"/>
      <c r="AD593" s="159"/>
      <c r="AE593" s="159"/>
    </row>
    <row r="594">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c r="X594" s="159"/>
      <c r="Y594" s="159"/>
      <c r="Z594" s="159"/>
      <c r="AA594" s="159"/>
      <c r="AB594" s="159"/>
      <c r="AC594" s="159"/>
      <c r="AD594" s="159"/>
      <c r="AE594" s="159"/>
    </row>
    <row r="595">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c r="X595" s="159"/>
      <c r="Y595" s="159"/>
      <c r="Z595" s="159"/>
      <c r="AA595" s="159"/>
      <c r="AB595" s="159"/>
      <c r="AC595" s="159"/>
      <c r="AD595" s="159"/>
      <c r="AE595" s="159"/>
    </row>
    <row r="596">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c r="X596" s="159"/>
      <c r="Y596" s="159"/>
      <c r="Z596" s="159"/>
      <c r="AA596" s="159"/>
      <c r="AB596" s="159"/>
      <c r="AC596" s="159"/>
      <c r="AD596" s="159"/>
      <c r="AE596" s="159"/>
    </row>
    <row r="597">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c r="X597" s="159"/>
      <c r="Y597" s="159"/>
      <c r="Z597" s="159"/>
      <c r="AA597" s="159"/>
      <c r="AB597" s="159"/>
      <c r="AC597" s="159"/>
      <c r="AD597" s="159"/>
      <c r="AE597" s="159"/>
    </row>
    <row r="598">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c r="X598" s="159"/>
      <c r="Y598" s="159"/>
      <c r="Z598" s="159"/>
      <c r="AA598" s="159"/>
      <c r="AB598" s="159"/>
      <c r="AC598" s="159"/>
      <c r="AD598" s="159"/>
      <c r="AE598" s="159"/>
    </row>
    <row r="599">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c r="X599" s="159"/>
      <c r="Y599" s="159"/>
      <c r="Z599" s="159"/>
      <c r="AA599" s="159"/>
      <c r="AB599" s="159"/>
      <c r="AC599" s="159"/>
      <c r="AD599" s="159"/>
      <c r="AE599" s="159"/>
    </row>
    <row r="600">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c r="X600" s="159"/>
      <c r="Y600" s="159"/>
      <c r="Z600" s="159"/>
      <c r="AA600" s="159"/>
      <c r="AB600" s="159"/>
      <c r="AC600" s="159"/>
      <c r="AD600" s="159"/>
      <c r="AE600" s="159"/>
    </row>
    <row r="601">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c r="X601" s="159"/>
      <c r="Y601" s="159"/>
      <c r="Z601" s="159"/>
      <c r="AA601" s="159"/>
      <c r="AB601" s="159"/>
      <c r="AC601" s="159"/>
      <c r="AD601" s="159"/>
      <c r="AE601" s="159"/>
    </row>
    <row r="602">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c r="X602" s="159"/>
      <c r="Y602" s="159"/>
      <c r="Z602" s="159"/>
      <c r="AA602" s="159"/>
      <c r="AB602" s="159"/>
      <c r="AC602" s="159"/>
      <c r="AD602" s="159"/>
      <c r="AE602" s="159"/>
    </row>
    <row r="603">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c r="X603" s="159"/>
      <c r="Y603" s="159"/>
      <c r="Z603" s="159"/>
      <c r="AA603" s="159"/>
      <c r="AB603" s="159"/>
      <c r="AC603" s="159"/>
      <c r="AD603" s="159"/>
      <c r="AE603" s="159"/>
    </row>
    <row r="604">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c r="X604" s="159"/>
      <c r="Y604" s="159"/>
      <c r="Z604" s="159"/>
      <c r="AA604" s="159"/>
      <c r="AB604" s="159"/>
      <c r="AC604" s="159"/>
      <c r="AD604" s="159"/>
      <c r="AE604" s="159"/>
    </row>
    <row r="605">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c r="X605" s="159"/>
      <c r="Y605" s="159"/>
      <c r="Z605" s="159"/>
      <c r="AA605" s="159"/>
      <c r="AB605" s="159"/>
      <c r="AC605" s="159"/>
      <c r="AD605" s="159"/>
      <c r="AE605" s="159"/>
    </row>
    <row r="606">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c r="X606" s="159"/>
      <c r="Y606" s="159"/>
      <c r="Z606" s="159"/>
      <c r="AA606" s="159"/>
      <c r="AB606" s="159"/>
      <c r="AC606" s="159"/>
      <c r="AD606" s="159"/>
      <c r="AE606" s="159"/>
    </row>
    <row r="607">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c r="X607" s="159"/>
      <c r="Y607" s="159"/>
      <c r="Z607" s="159"/>
      <c r="AA607" s="159"/>
      <c r="AB607" s="159"/>
      <c r="AC607" s="159"/>
      <c r="AD607" s="159"/>
      <c r="AE607" s="159"/>
    </row>
    <row r="608">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c r="X608" s="159"/>
      <c r="Y608" s="159"/>
      <c r="Z608" s="159"/>
      <c r="AA608" s="159"/>
      <c r="AB608" s="159"/>
      <c r="AC608" s="159"/>
      <c r="AD608" s="159"/>
      <c r="AE608" s="159"/>
    </row>
    <row r="609">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c r="X609" s="159"/>
      <c r="Y609" s="159"/>
      <c r="Z609" s="159"/>
      <c r="AA609" s="159"/>
      <c r="AB609" s="159"/>
      <c r="AC609" s="159"/>
      <c r="AD609" s="159"/>
      <c r="AE609" s="159"/>
    </row>
    <row r="610">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c r="X610" s="159"/>
      <c r="Y610" s="159"/>
      <c r="Z610" s="159"/>
      <c r="AA610" s="159"/>
      <c r="AB610" s="159"/>
      <c r="AC610" s="159"/>
      <c r="AD610" s="159"/>
      <c r="AE610" s="159"/>
    </row>
    <row r="611">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c r="X611" s="159"/>
      <c r="Y611" s="159"/>
      <c r="Z611" s="159"/>
      <c r="AA611" s="159"/>
      <c r="AB611" s="159"/>
      <c r="AC611" s="159"/>
      <c r="AD611" s="159"/>
      <c r="AE611" s="159"/>
    </row>
    <row r="612">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c r="X612" s="159"/>
      <c r="Y612" s="159"/>
      <c r="Z612" s="159"/>
      <c r="AA612" s="159"/>
      <c r="AB612" s="159"/>
      <c r="AC612" s="159"/>
      <c r="AD612" s="159"/>
      <c r="AE612" s="159"/>
    </row>
    <row r="613">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c r="X613" s="159"/>
      <c r="Y613" s="159"/>
      <c r="Z613" s="159"/>
      <c r="AA613" s="159"/>
      <c r="AB613" s="159"/>
      <c r="AC613" s="159"/>
      <c r="AD613" s="159"/>
      <c r="AE613" s="159"/>
    </row>
    <row r="614">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c r="X614" s="159"/>
      <c r="Y614" s="159"/>
      <c r="Z614" s="159"/>
      <c r="AA614" s="159"/>
      <c r="AB614" s="159"/>
      <c r="AC614" s="159"/>
      <c r="AD614" s="159"/>
      <c r="AE614" s="159"/>
    </row>
    <row r="615">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c r="X615" s="159"/>
      <c r="Y615" s="159"/>
      <c r="Z615" s="159"/>
      <c r="AA615" s="159"/>
      <c r="AB615" s="159"/>
      <c r="AC615" s="159"/>
      <c r="AD615" s="159"/>
      <c r="AE615" s="159"/>
    </row>
    <row r="616">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c r="X616" s="159"/>
      <c r="Y616" s="159"/>
      <c r="Z616" s="159"/>
      <c r="AA616" s="159"/>
      <c r="AB616" s="159"/>
      <c r="AC616" s="159"/>
      <c r="AD616" s="159"/>
      <c r="AE616" s="159"/>
    </row>
    <row r="617">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c r="X617" s="159"/>
      <c r="Y617" s="159"/>
      <c r="Z617" s="159"/>
      <c r="AA617" s="159"/>
      <c r="AB617" s="159"/>
      <c r="AC617" s="159"/>
      <c r="AD617" s="159"/>
      <c r="AE617" s="159"/>
    </row>
    <row r="618">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c r="X618" s="159"/>
      <c r="Y618" s="159"/>
      <c r="Z618" s="159"/>
      <c r="AA618" s="159"/>
      <c r="AB618" s="159"/>
      <c r="AC618" s="159"/>
      <c r="AD618" s="159"/>
      <c r="AE618" s="159"/>
    </row>
    <row r="619">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c r="X619" s="159"/>
      <c r="Y619" s="159"/>
      <c r="Z619" s="159"/>
      <c r="AA619" s="159"/>
      <c r="AB619" s="159"/>
      <c r="AC619" s="159"/>
      <c r="AD619" s="159"/>
      <c r="AE619" s="159"/>
    </row>
    <row r="620">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c r="X620" s="159"/>
      <c r="Y620" s="159"/>
      <c r="Z620" s="159"/>
      <c r="AA620" s="159"/>
      <c r="AB620" s="159"/>
      <c r="AC620" s="159"/>
      <c r="AD620" s="159"/>
      <c r="AE620" s="159"/>
    </row>
    <row r="621">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c r="X621" s="159"/>
      <c r="Y621" s="159"/>
      <c r="Z621" s="159"/>
      <c r="AA621" s="159"/>
      <c r="AB621" s="159"/>
      <c r="AC621" s="159"/>
      <c r="AD621" s="159"/>
      <c r="AE621" s="159"/>
    </row>
    <row r="622">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c r="X622" s="159"/>
      <c r="Y622" s="159"/>
      <c r="Z622" s="159"/>
      <c r="AA622" s="159"/>
      <c r="AB622" s="159"/>
      <c r="AC622" s="159"/>
      <c r="AD622" s="159"/>
      <c r="AE622" s="159"/>
    </row>
    <row r="623">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c r="X623" s="159"/>
      <c r="Y623" s="159"/>
      <c r="Z623" s="159"/>
      <c r="AA623" s="159"/>
      <c r="AB623" s="159"/>
      <c r="AC623" s="159"/>
      <c r="AD623" s="159"/>
      <c r="AE623" s="159"/>
    </row>
    <row r="624">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c r="X624" s="159"/>
      <c r="Y624" s="159"/>
      <c r="Z624" s="159"/>
      <c r="AA624" s="159"/>
      <c r="AB624" s="159"/>
      <c r="AC624" s="159"/>
      <c r="AD624" s="159"/>
      <c r="AE624" s="159"/>
    </row>
    <row r="625">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c r="X625" s="159"/>
      <c r="Y625" s="159"/>
      <c r="Z625" s="159"/>
      <c r="AA625" s="159"/>
      <c r="AB625" s="159"/>
      <c r="AC625" s="159"/>
      <c r="AD625" s="159"/>
      <c r="AE625" s="159"/>
    </row>
    <row r="626">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c r="X626" s="159"/>
      <c r="Y626" s="159"/>
      <c r="Z626" s="159"/>
      <c r="AA626" s="159"/>
      <c r="AB626" s="159"/>
      <c r="AC626" s="159"/>
      <c r="AD626" s="159"/>
      <c r="AE626" s="159"/>
    </row>
    <row r="627">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c r="X627" s="159"/>
      <c r="Y627" s="159"/>
      <c r="Z627" s="159"/>
      <c r="AA627" s="159"/>
      <c r="AB627" s="159"/>
      <c r="AC627" s="159"/>
      <c r="AD627" s="159"/>
      <c r="AE627" s="159"/>
    </row>
    <row r="628">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c r="X628" s="159"/>
      <c r="Y628" s="159"/>
      <c r="Z628" s="159"/>
      <c r="AA628" s="159"/>
      <c r="AB628" s="159"/>
      <c r="AC628" s="159"/>
      <c r="AD628" s="159"/>
      <c r="AE628" s="159"/>
    </row>
    <row r="629">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c r="X629" s="159"/>
      <c r="Y629" s="159"/>
      <c r="Z629" s="159"/>
      <c r="AA629" s="159"/>
      <c r="AB629" s="159"/>
      <c r="AC629" s="159"/>
      <c r="AD629" s="159"/>
      <c r="AE629" s="159"/>
    </row>
    <row r="630">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c r="X630" s="159"/>
      <c r="Y630" s="159"/>
      <c r="Z630" s="159"/>
      <c r="AA630" s="159"/>
      <c r="AB630" s="159"/>
      <c r="AC630" s="159"/>
      <c r="AD630" s="159"/>
      <c r="AE630" s="159"/>
    </row>
    <row r="631">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c r="X631" s="159"/>
      <c r="Y631" s="159"/>
      <c r="Z631" s="159"/>
      <c r="AA631" s="159"/>
      <c r="AB631" s="159"/>
      <c r="AC631" s="159"/>
      <c r="AD631" s="159"/>
      <c r="AE631" s="159"/>
    </row>
    <row r="632">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c r="X632" s="159"/>
      <c r="Y632" s="159"/>
      <c r="Z632" s="159"/>
      <c r="AA632" s="159"/>
      <c r="AB632" s="159"/>
      <c r="AC632" s="159"/>
      <c r="AD632" s="159"/>
      <c r="AE632" s="159"/>
    </row>
    <row r="633">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c r="X633" s="159"/>
      <c r="Y633" s="159"/>
      <c r="Z633" s="159"/>
      <c r="AA633" s="159"/>
      <c r="AB633" s="159"/>
      <c r="AC633" s="159"/>
      <c r="AD633" s="159"/>
      <c r="AE633" s="159"/>
    </row>
    <row r="634">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c r="X634" s="159"/>
      <c r="Y634" s="159"/>
      <c r="Z634" s="159"/>
      <c r="AA634" s="159"/>
      <c r="AB634" s="159"/>
      <c r="AC634" s="159"/>
      <c r="AD634" s="159"/>
      <c r="AE634" s="159"/>
    </row>
    <row r="635">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c r="X635" s="159"/>
      <c r="Y635" s="159"/>
      <c r="Z635" s="159"/>
      <c r="AA635" s="159"/>
      <c r="AB635" s="159"/>
      <c r="AC635" s="159"/>
      <c r="AD635" s="159"/>
      <c r="AE635" s="159"/>
    </row>
    <row r="636">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c r="X636" s="159"/>
      <c r="Y636" s="159"/>
      <c r="Z636" s="159"/>
      <c r="AA636" s="159"/>
      <c r="AB636" s="159"/>
      <c r="AC636" s="159"/>
      <c r="AD636" s="159"/>
      <c r="AE636" s="159"/>
    </row>
    <row r="637">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c r="X637" s="159"/>
      <c r="Y637" s="159"/>
      <c r="Z637" s="159"/>
      <c r="AA637" s="159"/>
      <c r="AB637" s="159"/>
      <c r="AC637" s="159"/>
      <c r="AD637" s="159"/>
      <c r="AE637" s="159"/>
    </row>
    <row r="638">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c r="X638" s="159"/>
      <c r="Y638" s="159"/>
      <c r="Z638" s="159"/>
      <c r="AA638" s="159"/>
      <c r="AB638" s="159"/>
      <c r="AC638" s="159"/>
      <c r="AD638" s="159"/>
      <c r="AE638" s="159"/>
    </row>
    <row r="639">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c r="X639" s="159"/>
      <c r="Y639" s="159"/>
      <c r="Z639" s="159"/>
      <c r="AA639" s="159"/>
      <c r="AB639" s="159"/>
      <c r="AC639" s="159"/>
      <c r="AD639" s="159"/>
      <c r="AE639" s="159"/>
    </row>
    <row r="640">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c r="X640" s="159"/>
      <c r="Y640" s="159"/>
      <c r="Z640" s="159"/>
      <c r="AA640" s="159"/>
      <c r="AB640" s="159"/>
      <c r="AC640" s="159"/>
      <c r="AD640" s="159"/>
      <c r="AE640" s="159"/>
    </row>
    <row r="641">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c r="X641" s="159"/>
      <c r="Y641" s="159"/>
      <c r="Z641" s="159"/>
      <c r="AA641" s="159"/>
      <c r="AB641" s="159"/>
      <c r="AC641" s="159"/>
      <c r="AD641" s="159"/>
      <c r="AE641" s="159"/>
    </row>
    <row r="642">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c r="X642" s="159"/>
      <c r="Y642" s="159"/>
      <c r="Z642" s="159"/>
      <c r="AA642" s="159"/>
      <c r="AB642" s="159"/>
      <c r="AC642" s="159"/>
      <c r="AD642" s="159"/>
      <c r="AE642" s="159"/>
    </row>
    <row r="643">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c r="X643" s="159"/>
      <c r="Y643" s="159"/>
      <c r="Z643" s="159"/>
      <c r="AA643" s="159"/>
      <c r="AB643" s="159"/>
      <c r="AC643" s="159"/>
      <c r="AD643" s="159"/>
      <c r="AE643" s="159"/>
    </row>
    <row r="644">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c r="X644" s="159"/>
      <c r="Y644" s="159"/>
      <c r="Z644" s="159"/>
      <c r="AA644" s="159"/>
      <c r="AB644" s="159"/>
      <c r="AC644" s="159"/>
      <c r="AD644" s="159"/>
      <c r="AE644" s="159"/>
    </row>
    <row r="645">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c r="X645" s="159"/>
      <c r="Y645" s="159"/>
      <c r="Z645" s="159"/>
      <c r="AA645" s="159"/>
      <c r="AB645" s="159"/>
      <c r="AC645" s="159"/>
      <c r="AD645" s="159"/>
      <c r="AE645" s="159"/>
    </row>
    <row r="646">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c r="X646" s="159"/>
      <c r="Y646" s="159"/>
      <c r="Z646" s="159"/>
      <c r="AA646" s="159"/>
      <c r="AB646" s="159"/>
      <c r="AC646" s="159"/>
      <c r="AD646" s="159"/>
      <c r="AE646" s="159"/>
    </row>
    <row r="647">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c r="X647" s="159"/>
      <c r="Y647" s="159"/>
      <c r="Z647" s="159"/>
      <c r="AA647" s="159"/>
      <c r="AB647" s="159"/>
      <c r="AC647" s="159"/>
      <c r="AD647" s="159"/>
      <c r="AE647" s="159"/>
    </row>
    <row r="648">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c r="X648" s="159"/>
      <c r="Y648" s="159"/>
      <c r="Z648" s="159"/>
      <c r="AA648" s="159"/>
      <c r="AB648" s="159"/>
      <c r="AC648" s="159"/>
      <c r="AD648" s="159"/>
      <c r="AE648" s="159"/>
    </row>
    <row r="649">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c r="X649" s="159"/>
      <c r="Y649" s="159"/>
      <c r="Z649" s="159"/>
      <c r="AA649" s="159"/>
      <c r="AB649" s="159"/>
      <c r="AC649" s="159"/>
      <c r="AD649" s="159"/>
      <c r="AE649" s="159"/>
    </row>
    <row r="650">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c r="X650" s="159"/>
      <c r="Y650" s="159"/>
      <c r="Z650" s="159"/>
      <c r="AA650" s="159"/>
      <c r="AB650" s="159"/>
      <c r="AC650" s="159"/>
      <c r="AD650" s="159"/>
      <c r="AE650" s="159"/>
    </row>
    <row r="651">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c r="X651" s="159"/>
      <c r="Y651" s="159"/>
      <c r="Z651" s="159"/>
      <c r="AA651" s="159"/>
      <c r="AB651" s="159"/>
      <c r="AC651" s="159"/>
      <c r="AD651" s="159"/>
      <c r="AE651" s="159"/>
    </row>
    <row r="652">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c r="X652" s="159"/>
      <c r="Y652" s="159"/>
      <c r="Z652" s="159"/>
      <c r="AA652" s="159"/>
      <c r="AB652" s="159"/>
      <c r="AC652" s="159"/>
      <c r="AD652" s="159"/>
      <c r="AE652" s="159"/>
    </row>
    <row r="653">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c r="X653" s="159"/>
      <c r="Y653" s="159"/>
      <c r="Z653" s="159"/>
      <c r="AA653" s="159"/>
      <c r="AB653" s="159"/>
      <c r="AC653" s="159"/>
      <c r="AD653" s="159"/>
      <c r="AE653" s="159"/>
    </row>
    <row r="654">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c r="X654" s="159"/>
      <c r="Y654" s="159"/>
      <c r="Z654" s="159"/>
      <c r="AA654" s="159"/>
      <c r="AB654" s="159"/>
      <c r="AC654" s="159"/>
      <c r="AD654" s="159"/>
      <c r="AE654" s="159"/>
    </row>
    <row r="655">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c r="X655" s="159"/>
      <c r="Y655" s="159"/>
      <c r="Z655" s="159"/>
      <c r="AA655" s="159"/>
      <c r="AB655" s="159"/>
      <c r="AC655" s="159"/>
      <c r="AD655" s="159"/>
      <c r="AE655" s="159"/>
    </row>
    <row r="656">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c r="X656" s="159"/>
      <c r="Y656" s="159"/>
      <c r="Z656" s="159"/>
      <c r="AA656" s="159"/>
      <c r="AB656" s="159"/>
      <c r="AC656" s="159"/>
      <c r="AD656" s="159"/>
      <c r="AE656" s="159"/>
    </row>
    <row r="657">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c r="X657" s="159"/>
      <c r="Y657" s="159"/>
      <c r="Z657" s="159"/>
      <c r="AA657" s="159"/>
      <c r="AB657" s="159"/>
      <c r="AC657" s="159"/>
      <c r="AD657" s="159"/>
      <c r="AE657" s="159"/>
    </row>
    <row r="658">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c r="X658" s="159"/>
      <c r="Y658" s="159"/>
      <c r="Z658" s="159"/>
      <c r="AA658" s="159"/>
      <c r="AB658" s="159"/>
      <c r="AC658" s="159"/>
      <c r="AD658" s="159"/>
      <c r="AE658" s="159"/>
    </row>
    <row r="659">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c r="X659" s="159"/>
      <c r="Y659" s="159"/>
      <c r="Z659" s="159"/>
      <c r="AA659" s="159"/>
      <c r="AB659" s="159"/>
      <c r="AC659" s="159"/>
      <c r="AD659" s="159"/>
      <c r="AE659" s="159"/>
    </row>
    <row r="660">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c r="X660" s="159"/>
      <c r="Y660" s="159"/>
      <c r="Z660" s="159"/>
      <c r="AA660" s="159"/>
      <c r="AB660" s="159"/>
      <c r="AC660" s="159"/>
      <c r="AD660" s="159"/>
      <c r="AE660" s="159"/>
    </row>
    <row r="661">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c r="X661" s="159"/>
      <c r="Y661" s="159"/>
      <c r="Z661" s="159"/>
      <c r="AA661" s="159"/>
      <c r="AB661" s="159"/>
      <c r="AC661" s="159"/>
      <c r="AD661" s="159"/>
      <c r="AE661" s="159"/>
    </row>
    <row r="662">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c r="X662" s="159"/>
      <c r="Y662" s="159"/>
      <c r="Z662" s="159"/>
      <c r="AA662" s="159"/>
      <c r="AB662" s="159"/>
      <c r="AC662" s="159"/>
      <c r="AD662" s="159"/>
      <c r="AE662" s="159"/>
    </row>
    <row r="663">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c r="X663" s="159"/>
      <c r="Y663" s="159"/>
      <c r="Z663" s="159"/>
      <c r="AA663" s="159"/>
      <c r="AB663" s="159"/>
      <c r="AC663" s="159"/>
      <c r="AD663" s="159"/>
      <c r="AE663" s="159"/>
    </row>
    <row r="664">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c r="X664" s="159"/>
      <c r="Y664" s="159"/>
      <c r="Z664" s="159"/>
      <c r="AA664" s="159"/>
      <c r="AB664" s="159"/>
      <c r="AC664" s="159"/>
      <c r="AD664" s="159"/>
      <c r="AE664" s="159"/>
    </row>
    <row r="665">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c r="X665" s="159"/>
      <c r="Y665" s="159"/>
      <c r="Z665" s="159"/>
      <c r="AA665" s="159"/>
      <c r="AB665" s="159"/>
      <c r="AC665" s="159"/>
      <c r="AD665" s="159"/>
      <c r="AE665" s="159"/>
    </row>
    <row r="666">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c r="X666" s="159"/>
      <c r="Y666" s="159"/>
      <c r="Z666" s="159"/>
      <c r="AA666" s="159"/>
      <c r="AB666" s="159"/>
      <c r="AC666" s="159"/>
      <c r="AD666" s="159"/>
      <c r="AE666" s="159"/>
    </row>
    <row r="667">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c r="X667" s="159"/>
      <c r="Y667" s="159"/>
      <c r="Z667" s="159"/>
      <c r="AA667" s="159"/>
      <c r="AB667" s="159"/>
      <c r="AC667" s="159"/>
      <c r="AD667" s="159"/>
      <c r="AE667" s="159"/>
    </row>
    <row r="668">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c r="X668" s="159"/>
      <c r="Y668" s="159"/>
      <c r="Z668" s="159"/>
      <c r="AA668" s="159"/>
      <c r="AB668" s="159"/>
      <c r="AC668" s="159"/>
      <c r="AD668" s="159"/>
      <c r="AE668" s="159"/>
    </row>
    <row r="669">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c r="X669" s="159"/>
      <c r="Y669" s="159"/>
      <c r="Z669" s="159"/>
      <c r="AA669" s="159"/>
      <c r="AB669" s="159"/>
      <c r="AC669" s="159"/>
      <c r="AD669" s="159"/>
      <c r="AE669" s="159"/>
    </row>
    <row r="670">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c r="X670" s="159"/>
      <c r="Y670" s="159"/>
      <c r="Z670" s="159"/>
      <c r="AA670" s="159"/>
      <c r="AB670" s="159"/>
      <c r="AC670" s="159"/>
      <c r="AD670" s="159"/>
      <c r="AE670" s="159"/>
    </row>
    <row r="671">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c r="X671" s="159"/>
      <c r="Y671" s="159"/>
      <c r="Z671" s="159"/>
      <c r="AA671" s="159"/>
      <c r="AB671" s="159"/>
      <c r="AC671" s="159"/>
      <c r="AD671" s="159"/>
      <c r="AE671" s="159"/>
    </row>
    <row r="672">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c r="X672" s="159"/>
      <c r="Y672" s="159"/>
      <c r="Z672" s="159"/>
      <c r="AA672" s="159"/>
      <c r="AB672" s="159"/>
      <c r="AC672" s="159"/>
      <c r="AD672" s="159"/>
      <c r="AE672" s="159"/>
    </row>
    <row r="673">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c r="X673" s="159"/>
      <c r="Y673" s="159"/>
      <c r="Z673" s="159"/>
      <c r="AA673" s="159"/>
      <c r="AB673" s="159"/>
      <c r="AC673" s="159"/>
      <c r="AD673" s="159"/>
      <c r="AE673" s="159"/>
    </row>
    <row r="674">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c r="X674" s="159"/>
      <c r="Y674" s="159"/>
      <c r="Z674" s="159"/>
      <c r="AA674" s="159"/>
      <c r="AB674" s="159"/>
      <c r="AC674" s="159"/>
      <c r="AD674" s="159"/>
      <c r="AE674" s="159"/>
    </row>
    <row r="675">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c r="X675" s="159"/>
      <c r="Y675" s="159"/>
      <c r="Z675" s="159"/>
      <c r="AA675" s="159"/>
      <c r="AB675" s="159"/>
      <c r="AC675" s="159"/>
      <c r="AD675" s="159"/>
      <c r="AE675" s="159"/>
    </row>
    <row r="676">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c r="X676" s="159"/>
      <c r="Y676" s="159"/>
      <c r="Z676" s="159"/>
      <c r="AA676" s="159"/>
      <c r="AB676" s="159"/>
      <c r="AC676" s="159"/>
      <c r="AD676" s="159"/>
      <c r="AE676" s="159"/>
    </row>
    <row r="677">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c r="X677" s="159"/>
      <c r="Y677" s="159"/>
      <c r="Z677" s="159"/>
      <c r="AA677" s="159"/>
      <c r="AB677" s="159"/>
      <c r="AC677" s="159"/>
      <c r="AD677" s="159"/>
      <c r="AE677" s="159"/>
    </row>
    <row r="678">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c r="X678" s="159"/>
      <c r="Y678" s="159"/>
      <c r="Z678" s="159"/>
      <c r="AA678" s="159"/>
      <c r="AB678" s="159"/>
      <c r="AC678" s="159"/>
      <c r="AD678" s="159"/>
      <c r="AE678" s="159"/>
    </row>
    <row r="679">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c r="X679" s="159"/>
      <c r="Y679" s="159"/>
      <c r="Z679" s="159"/>
      <c r="AA679" s="159"/>
      <c r="AB679" s="159"/>
      <c r="AC679" s="159"/>
      <c r="AD679" s="159"/>
      <c r="AE679" s="159"/>
    </row>
    <row r="680">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c r="X680" s="159"/>
      <c r="Y680" s="159"/>
      <c r="Z680" s="159"/>
      <c r="AA680" s="159"/>
      <c r="AB680" s="159"/>
      <c r="AC680" s="159"/>
      <c r="AD680" s="159"/>
      <c r="AE680" s="159"/>
    </row>
    <row r="681">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c r="X681" s="159"/>
      <c r="Y681" s="159"/>
      <c r="Z681" s="159"/>
      <c r="AA681" s="159"/>
      <c r="AB681" s="159"/>
      <c r="AC681" s="159"/>
      <c r="AD681" s="159"/>
      <c r="AE681" s="159"/>
    </row>
    <row r="682">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c r="X682" s="159"/>
      <c r="Y682" s="159"/>
      <c r="Z682" s="159"/>
      <c r="AA682" s="159"/>
      <c r="AB682" s="159"/>
      <c r="AC682" s="159"/>
      <c r="AD682" s="159"/>
      <c r="AE682" s="159"/>
    </row>
    <row r="683">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c r="X683" s="159"/>
      <c r="Y683" s="159"/>
      <c r="Z683" s="159"/>
      <c r="AA683" s="159"/>
      <c r="AB683" s="159"/>
      <c r="AC683" s="159"/>
      <c r="AD683" s="159"/>
      <c r="AE683" s="159"/>
    </row>
    <row r="684">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c r="X684" s="159"/>
      <c r="Y684" s="159"/>
      <c r="Z684" s="159"/>
      <c r="AA684" s="159"/>
      <c r="AB684" s="159"/>
      <c r="AC684" s="159"/>
      <c r="AD684" s="159"/>
      <c r="AE684" s="159"/>
    </row>
    <row r="685">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c r="X685" s="159"/>
      <c r="Y685" s="159"/>
      <c r="Z685" s="159"/>
      <c r="AA685" s="159"/>
      <c r="AB685" s="159"/>
      <c r="AC685" s="159"/>
      <c r="AD685" s="159"/>
      <c r="AE685" s="159"/>
    </row>
    <row r="686">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c r="X686" s="159"/>
      <c r="Y686" s="159"/>
      <c r="Z686" s="159"/>
      <c r="AA686" s="159"/>
      <c r="AB686" s="159"/>
      <c r="AC686" s="159"/>
      <c r="AD686" s="159"/>
      <c r="AE686" s="159"/>
    </row>
    <row r="687">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c r="X687" s="159"/>
      <c r="Y687" s="159"/>
      <c r="Z687" s="159"/>
      <c r="AA687" s="159"/>
      <c r="AB687" s="159"/>
      <c r="AC687" s="159"/>
      <c r="AD687" s="159"/>
      <c r="AE687" s="159"/>
    </row>
    <row r="688">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c r="X688" s="159"/>
      <c r="Y688" s="159"/>
      <c r="Z688" s="159"/>
      <c r="AA688" s="159"/>
      <c r="AB688" s="159"/>
      <c r="AC688" s="159"/>
      <c r="AD688" s="159"/>
      <c r="AE688" s="159"/>
    </row>
    <row r="689">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c r="X689" s="159"/>
      <c r="Y689" s="159"/>
      <c r="Z689" s="159"/>
      <c r="AA689" s="159"/>
      <c r="AB689" s="159"/>
      <c r="AC689" s="159"/>
      <c r="AD689" s="159"/>
      <c r="AE689" s="159"/>
    </row>
    <row r="690">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c r="X690" s="159"/>
      <c r="Y690" s="159"/>
      <c r="Z690" s="159"/>
      <c r="AA690" s="159"/>
      <c r="AB690" s="159"/>
      <c r="AC690" s="159"/>
      <c r="AD690" s="159"/>
      <c r="AE690" s="159"/>
    </row>
    <row r="691">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c r="X691" s="159"/>
      <c r="Y691" s="159"/>
      <c r="Z691" s="159"/>
      <c r="AA691" s="159"/>
      <c r="AB691" s="159"/>
      <c r="AC691" s="159"/>
      <c r="AD691" s="159"/>
      <c r="AE691" s="159"/>
    </row>
    <row r="692">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c r="X692" s="159"/>
      <c r="Y692" s="159"/>
      <c r="Z692" s="159"/>
      <c r="AA692" s="159"/>
      <c r="AB692" s="159"/>
      <c r="AC692" s="159"/>
      <c r="AD692" s="159"/>
      <c r="AE692" s="159"/>
    </row>
    <row r="693">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c r="X693" s="159"/>
      <c r="Y693" s="159"/>
      <c r="Z693" s="159"/>
      <c r="AA693" s="159"/>
      <c r="AB693" s="159"/>
      <c r="AC693" s="159"/>
      <c r="AD693" s="159"/>
      <c r="AE693" s="159"/>
    </row>
    <row r="694">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c r="X694" s="159"/>
      <c r="Y694" s="159"/>
      <c r="Z694" s="159"/>
      <c r="AA694" s="159"/>
      <c r="AB694" s="159"/>
      <c r="AC694" s="159"/>
      <c r="AD694" s="159"/>
      <c r="AE694" s="159"/>
    </row>
    <row r="695">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c r="X695" s="159"/>
      <c r="Y695" s="159"/>
      <c r="Z695" s="159"/>
      <c r="AA695" s="159"/>
      <c r="AB695" s="159"/>
      <c r="AC695" s="159"/>
      <c r="AD695" s="159"/>
      <c r="AE695" s="159"/>
    </row>
    <row r="696">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c r="X696" s="159"/>
      <c r="Y696" s="159"/>
      <c r="Z696" s="159"/>
      <c r="AA696" s="159"/>
      <c r="AB696" s="159"/>
      <c r="AC696" s="159"/>
      <c r="AD696" s="159"/>
      <c r="AE696" s="159"/>
    </row>
    <row r="697">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c r="X697" s="159"/>
      <c r="Y697" s="159"/>
      <c r="Z697" s="159"/>
      <c r="AA697" s="159"/>
      <c r="AB697" s="159"/>
      <c r="AC697" s="159"/>
      <c r="AD697" s="159"/>
      <c r="AE697" s="159"/>
    </row>
    <row r="698">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c r="X698" s="159"/>
      <c r="Y698" s="159"/>
      <c r="Z698" s="159"/>
      <c r="AA698" s="159"/>
      <c r="AB698" s="159"/>
      <c r="AC698" s="159"/>
      <c r="AD698" s="159"/>
      <c r="AE698" s="159"/>
    </row>
    <row r="699">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c r="X699" s="159"/>
      <c r="Y699" s="159"/>
      <c r="Z699" s="159"/>
      <c r="AA699" s="159"/>
      <c r="AB699" s="159"/>
      <c r="AC699" s="159"/>
      <c r="AD699" s="159"/>
      <c r="AE699" s="159"/>
    </row>
    <row r="700">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c r="X700" s="159"/>
      <c r="Y700" s="159"/>
      <c r="Z700" s="159"/>
      <c r="AA700" s="159"/>
      <c r="AB700" s="159"/>
      <c r="AC700" s="159"/>
      <c r="AD700" s="159"/>
      <c r="AE700" s="159"/>
    </row>
    <row r="701">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c r="X701" s="159"/>
      <c r="Y701" s="159"/>
      <c r="Z701" s="159"/>
      <c r="AA701" s="159"/>
      <c r="AB701" s="159"/>
      <c r="AC701" s="159"/>
      <c r="AD701" s="159"/>
      <c r="AE701" s="159"/>
    </row>
    <row r="702">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c r="X702" s="159"/>
      <c r="Y702" s="159"/>
      <c r="Z702" s="159"/>
      <c r="AA702" s="159"/>
      <c r="AB702" s="159"/>
      <c r="AC702" s="159"/>
      <c r="AD702" s="159"/>
      <c r="AE702" s="159"/>
    </row>
    <row r="703">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c r="X703" s="159"/>
      <c r="Y703" s="159"/>
      <c r="Z703" s="159"/>
      <c r="AA703" s="159"/>
      <c r="AB703" s="159"/>
      <c r="AC703" s="159"/>
      <c r="AD703" s="159"/>
      <c r="AE703" s="159"/>
    </row>
    <row r="704">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c r="X704" s="159"/>
      <c r="Y704" s="159"/>
      <c r="Z704" s="159"/>
      <c r="AA704" s="159"/>
      <c r="AB704" s="159"/>
      <c r="AC704" s="159"/>
      <c r="AD704" s="159"/>
      <c r="AE704" s="159"/>
    </row>
    <row r="705">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c r="X705" s="159"/>
      <c r="Y705" s="159"/>
      <c r="Z705" s="159"/>
      <c r="AA705" s="159"/>
      <c r="AB705" s="159"/>
      <c r="AC705" s="159"/>
      <c r="AD705" s="159"/>
      <c r="AE705" s="159"/>
    </row>
    <row r="706">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c r="X706" s="159"/>
      <c r="Y706" s="159"/>
      <c r="Z706" s="159"/>
      <c r="AA706" s="159"/>
      <c r="AB706" s="159"/>
      <c r="AC706" s="159"/>
      <c r="AD706" s="159"/>
      <c r="AE706" s="159"/>
    </row>
    <row r="707">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c r="X707" s="159"/>
      <c r="Y707" s="159"/>
      <c r="Z707" s="159"/>
      <c r="AA707" s="159"/>
      <c r="AB707" s="159"/>
      <c r="AC707" s="159"/>
      <c r="AD707" s="159"/>
      <c r="AE707" s="159"/>
    </row>
    <row r="708">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c r="X708" s="159"/>
      <c r="Y708" s="159"/>
      <c r="Z708" s="159"/>
      <c r="AA708" s="159"/>
      <c r="AB708" s="159"/>
      <c r="AC708" s="159"/>
      <c r="AD708" s="159"/>
      <c r="AE708" s="159"/>
    </row>
    <row r="709">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c r="X709" s="159"/>
      <c r="Y709" s="159"/>
      <c r="Z709" s="159"/>
      <c r="AA709" s="159"/>
      <c r="AB709" s="159"/>
      <c r="AC709" s="159"/>
      <c r="AD709" s="159"/>
      <c r="AE709" s="159"/>
    </row>
    <row r="710">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c r="X710" s="159"/>
      <c r="Y710" s="159"/>
      <c r="Z710" s="159"/>
      <c r="AA710" s="159"/>
      <c r="AB710" s="159"/>
      <c r="AC710" s="159"/>
      <c r="AD710" s="159"/>
      <c r="AE710" s="159"/>
    </row>
    <row r="711">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c r="X711" s="159"/>
      <c r="Y711" s="159"/>
      <c r="Z711" s="159"/>
      <c r="AA711" s="159"/>
      <c r="AB711" s="159"/>
      <c r="AC711" s="159"/>
      <c r="AD711" s="159"/>
      <c r="AE711" s="159"/>
    </row>
    <row r="712">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c r="X712" s="159"/>
      <c r="Y712" s="159"/>
      <c r="Z712" s="159"/>
      <c r="AA712" s="159"/>
      <c r="AB712" s="159"/>
      <c r="AC712" s="159"/>
      <c r="AD712" s="159"/>
      <c r="AE712" s="159"/>
    </row>
    <row r="713">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c r="X713" s="159"/>
      <c r="Y713" s="159"/>
      <c r="Z713" s="159"/>
      <c r="AA713" s="159"/>
      <c r="AB713" s="159"/>
      <c r="AC713" s="159"/>
      <c r="AD713" s="159"/>
      <c r="AE713" s="159"/>
    </row>
    <row r="714">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c r="X714" s="159"/>
      <c r="Y714" s="159"/>
      <c r="Z714" s="159"/>
      <c r="AA714" s="159"/>
      <c r="AB714" s="159"/>
      <c r="AC714" s="159"/>
      <c r="AD714" s="159"/>
      <c r="AE714" s="159"/>
    </row>
    <row r="715">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c r="X715" s="159"/>
      <c r="Y715" s="159"/>
      <c r="Z715" s="159"/>
      <c r="AA715" s="159"/>
      <c r="AB715" s="159"/>
      <c r="AC715" s="159"/>
      <c r="AD715" s="159"/>
      <c r="AE715" s="159"/>
    </row>
    <row r="716">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c r="X716" s="159"/>
      <c r="Y716" s="159"/>
      <c r="Z716" s="159"/>
      <c r="AA716" s="159"/>
      <c r="AB716" s="159"/>
      <c r="AC716" s="159"/>
      <c r="AD716" s="159"/>
      <c r="AE716" s="159"/>
    </row>
    <row r="717">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c r="X717" s="159"/>
      <c r="Y717" s="159"/>
      <c r="Z717" s="159"/>
      <c r="AA717" s="159"/>
      <c r="AB717" s="159"/>
      <c r="AC717" s="159"/>
      <c r="AD717" s="159"/>
      <c r="AE717" s="159"/>
    </row>
    <row r="718">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c r="X718" s="159"/>
      <c r="Y718" s="159"/>
      <c r="Z718" s="159"/>
      <c r="AA718" s="159"/>
      <c r="AB718" s="159"/>
      <c r="AC718" s="159"/>
      <c r="AD718" s="159"/>
      <c r="AE718" s="159"/>
    </row>
    <row r="719">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c r="X719" s="159"/>
      <c r="Y719" s="159"/>
      <c r="Z719" s="159"/>
      <c r="AA719" s="159"/>
      <c r="AB719" s="159"/>
      <c r="AC719" s="159"/>
      <c r="AD719" s="159"/>
      <c r="AE719" s="159"/>
    </row>
    <row r="720">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c r="X720" s="159"/>
      <c r="Y720" s="159"/>
      <c r="Z720" s="159"/>
      <c r="AA720" s="159"/>
      <c r="AB720" s="159"/>
      <c r="AC720" s="159"/>
      <c r="AD720" s="159"/>
      <c r="AE720" s="159"/>
    </row>
    <row r="721">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c r="X721" s="159"/>
      <c r="Y721" s="159"/>
      <c r="Z721" s="159"/>
      <c r="AA721" s="159"/>
      <c r="AB721" s="159"/>
      <c r="AC721" s="159"/>
      <c r="AD721" s="159"/>
      <c r="AE721" s="159"/>
    </row>
    <row r="722">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c r="X722" s="159"/>
      <c r="Y722" s="159"/>
      <c r="Z722" s="159"/>
      <c r="AA722" s="159"/>
      <c r="AB722" s="159"/>
      <c r="AC722" s="159"/>
      <c r="AD722" s="159"/>
      <c r="AE722" s="159"/>
    </row>
    <row r="723">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c r="X723" s="159"/>
      <c r="Y723" s="159"/>
      <c r="Z723" s="159"/>
      <c r="AA723" s="159"/>
      <c r="AB723" s="159"/>
      <c r="AC723" s="159"/>
      <c r="AD723" s="159"/>
      <c r="AE723" s="159"/>
    </row>
    <row r="724">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c r="X724" s="159"/>
      <c r="Y724" s="159"/>
      <c r="Z724" s="159"/>
      <c r="AA724" s="159"/>
      <c r="AB724" s="159"/>
      <c r="AC724" s="159"/>
      <c r="AD724" s="159"/>
      <c r="AE724" s="159"/>
    </row>
    <row r="725">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c r="X725" s="159"/>
      <c r="Y725" s="159"/>
      <c r="Z725" s="159"/>
      <c r="AA725" s="159"/>
      <c r="AB725" s="159"/>
      <c r="AC725" s="159"/>
      <c r="AD725" s="159"/>
      <c r="AE725" s="159"/>
    </row>
    <row r="726">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c r="X726" s="159"/>
      <c r="Y726" s="159"/>
      <c r="Z726" s="159"/>
      <c r="AA726" s="159"/>
      <c r="AB726" s="159"/>
      <c r="AC726" s="159"/>
      <c r="AD726" s="159"/>
      <c r="AE726" s="159"/>
    </row>
    <row r="727">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c r="X727" s="159"/>
      <c r="Y727" s="159"/>
      <c r="Z727" s="159"/>
      <c r="AA727" s="159"/>
      <c r="AB727" s="159"/>
      <c r="AC727" s="159"/>
      <c r="AD727" s="159"/>
      <c r="AE727" s="159"/>
    </row>
    <row r="728">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c r="X728" s="159"/>
      <c r="Y728" s="159"/>
      <c r="Z728" s="159"/>
      <c r="AA728" s="159"/>
      <c r="AB728" s="159"/>
      <c r="AC728" s="159"/>
      <c r="AD728" s="159"/>
      <c r="AE728" s="159"/>
    </row>
    <row r="729">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c r="X729" s="159"/>
      <c r="Y729" s="159"/>
      <c r="Z729" s="159"/>
      <c r="AA729" s="159"/>
      <c r="AB729" s="159"/>
      <c r="AC729" s="159"/>
      <c r="AD729" s="159"/>
      <c r="AE729" s="159"/>
    </row>
    <row r="730">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c r="X730" s="159"/>
      <c r="Y730" s="159"/>
      <c r="Z730" s="159"/>
      <c r="AA730" s="159"/>
      <c r="AB730" s="159"/>
      <c r="AC730" s="159"/>
      <c r="AD730" s="159"/>
      <c r="AE730" s="159"/>
    </row>
    <row r="731">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c r="X731" s="159"/>
      <c r="Y731" s="159"/>
      <c r="Z731" s="159"/>
      <c r="AA731" s="159"/>
      <c r="AB731" s="159"/>
      <c r="AC731" s="159"/>
      <c r="AD731" s="159"/>
      <c r="AE731" s="159"/>
    </row>
    <row r="732">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c r="X732" s="159"/>
      <c r="Y732" s="159"/>
      <c r="Z732" s="159"/>
      <c r="AA732" s="159"/>
      <c r="AB732" s="159"/>
      <c r="AC732" s="159"/>
      <c r="AD732" s="159"/>
      <c r="AE732" s="159"/>
    </row>
    <row r="733">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c r="X733" s="159"/>
      <c r="Y733" s="159"/>
      <c r="Z733" s="159"/>
      <c r="AA733" s="159"/>
      <c r="AB733" s="159"/>
      <c r="AC733" s="159"/>
      <c r="AD733" s="159"/>
      <c r="AE733" s="159"/>
    </row>
    <row r="734">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c r="X734" s="159"/>
      <c r="Y734" s="159"/>
      <c r="Z734" s="159"/>
      <c r="AA734" s="159"/>
      <c r="AB734" s="159"/>
      <c r="AC734" s="159"/>
      <c r="AD734" s="159"/>
      <c r="AE734" s="159"/>
    </row>
    <row r="735">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c r="X735" s="159"/>
      <c r="Y735" s="159"/>
      <c r="Z735" s="159"/>
      <c r="AA735" s="159"/>
      <c r="AB735" s="159"/>
      <c r="AC735" s="159"/>
      <c r="AD735" s="159"/>
      <c r="AE735" s="159"/>
    </row>
    <row r="736">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c r="X736" s="159"/>
      <c r="Y736" s="159"/>
      <c r="Z736" s="159"/>
      <c r="AA736" s="159"/>
      <c r="AB736" s="159"/>
      <c r="AC736" s="159"/>
      <c r="AD736" s="159"/>
      <c r="AE736" s="159"/>
    </row>
    <row r="737">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c r="X737" s="159"/>
      <c r="Y737" s="159"/>
      <c r="Z737" s="159"/>
      <c r="AA737" s="159"/>
      <c r="AB737" s="159"/>
      <c r="AC737" s="159"/>
      <c r="AD737" s="159"/>
      <c r="AE737" s="159"/>
    </row>
    <row r="738">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c r="X738" s="159"/>
      <c r="Y738" s="159"/>
      <c r="Z738" s="159"/>
      <c r="AA738" s="159"/>
      <c r="AB738" s="159"/>
      <c r="AC738" s="159"/>
      <c r="AD738" s="159"/>
      <c r="AE738" s="159"/>
    </row>
    <row r="739">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c r="X739" s="159"/>
      <c r="Y739" s="159"/>
      <c r="Z739" s="159"/>
      <c r="AA739" s="159"/>
      <c r="AB739" s="159"/>
      <c r="AC739" s="159"/>
      <c r="AD739" s="159"/>
      <c r="AE739" s="159"/>
    </row>
    <row r="740">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c r="X740" s="159"/>
      <c r="Y740" s="159"/>
      <c r="Z740" s="159"/>
      <c r="AA740" s="159"/>
      <c r="AB740" s="159"/>
      <c r="AC740" s="159"/>
      <c r="AD740" s="159"/>
      <c r="AE740" s="159"/>
    </row>
    <row r="741">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c r="X741" s="159"/>
      <c r="Y741" s="159"/>
      <c r="Z741" s="159"/>
      <c r="AA741" s="159"/>
      <c r="AB741" s="159"/>
      <c r="AC741" s="159"/>
      <c r="AD741" s="159"/>
      <c r="AE741" s="159"/>
    </row>
    <row r="742">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c r="X742" s="159"/>
      <c r="Y742" s="159"/>
      <c r="Z742" s="159"/>
      <c r="AA742" s="159"/>
      <c r="AB742" s="159"/>
      <c r="AC742" s="159"/>
      <c r="AD742" s="159"/>
      <c r="AE742" s="159"/>
    </row>
    <row r="743">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c r="X743" s="159"/>
      <c r="Y743" s="159"/>
      <c r="Z743" s="159"/>
      <c r="AA743" s="159"/>
      <c r="AB743" s="159"/>
      <c r="AC743" s="159"/>
      <c r="AD743" s="159"/>
      <c r="AE743" s="159"/>
    </row>
    <row r="744">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c r="X744" s="159"/>
      <c r="Y744" s="159"/>
      <c r="Z744" s="159"/>
      <c r="AA744" s="159"/>
      <c r="AB744" s="159"/>
      <c r="AC744" s="159"/>
      <c r="AD744" s="159"/>
      <c r="AE744" s="159"/>
    </row>
    <row r="745">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c r="X745" s="159"/>
      <c r="Y745" s="159"/>
      <c r="Z745" s="159"/>
      <c r="AA745" s="159"/>
      <c r="AB745" s="159"/>
      <c r="AC745" s="159"/>
      <c r="AD745" s="159"/>
      <c r="AE745" s="159"/>
    </row>
    <row r="746">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c r="X746" s="159"/>
      <c r="Y746" s="159"/>
      <c r="Z746" s="159"/>
      <c r="AA746" s="159"/>
      <c r="AB746" s="159"/>
      <c r="AC746" s="159"/>
      <c r="AD746" s="159"/>
      <c r="AE746" s="159"/>
    </row>
    <row r="747">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c r="X747" s="159"/>
      <c r="Y747" s="159"/>
      <c r="Z747" s="159"/>
      <c r="AA747" s="159"/>
      <c r="AB747" s="159"/>
      <c r="AC747" s="159"/>
      <c r="AD747" s="159"/>
      <c r="AE747" s="159"/>
    </row>
    <row r="748">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c r="X748" s="159"/>
      <c r="Y748" s="159"/>
      <c r="Z748" s="159"/>
      <c r="AA748" s="159"/>
      <c r="AB748" s="159"/>
      <c r="AC748" s="159"/>
      <c r="AD748" s="159"/>
      <c r="AE748" s="159"/>
    </row>
    <row r="749">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c r="X749" s="159"/>
      <c r="Y749" s="159"/>
      <c r="Z749" s="159"/>
      <c r="AA749" s="159"/>
      <c r="AB749" s="159"/>
      <c r="AC749" s="159"/>
      <c r="AD749" s="159"/>
      <c r="AE749" s="159"/>
    </row>
    <row r="750">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c r="X750" s="159"/>
      <c r="Y750" s="159"/>
      <c r="Z750" s="159"/>
      <c r="AA750" s="159"/>
      <c r="AB750" s="159"/>
      <c r="AC750" s="159"/>
      <c r="AD750" s="159"/>
      <c r="AE750" s="159"/>
    </row>
    <row r="751">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c r="X751" s="159"/>
      <c r="Y751" s="159"/>
      <c r="Z751" s="159"/>
      <c r="AA751" s="159"/>
      <c r="AB751" s="159"/>
      <c r="AC751" s="159"/>
      <c r="AD751" s="159"/>
      <c r="AE751" s="159"/>
    </row>
    <row r="752">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c r="X752" s="159"/>
      <c r="Y752" s="159"/>
      <c r="Z752" s="159"/>
      <c r="AA752" s="159"/>
      <c r="AB752" s="159"/>
      <c r="AC752" s="159"/>
      <c r="AD752" s="159"/>
      <c r="AE752" s="159"/>
    </row>
    <row r="753">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c r="X753" s="159"/>
      <c r="Y753" s="159"/>
      <c r="Z753" s="159"/>
      <c r="AA753" s="159"/>
      <c r="AB753" s="159"/>
      <c r="AC753" s="159"/>
      <c r="AD753" s="159"/>
      <c r="AE753" s="159"/>
    </row>
    <row r="754">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c r="X754" s="159"/>
      <c r="Y754" s="159"/>
      <c r="Z754" s="159"/>
      <c r="AA754" s="159"/>
      <c r="AB754" s="159"/>
      <c r="AC754" s="159"/>
      <c r="AD754" s="159"/>
      <c r="AE754" s="159"/>
    </row>
    <row r="755">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c r="X755" s="159"/>
      <c r="Y755" s="159"/>
      <c r="Z755" s="159"/>
      <c r="AA755" s="159"/>
      <c r="AB755" s="159"/>
      <c r="AC755" s="159"/>
      <c r="AD755" s="159"/>
      <c r="AE755" s="159"/>
    </row>
    <row r="756">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c r="X756" s="159"/>
      <c r="Y756" s="159"/>
      <c r="Z756" s="159"/>
      <c r="AA756" s="159"/>
      <c r="AB756" s="159"/>
      <c r="AC756" s="159"/>
      <c r="AD756" s="159"/>
      <c r="AE756" s="159"/>
    </row>
    <row r="757">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c r="X757" s="159"/>
      <c r="Y757" s="159"/>
      <c r="Z757" s="159"/>
      <c r="AA757" s="159"/>
      <c r="AB757" s="159"/>
      <c r="AC757" s="159"/>
      <c r="AD757" s="159"/>
      <c r="AE757" s="159"/>
    </row>
    <row r="758">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c r="X758" s="159"/>
      <c r="Y758" s="159"/>
      <c r="Z758" s="159"/>
      <c r="AA758" s="159"/>
      <c r="AB758" s="159"/>
      <c r="AC758" s="159"/>
      <c r="AD758" s="159"/>
      <c r="AE758" s="159"/>
    </row>
    <row r="759">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c r="X759" s="159"/>
      <c r="Y759" s="159"/>
      <c r="Z759" s="159"/>
      <c r="AA759" s="159"/>
      <c r="AB759" s="159"/>
      <c r="AC759" s="159"/>
      <c r="AD759" s="159"/>
      <c r="AE759" s="159"/>
    </row>
    <row r="760">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c r="X760" s="159"/>
      <c r="Y760" s="159"/>
      <c r="Z760" s="159"/>
      <c r="AA760" s="159"/>
      <c r="AB760" s="159"/>
      <c r="AC760" s="159"/>
      <c r="AD760" s="159"/>
      <c r="AE760" s="159"/>
    </row>
    <row r="761">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c r="X761" s="159"/>
      <c r="Y761" s="159"/>
      <c r="Z761" s="159"/>
      <c r="AA761" s="159"/>
      <c r="AB761" s="159"/>
      <c r="AC761" s="159"/>
      <c r="AD761" s="159"/>
      <c r="AE761" s="159"/>
    </row>
    <row r="762">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c r="X762" s="159"/>
      <c r="Y762" s="159"/>
      <c r="Z762" s="159"/>
      <c r="AA762" s="159"/>
      <c r="AB762" s="159"/>
      <c r="AC762" s="159"/>
      <c r="AD762" s="159"/>
      <c r="AE762" s="159"/>
    </row>
    <row r="763">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c r="X763" s="159"/>
      <c r="Y763" s="159"/>
      <c r="Z763" s="159"/>
      <c r="AA763" s="159"/>
      <c r="AB763" s="159"/>
      <c r="AC763" s="159"/>
      <c r="AD763" s="159"/>
      <c r="AE763" s="159"/>
    </row>
    <row r="764">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c r="X764" s="159"/>
      <c r="Y764" s="159"/>
      <c r="Z764" s="159"/>
      <c r="AA764" s="159"/>
      <c r="AB764" s="159"/>
      <c r="AC764" s="159"/>
      <c r="AD764" s="159"/>
      <c r="AE764" s="159"/>
    </row>
    <row r="765">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c r="X765" s="159"/>
      <c r="Y765" s="159"/>
      <c r="Z765" s="159"/>
      <c r="AA765" s="159"/>
      <c r="AB765" s="159"/>
      <c r="AC765" s="159"/>
      <c r="AD765" s="159"/>
      <c r="AE765" s="159"/>
    </row>
    <row r="766">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c r="X766" s="159"/>
      <c r="Y766" s="159"/>
      <c r="Z766" s="159"/>
      <c r="AA766" s="159"/>
      <c r="AB766" s="159"/>
      <c r="AC766" s="159"/>
      <c r="AD766" s="159"/>
      <c r="AE766" s="159"/>
    </row>
    <row r="767">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c r="X767" s="159"/>
      <c r="Y767" s="159"/>
      <c r="Z767" s="159"/>
      <c r="AA767" s="159"/>
      <c r="AB767" s="159"/>
      <c r="AC767" s="159"/>
      <c r="AD767" s="159"/>
      <c r="AE767" s="159"/>
    </row>
    <row r="768">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c r="X768" s="159"/>
      <c r="Y768" s="159"/>
      <c r="Z768" s="159"/>
      <c r="AA768" s="159"/>
      <c r="AB768" s="159"/>
      <c r="AC768" s="159"/>
      <c r="AD768" s="159"/>
      <c r="AE768" s="159"/>
    </row>
    <row r="769">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c r="X769" s="159"/>
      <c r="Y769" s="159"/>
      <c r="Z769" s="159"/>
      <c r="AA769" s="159"/>
      <c r="AB769" s="159"/>
      <c r="AC769" s="159"/>
      <c r="AD769" s="159"/>
      <c r="AE769" s="159"/>
    </row>
    <row r="770">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c r="X770" s="159"/>
      <c r="Y770" s="159"/>
      <c r="Z770" s="159"/>
      <c r="AA770" s="159"/>
      <c r="AB770" s="159"/>
      <c r="AC770" s="159"/>
      <c r="AD770" s="159"/>
      <c r="AE770" s="159"/>
    </row>
    <row r="771">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c r="X771" s="159"/>
      <c r="Y771" s="159"/>
      <c r="Z771" s="159"/>
      <c r="AA771" s="159"/>
      <c r="AB771" s="159"/>
      <c r="AC771" s="159"/>
      <c r="AD771" s="159"/>
      <c r="AE771" s="159"/>
    </row>
    <row r="772">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c r="X772" s="159"/>
      <c r="Y772" s="159"/>
      <c r="Z772" s="159"/>
      <c r="AA772" s="159"/>
      <c r="AB772" s="159"/>
      <c r="AC772" s="159"/>
      <c r="AD772" s="159"/>
      <c r="AE772" s="159"/>
    </row>
    <row r="773">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c r="X773" s="159"/>
      <c r="Y773" s="159"/>
      <c r="Z773" s="159"/>
      <c r="AA773" s="159"/>
      <c r="AB773" s="159"/>
      <c r="AC773" s="159"/>
      <c r="AD773" s="159"/>
      <c r="AE773" s="159"/>
    </row>
    <row r="774">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c r="X774" s="159"/>
      <c r="Y774" s="159"/>
      <c r="Z774" s="159"/>
      <c r="AA774" s="159"/>
      <c r="AB774" s="159"/>
      <c r="AC774" s="159"/>
      <c r="AD774" s="159"/>
      <c r="AE774" s="159"/>
    </row>
    <row r="775">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c r="X775" s="159"/>
      <c r="Y775" s="159"/>
      <c r="Z775" s="159"/>
      <c r="AA775" s="159"/>
      <c r="AB775" s="159"/>
      <c r="AC775" s="159"/>
      <c r="AD775" s="159"/>
      <c r="AE775" s="159"/>
    </row>
    <row r="776">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c r="X776" s="159"/>
      <c r="Y776" s="159"/>
      <c r="Z776" s="159"/>
      <c r="AA776" s="159"/>
      <c r="AB776" s="159"/>
      <c r="AC776" s="159"/>
      <c r="AD776" s="159"/>
      <c r="AE776" s="159"/>
    </row>
    <row r="777">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c r="X777" s="159"/>
      <c r="Y777" s="159"/>
      <c r="Z777" s="159"/>
      <c r="AA777" s="159"/>
      <c r="AB777" s="159"/>
      <c r="AC777" s="159"/>
      <c r="AD777" s="159"/>
      <c r="AE777" s="159"/>
    </row>
    <row r="778">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c r="X778" s="159"/>
      <c r="Y778" s="159"/>
      <c r="Z778" s="159"/>
      <c r="AA778" s="159"/>
      <c r="AB778" s="159"/>
      <c r="AC778" s="159"/>
      <c r="AD778" s="159"/>
      <c r="AE778" s="159"/>
    </row>
    <row r="779">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c r="X779" s="159"/>
      <c r="Y779" s="159"/>
      <c r="Z779" s="159"/>
      <c r="AA779" s="159"/>
      <c r="AB779" s="159"/>
      <c r="AC779" s="159"/>
      <c r="AD779" s="159"/>
      <c r="AE779" s="159"/>
    </row>
    <row r="780">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c r="X780" s="159"/>
      <c r="Y780" s="159"/>
      <c r="Z780" s="159"/>
      <c r="AA780" s="159"/>
      <c r="AB780" s="159"/>
      <c r="AC780" s="159"/>
      <c r="AD780" s="159"/>
      <c r="AE780" s="159"/>
    </row>
    <row r="781">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c r="X781" s="159"/>
      <c r="Y781" s="159"/>
      <c r="Z781" s="159"/>
      <c r="AA781" s="159"/>
      <c r="AB781" s="159"/>
      <c r="AC781" s="159"/>
      <c r="AD781" s="159"/>
      <c r="AE781" s="159"/>
    </row>
    <row r="782">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c r="X782" s="159"/>
      <c r="Y782" s="159"/>
      <c r="Z782" s="159"/>
      <c r="AA782" s="159"/>
      <c r="AB782" s="159"/>
      <c r="AC782" s="159"/>
      <c r="AD782" s="159"/>
      <c r="AE782" s="159"/>
    </row>
    <row r="783">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c r="X783" s="159"/>
      <c r="Y783" s="159"/>
      <c r="Z783" s="159"/>
      <c r="AA783" s="159"/>
      <c r="AB783" s="159"/>
      <c r="AC783" s="159"/>
      <c r="AD783" s="159"/>
      <c r="AE783" s="159"/>
    </row>
    <row r="784">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c r="X784" s="159"/>
      <c r="Y784" s="159"/>
      <c r="Z784" s="159"/>
      <c r="AA784" s="159"/>
      <c r="AB784" s="159"/>
      <c r="AC784" s="159"/>
      <c r="AD784" s="159"/>
      <c r="AE784" s="159"/>
    </row>
    <row r="785">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c r="X785" s="159"/>
      <c r="Y785" s="159"/>
      <c r="Z785" s="159"/>
      <c r="AA785" s="159"/>
      <c r="AB785" s="159"/>
      <c r="AC785" s="159"/>
      <c r="AD785" s="159"/>
      <c r="AE785" s="159"/>
    </row>
    <row r="786">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c r="X786" s="159"/>
      <c r="Y786" s="159"/>
      <c r="Z786" s="159"/>
      <c r="AA786" s="159"/>
      <c r="AB786" s="159"/>
      <c r="AC786" s="159"/>
      <c r="AD786" s="159"/>
      <c r="AE786" s="159"/>
    </row>
    <row r="787">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c r="X787" s="159"/>
      <c r="Y787" s="159"/>
      <c r="Z787" s="159"/>
      <c r="AA787" s="159"/>
      <c r="AB787" s="159"/>
      <c r="AC787" s="159"/>
      <c r="AD787" s="159"/>
      <c r="AE787" s="159"/>
    </row>
    <row r="788">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c r="X788" s="159"/>
      <c r="Y788" s="159"/>
      <c r="Z788" s="159"/>
      <c r="AA788" s="159"/>
      <c r="AB788" s="159"/>
      <c r="AC788" s="159"/>
      <c r="AD788" s="159"/>
      <c r="AE788" s="159"/>
    </row>
    <row r="789">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c r="X789" s="159"/>
      <c r="Y789" s="159"/>
      <c r="Z789" s="159"/>
      <c r="AA789" s="159"/>
      <c r="AB789" s="159"/>
      <c r="AC789" s="159"/>
      <c r="AD789" s="159"/>
      <c r="AE789" s="159"/>
    </row>
    <row r="790">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c r="X790" s="159"/>
      <c r="Y790" s="159"/>
      <c r="Z790" s="159"/>
      <c r="AA790" s="159"/>
      <c r="AB790" s="159"/>
      <c r="AC790" s="159"/>
      <c r="AD790" s="159"/>
      <c r="AE790" s="159"/>
    </row>
    <row r="791">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c r="X791" s="159"/>
      <c r="Y791" s="159"/>
      <c r="Z791" s="159"/>
      <c r="AA791" s="159"/>
      <c r="AB791" s="159"/>
      <c r="AC791" s="159"/>
      <c r="AD791" s="159"/>
      <c r="AE791" s="159"/>
    </row>
    <row r="792">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c r="X792" s="159"/>
      <c r="Y792" s="159"/>
      <c r="Z792" s="159"/>
      <c r="AA792" s="159"/>
      <c r="AB792" s="159"/>
      <c r="AC792" s="159"/>
      <c r="AD792" s="159"/>
      <c r="AE792" s="159"/>
    </row>
    <row r="793">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c r="X793" s="159"/>
      <c r="Y793" s="159"/>
      <c r="Z793" s="159"/>
      <c r="AA793" s="159"/>
      <c r="AB793" s="159"/>
      <c r="AC793" s="159"/>
      <c r="AD793" s="159"/>
      <c r="AE793" s="159"/>
    </row>
    <row r="794">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c r="X794" s="159"/>
      <c r="Y794" s="159"/>
      <c r="Z794" s="159"/>
      <c r="AA794" s="159"/>
      <c r="AB794" s="159"/>
      <c r="AC794" s="159"/>
      <c r="AD794" s="159"/>
      <c r="AE794" s="159"/>
    </row>
    <row r="795">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c r="X795" s="159"/>
      <c r="Y795" s="159"/>
      <c r="Z795" s="159"/>
      <c r="AA795" s="159"/>
      <c r="AB795" s="159"/>
      <c r="AC795" s="159"/>
      <c r="AD795" s="159"/>
      <c r="AE795" s="159"/>
    </row>
    <row r="796">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c r="X796" s="159"/>
      <c r="Y796" s="159"/>
      <c r="Z796" s="159"/>
      <c r="AA796" s="159"/>
      <c r="AB796" s="159"/>
      <c r="AC796" s="159"/>
      <c r="AD796" s="159"/>
      <c r="AE796" s="159"/>
    </row>
    <row r="797">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c r="X797" s="159"/>
      <c r="Y797" s="159"/>
      <c r="Z797" s="159"/>
      <c r="AA797" s="159"/>
      <c r="AB797" s="159"/>
      <c r="AC797" s="159"/>
      <c r="AD797" s="159"/>
      <c r="AE797" s="159"/>
    </row>
    <row r="798">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c r="X798" s="159"/>
      <c r="Y798" s="159"/>
      <c r="Z798" s="159"/>
      <c r="AA798" s="159"/>
      <c r="AB798" s="159"/>
      <c r="AC798" s="159"/>
      <c r="AD798" s="159"/>
      <c r="AE798" s="159"/>
    </row>
    <row r="799">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c r="X799" s="159"/>
      <c r="Y799" s="159"/>
      <c r="Z799" s="159"/>
      <c r="AA799" s="159"/>
      <c r="AB799" s="159"/>
      <c r="AC799" s="159"/>
      <c r="AD799" s="159"/>
      <c r="AE799" s="159"/>
    </row>
    <row r="800">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c r="X800" s="159"/>
      <c r="Y800" s="159"/>
      <c r="Z800" s="159"/>
      <c r="AA800" s="159"/>
      <c r="AB800" s="159"/>
      <c r="AC800" s="159"/>
      <c r="AD800" s="159"/>
      <c r="AE800" s="159"/>
    </row>
    <row r="801">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c r="X801" s="159"/>
      <c r="Y801" s="159"/>
      <c r="Z801" s="159"/>
      <c r="AA801" s="159"/>
      <c r="AB801" s="159"/>
      <c r="AC801" s="159"/>
      <c r="AD801" s="159"/>
      <c r="AE801" s="159"/>
    </row>
    <row r="802">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c r="X802" s="159"/>
      <c r="Y802" s="159"/>
      <c r="Z802" s="159"/>
      <c r="AA802" s="159"/>
      <c r="AB802" s="159"/>
      <c r="AC802" s="159"/>
      <c r="AD802" s="159"/>
      <c r="AE802" s="159"/>
    </row>
    <row r="803">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c r="X803" s="159"/>
      <c r="Y803" s="159"/>
      <c r="Z803" s="159"/>
      <c r="AA803" s="159"/>
      <c r="AB803" s="159"/>
      <c r="AC803" s="159"/>
      <c r="AD803" s="159"/>
      <c r="AE803" s="159"/>
    </row>
    <row r="804">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c r="X804" s="159"/>
      <c r="Y804" s="159"/>
      <c r="Z804" s="159"/>
      <c r="AA804" s="159"/>
      <c r="AB804" s="159"/>
      <c r="AC804" s="159"/>
      <c r="AD804" s="159"/>
      <c r="AE804" s="159"/>
    </row>
    <row r="805">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c r="X805" s="159"/>
      <c r="Y805" s="159"/>
      <c r="Z805" s="159"/>
      <c r="AA805" s="159"/>
      <c r="AB805" s="159"/>
      <c r="AC805" s="159"/>
      <c r="AD805" s="159"/>
      <c r="AE805" s="159"/>
    </row>
    <row r="806">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c r="X806" s="159"/>
      <c r="Y806" s="159"/>
      <c r="Z806" s="159"/>
      <c r="AA806" s="159"/>
      <c r="AB806" s="159"/>
      <c r="AC806" s="159"/>
      <c r="AD806" s="159"/>
      <c r="AE806" s="159"/>
    </row>
    <row r="807">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c r="X807" s="159"/>
      <c r="Y807" s="159"/>
      <c r="Z807" s="159"/>
      <c r="AA807" s="159"/>
      <c r="AB807" s="159"/>
      <c r="AC807" s="159"/>
      <c r="AD807" s="159"/>
      <c r="AE807" s="159"/>
    </row>
    <row r="808">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c r="X808" s="159"/>
      <c r="Y808" s="159"/>
      <c r="Z808" s="159"/>
      <c r="AA808" s="159"/>
      <c r="AB808" s="159"/>
      <c r="AC808" s="159"/>
      <c r="AD808" s="159"/>
      <c r="AE808" s="159"/>
    </row>
    <row r="809">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c r="X809" s="159"/>
      <c r="Y809" s="159"/>
      <c r="Z809" s="159"/>
      <c r="AA809" s="159"/>
      <c r="AB809" s="159"/>
      <c r="AC809" s="159"/>
      <c r="AD809" s="159"/>
      <c r="AE809" s="159"/>
    </row>
    <row r="810">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c r="X810" s="159"/>
      <c r="Y810" s="159"/>
      <c r="Z810" s="159"/>
      <c r="AA810" s="159"/>
      <c r="AB810" s="159"/>
      <c r="AC810" s="159"/>
      <c r="AD810" s="159"/>
      <c r="AE810" s="159"/>
    </row>
    <row r="811">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c r="X811" s="159"/>
      <c r="Y811" s="159"/>
      <c r="Z811" s="159"/>
      <c r="AA811" s="159"/>
      <c r="AB811" s="159"/>
      <c r="AC811" s="159"/>
      <c r="AD811" s="159"/>
      <c r="AE811" s="159"/>
    </row>
    <row r="812">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c r="X812" s="159"/>
      <c r="Y812" s="159"/>
      <c r="Z812" s="159"/>
      <c r="AA812" s="159"/>
      <c r="AB812" s="159"/>
      <c r="AC812" s="159"/>
      <c r="AD812" s="159"/>
      <c r="AE812" s="159"/>
    </row>
    <row r="813">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c r="X813" s="159"/>
      <c r="Y813" s="159"/>
      <c r="Z813" s="159"/>
      <c r="AA813" s="159"/>
      <c r="AB813" s="159"/>
      <c r="AC813" s="159"/>
      <c r="AD813" s="159"/>
      <c r="AE813" s="159"/>
    </row>
    <row r="814">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c r="X814" s="159"/>
      <c r="Y814" s="159"/>
      <c r="Z814" s="159"/>
      <c r="AA814" s="159"/>
      <c r="AB814" s="159"/>
      <c r="AC814" s="159"/>
      <c r="AD814" s="159"/>
      <c r="AE814" s="159"/>
    </row>
    <row r="815">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c r="X815" s="159"/>
      <c r="Y815" s="159"/>
      <c r="Z815" s="159"/>
      <c r="AA815" s="159"/>
      <c r="AB815" s="159"/>
      <c r="AC815" s="159"/>
      <c r="AD815" s="159"/>
      <c r="AE815" s="159"/>
    </row>
    <row r="816">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c r="X816" s="159"/>
      <c r="Y816" s="159"/>
      <c r="Z816" s="159"/>
      <c r="AA816" s="159"/>
      <c r="AB816" s="159"/>
      <c r="AC816" s="159"/>
      <c r="AD816" s="159"/>
      <c r="AE816" s="159"/>
    </row>
    <row r="817">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c r="X817" s="159"/>
      <c r="Y817" s="159"/>
      <c r="Z817" s="159"/>
      <c r="AA817" s="159"/>
      <c r="AB817" s="159"/>
      <c r="AC817" s="159"/>
      <c r="AD817" s="159"/>
      <c r="AE817" s="159"/>
    </row>
    <row r="818">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c r="X818" s="159"/>
      <c r="Y818" s="159"/>
      <c r="Z818" s="159"/>
      <c r="AA818" s="159"/>
      <c r="AB818" s="159"/>
      <c r="AC818" s="159"/>
      <c r="AD818" s="159"/>
      <c r="AE818" s="159"/>
    </row>
    <row r="819">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c r="X819" s="159"/>
      <c r="Y819" s="159"/>
      <c r="Z819" s="159"/>
      <c r="AA819" s="159"/>
      <c r="AB819" s="159"/>
      <c r="AC819" s="159"/>
      <c r="AD819" s="159"/>
      <c r="AE819" s="159"/>
    </row>
    <row r="820">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c r="X820" s="159"/>
      <c r="Y820" s="159"/>
      <c r="Z820" s="159"/>
      <c r="AA820" s="159"/>
      <c r="AB820" s="159"/>
      <c r="AC820" s="159"/>
      <c r="AD820" s="159"/>
      <c r="AE820" s="159"/>
    </row>
    <row r="821">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c r="X821" s="159"/>
      <c r="Y821" s="159"/>
      <c r="Z821" s="159"/>
      <c r="AA821" s="159"/>
      <c r="AB821" s="159"/>
      <c r="AC821" s="159"/>
      <c r="AD821" s="159"/>
      <c r="AE821" s="159"/>
    </row>
    <row r="822">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c r="X822" s="159"/>
      <c r="Y822" s="159"/>
      <c r="Z822" s="159"/>
      <c r="AA822" s="159"/>
      <c r="AB822" s="159"/>
      <c r="AC822" s="159"/>
      <c r="AD822" s="159"/>
      <c r="AE822" s="159"/>
    </row>
    <row r="823">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c r="X823" s="159"/>
      <c r="Y823" s="159"/>
      <c r="Z823" s="159"/>
      <c r="AA823" s="159"/>
      <c r="AB823" s="159"/>
      <c r="AC823" s="159"/>
      <c r="AD823" s="159"/>
      <c r="AE823" s="159"/>
    </row>
    <row r="824">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c r="X824" s="159"/>
      <c r="Y824" s="159"/>
      <c r="Z824" s="159"/>
      <c r="AA824" s="159"/>
      <c r="AB824" s="159"/>
      <c r="AC824" s="159"/>
      <c r="AD824" s="159"/>
      <c r="AE824" s="159"/>
    </row>
    <row r="825">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c r="X825" s="159"/>
      <c r="Y825" s="159"/>
      <c r="Z825" s="159"/>
      <c r="AA825" s="159"/>
      <c r="AB825" s="159"/>
      <c r="AC825" s="159"/>
      <c r="AD825" s="159"/>
      <c r="AE825" s="159"/>
    </row>
    <row r="826">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c r="X826" s="159"/>
      <c r="Y826" s="159"/>
      <c r="Z826" s="159"/>
      <c r="AA826" s="159"/>
      <c r="AB826" s="159"/>
      <c r="AC826" s="159"/>
      <c r="AD826" s="159"/>
      <c r="AE826" s="159"/>
    </row>
    <row r="827">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c r="X827" s="159"/>
      <c r="Y827" s="159"/>
      <c r="Z827" s="159"/>
      <c r="AA827" s="159"/>
      <c r="AB827" s="159"/>
      <c r="AC827" s="159"/>
      <c r="AD827" s="159"/>
      <c r="AE827" s="159"/>
    </row>
    <row r="828">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c r="X828" s="159"/>
      <c r="Y828" s="159"/>
      <c r="Z828" s="159"/>
      <c r="AA828" s="159"/>
      <c r="AB828" s="159"/>
      <c r="AC828" s="159"/>
      <c r="AD828" s="159"/>
      <c r="AE828" s="159"/>
    </row>
    <row r="829">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c r="X829" s="159"/>
      <c r="Y829" s="159"/>
      <c r="Z829" s="159"/>
      <c r="AA829" s="159"/>
      <c r="AB829" s="159"/>
      <c r="AC829" s="159"/>
      <c r="AD829" s="159"/>
      <c r="AE829" s="159"/>
    </row>
    <row r="830">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c r="X830" s="159"/>
      <c r="Y830" s="159"/>
      <c r="Z830" s="159"/>
      <c r="AA830" s="159"/>
      <c r="AB830" s="159"/>
      <c r="AC830" s="159"/>
      <c r="AD830" s="159"/>
      <c r="AE830" s="159"/>
    </row>
    <row r="831">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c r="X831" s="159"/>
      <c r="Y831" s="159"/>
      <c r="Z831" s="159"/>
      <c r="AA831" s="159"/>
      <c r="AB831" s="159"/>
      <c r="AC831" s="159"/>
      <c r="AD831" s="159"/>
      <c r="AE831" s="159"/>
    </row>
    <row r="832">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c r="X832" s="159"/>
      <c r="Y832" s="159"/>
      <c r="Z832" s="159"/>
      <c r="AA832" s="159"/>
      <c r="AB832" s="159"/>
      <c r="AC832" s="159"/>
      <c r="AD832" s="159"/>
      <c r="AE832" s="159"/>
    </row>
    <row r="833">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c r="X833" s="159"/>
      <c r="Y833" s="159"/>
      <c r="Z833" s="159"/>
      <c r="AA833" s="159"/>
      <c r="AB833" s="159"/>
      <c r="AC833" s="159"/>
      <c r="AD833" s="159"/>
      <c r="AE833" s="159"/>
    </row>
    <row r="834">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c r="X834" s="159"/>
      <c r="Y834" s="159"/>
      <c r="Z834" s="159"/>
      <c r="AA834" s="159"/>
      <c r="AB834" s="159"/>
      <c r="AC834" s="159"/>
      <c r="AD834" s="159"/>
      <c r="AE834" s="159"/>
    </row>
    <row r="835">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c r="X835" s="159"/>
      <c r="Y835" s="159"/>
      <c r="Z835" s="159"/>
      <c r="AA835" s="159"/>
      <c r="AB835" s="159"/>
      <c r="AC835" s="159"/>
      <c r="AD835" s="159"/>
      <c r="AE835" s="159"/>
    </row>
    <row r="836">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c r="X836" s="159"/>
      <c r="Y836" s="159"/>
      <c r="Z836" s="159"/>
      <c r="AA836" s="159"/>
      <c r="AB836" s="159"/>
      <c r="AC836" s="159"/>
      <c r="AD836" s="159"/>
      <c r="AE836" s="159"/>
    </row>
    <row r="837">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c r="X837" s="159"/>
      <c r="Y837" s="159"/>
      <c r="Z837" s="159"/>
      <c r="AA837" s="159"/>
      <c r="AB837" s="159"/>
      <c r="AC837" s="159"/>
      <c r="AD837" s="159"/>
      <c r="AE837" s="159"/>
    </row>
    <row r="838">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c r="X838" s="159"/>
      <c r="Y838" s="159"/>
      <c r="Z838" s="159"/>
      <c r="AA838" s="159"/>
      <c r="AB838" s="159"/>
      <c r="AC838" s="159"/>
      <c r="AD838" s="159"/>
      <c r="AE838" s="159"/>
    </row>
    <row r="839">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c r="X839" s="159"/>
      <c r="Y839" s="159"/>
      <c r="Z839" s="159"/>
      <c r="AA839" s="159"/>
      <c r="AB839" s="159"/>
      <c r="AC839" s="159"/>
      <c r="AD839" s="159"/>
      <c r="AE839" s="159"/>
    </row>
    <row r="840">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c r="X840" s="159"/>
      <c r="Y840" s="159"/>
      <c r="Z840" s="159"/>
      <c r="AA840" s="159"/>
      <c r="AB840" s="159"/>
      <c r="AC840" s="159"/>
      <c r="AD840" s="159"/>
      <c r="AE840" s="159"/>
    </row>
    <row r="841">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c r="X841" s="159"/>
      <c r="Y841" s="159"/>
      <c r="Z841" s="159"/>
      <c r="AA841" s="159"/>
      <c r="AB841" s="159"/>
      <c r="AC841" s="159"/>
      <c r="AD841" s="159"/>
      <c r="AE841" s="159"/>
    </row>
    <row r="842">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c r="X842" s="159"/>
      <c r="Y842" s="159"/>
      <c r="Z842" s="159"/>
      <c r="AA842" s="159"/>
      <c r="AB842" s="159"/>
      <c r="AC842" s="159"/>
      <c r="AD842" s="159"/>
      <c r="AE842" s="159"/>
    </row>
    <row r="843">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c r="X843" s="159"/>
      <c r="Y843" s="159"/>
      <c r="Z843" s="159"/>
      <c r="AA843" s="159"/>
      <c r="AB843" s="159"/>
      <c r="AC843" s="159"/>
      <c r="AD843" s="159"/>
      <c r="AE843" s="159"/>
    </row>
    <row r="844">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c r="X844" s="159"/>
      <c r="Y844" s="159"/>
      <c r="Z844" s="159"/>
      <c r="AA844" s="159"/>
      <c r="AB844" s="159"/>
      <c r="AC844" s="159"/>
      <c r="AD844" s="159"/>
      <c r="AE844" s="159"/>
    </row>
    <row r="845">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c r="X845" s="159"/>
      <c r="Y845" s="159"/>
      <c r="Z845" s="159"/>
      <c r="AA845" s="159"/>
      <c r="AB845" s="159"/>
      <c r="AC845" s="159"/>
      <c r="AD845" s="159"/>
      <c r="AE845" s="159"/>
    </row>
    <row r="846">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c r="X846" s="159"/>
      <c r="Y846" s="159"/>
      <c r="Z846" s="159"/>
      <c r="AA846" s="159"/>
      <c r="AB846" s="159"/>
      <c r="AC846" s="159"/>
      <c r="AD846" s="159"/>
      <c r="AE846" s="159"/>
    </row>
    <row r="847">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c r="X847" s="159"/>
      <c r="Y847" s="159"/>
      <c r="Z847" s="159"/>
      <c r="AA847" s="159"/>
      <c r="AB847" s="159"/>
      <c r="AC847" s="159"/>
      <c r="AD847" s="159"/>
      <c r="AE847" s="159"/>
    </row>
    <row r="848">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c r="X848" s="159"/>
      <c r="Y848" s="159"/>
      <c r="Z848" s="159"/>
      <c r="AA848" s="159"/>
      <c r="AB848" s="159"/>
      <c r="AC848" s="159"/>
      <c r="AD848" s="159"/>
      <c r="AE848" s="159"/>
    </row>
    <row r="849">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c r="X849" s="159"/>
      <c r="Y849" s="159"/>
      <c r="Z849" s="159"/>
      <c r="AA849" s="159"/>
      <c r="AB849" s="159"/>
      <c r="AC849" s="159"/>
      <c r="AD849" s="159"/>
      <c r="AE849" s="159"/>
    </row>
    <row r="850">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c r="X850" s="159"/>
      <c r="Y850" s="159"/>
      <c r="Z850" s="159"/>
      <c r="AA850" s="159"/>
      <c r="AB850" s="159"/>
      <c r="AC850" s="159"/>
      <c r="AD850" s="159"/>
      <c r="AE850" s="159"/>
    </row>
    <row r="851">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c r="X851" s="159"/>
      <c r="Y851" s="159"/>
      <c r="Z851" s="159"/>
      <c r="AA851" s="159"/>
      <c r="AB851" s="159"/>
      <c r="AC851" s="159"/>
      <c r="AD851" s="159"/>
      <c r="AE851" s="159"/>
    </row>
    <row r="852">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c r="X852" s="159"/>
      <c r="Y852" s="159"/>
      <c r="Z852" s="159"/>
      <c r="AA852" s="159"/>
      <c r="AB852" s="159"/>
      <c r="AC852" s="159"/>
      <c r="AD852" s="159"/>
      <c r="AE852" s="159"/>
    </row>
    <row r="853">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c r="X853" s="159"/>
      <c r="Y853" s="159"/>
      <c r="Z853" s="159"/>
      <c r="AA853" s="159"/>
      <c r="AB853" s="159"/>
      <c r="AC853" s="159"/>
      <c r="AD853" s="159"/>
      <c r="AE853" s="159"/>
    </row>
    <row r="854">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c r="X854" s="159"/>
      <c r="Y854" s="159"/>
      <c r="Z854" s="159"/>
      <c r="AA854" s="159"/>
      <c r="AB854" s="159"/>
      <c r="AC854" s="159"/>
      <c r="AD854" s="159"/>
      <c r="AE854" s="159"/>
    </row>
    <row r="855">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c r="X855" s="159"/>
      <c r="Y855" s="159"/>
      <c r="Z855" s="159"/>
      <c r="AA855" s="159"/>
      <c r="AB855" s="159"/>
      <c r="AC855" s="159"/>
      <c r="AD855" s="159"/>
      <c r="AE855" s="159"/>
    </row>
    <row r="856">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c r="X856" s="159"/>
      <c r="Y856" s="159"/>
      <c r="Z856" s="159"/>
      <c r="AA856" s="159"/>
      <c r="AB856" s="159"/>
      <c r="AC856" s="159"/>
      <c r="AD856" s="159"/>
      <c r="AE856" s="159"/>
    </row>
    <row r="857">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c r="X857" s="159"/>
      <c r="Y857" s="159"/>
      <c r="Z857" s="159"/>
      <c r="AA857" s="159"/>
      <c r="AB857" s="159"/>
      <c r="AC857" s="159"/>
      <c r="AD857" s="159"/>
      <c r="AE857" s="159"/>
    </row>
    <row r="858">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c r="X858" s="159"/>
      <c r="Y858" s="159"/>
      <c r="Z858" s="159"/>
      <c r="AA858" s="159"/>
      <c r="AB858" s="159"/>
      <c r="AC858" s="159"/>
      <c r="AD858" s="159"/>
      <c r="AE858" s="159"/>
    </row>
    <row r="859">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c r="X859" s="159"/>
      <c r="Y859" s="159"/>
      <c r="Z859" s="159"/>
      <c r="AA859" s="159"/>
      <c r="AB859" s="159"/>
      <c r="AC859" s="159"/>
      <c r="AD859" s="159"/>
      <c r="AE859" s="159"/>
    </row>
    <row r="860">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c r="X860" s="159"/>
      <c r="Y860" s="159"/>
      <c r="Z860" s="159"/>
      <c r="AA860" s="159"/>
      <c r="AB860" s="159"/>
      <c r="AC860" s="159"/>
      <c r="AD860" s="159"/>
      <c r="AE860" s="159"/>
    </row>
    <row r="861">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c r="X861" s="159"/>
      <c r="Y861" s="159"/>
      <c r="Z861" s="159"/>
      <c r="AA861" s="159"/>
      <c r="AB861" s="159"/>
      <c r="AC861" s="159"/>
      <c r="AD861" s="159"/>
      <c r="AE861" s="159"/>
    </row>
    <row r="862">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c r="X862" s="159"/>
      <c r="Y862" s="159"/>
      <c r="Z862" s="159"/>
      <c r="AA862" s="159"/>
      <c r="AB862" s="159"/>
      <c r="AC862" s="159"/>
      <c r="AD862" s="159"/>
      <c r="AE862" s="159"/>
    </row>
    <row r="863">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c r="X863" s="159"/>
      <c r="Y863" s="159"/>
      <c r="Z863" s="159"/>
      <c r="AA863" s="159"/>
      <c r="AB863" s="159"/>
      <c r="AC863" s="159"/>
      <c r="AD863" s="159"/>
      <c r="AE863" s="159"/>
    </row>
    <row r="864">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c r="X864" s="159"/>
      <c r="Y864" s="159"/>
      <c r="Z864" s="159"/>
      <c r="AA864" s="159"/>
      <c r="AB864" s="159"/>
      <c r="AC864" s="159"/>
      <c r="AD864" s="159"/>
      <c r="AE864" s="159"/>
    </row>
    <row r="865">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c r="X865" s="159"/>
      <c r="Y865" s="159"/>
      <c r="Z865" s="159"/>
      <c r="AA865" s="159"/>
      <c r="AB865" s="159"/>
      <c r="AC865" s="159"/>
      <c r="AD865" s="159"/>
      <c r="AE865" s="159"/>
    </row>
    <row r="866">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c r="X866" s="159"/>
      <c r="Y866" s="159"/>
      <c r="Z866" s="159"/>
      <c r="AA866" s="159"/>
      <c r="AB866" s="159"/>
      <c r="AC866" s="159"/>
      <c r="AD866" s="159"/>
      <c r="AE866" s="159"/>
    </row>
    <row r="867">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c r="X867" s="159"/>
      <c r="Y867" s="159"/>
      <c r="Z867" s="159"/>
      <c r="AA867" s="159"/>
      <c r="AB867" s="159"/>
      <c r="AC867" s="159"/>
      <c r="AD867" s="159"/>
      <c r="AE867" s="159"/>
    </row>
    <row r="868">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c r="X868" s="159"/>
      <c r="Y868" s="159"/>
      <c r="Z868" s="159"/>
      <c r="AA868" s="159"/>
      <c r="AB868" s="159"/>
      <c r="AC868" s="159"/>
      <c r="AD868" s="159"/>
      <c r="AE868" s="159"/>
    </row>
    <row r="869">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c r="X869" s="159"/>
      <c r="Y869" s="159"/>
      <c r="Z869" s="159"/>
      <c r="AA869" s="159"/>
      <c r="AB869" s="159"/>
      <c r="AC869" s="159"/>
      <c r="AD869" s="159"/>
      <c r="AE869" s="159"/>
    </row>
    <row r="870">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c r="X870" s="159"/>
      <c r="Y870" s="159"/>
      <c r="Z870" s="159"/>
      <c r="AA870" s="159"/>
      <c r="AB870" s="159"/>
      <c r="AC870" s="159"/>
      <c r="AD870" s="159"/>
      <c r="AE870" s="159"/>
    </row>
    <row r="871">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c r="X871" s="159"/>
      <c r="Y871" s="159"/>
      <c r="Z871" s="159"/>
      <c r="AA871" s="159"/>
      <c r="AB871" s="159"/>
      <c r="AC871" s="159"/>
      <c r="AD871" s="159"/>
      <c r="AE871" s="159"/>
    </row>
    <row r="872">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c r="X872" s="159"/>
      <c r="Y872" s="159"/>
      <c r="Z872" s="159"/>
      <c r="AA872" s="159"/>
      <c r="AB872" s="159"/>
      <c r="AC872" s="159"/>
      <c r="AD872" s="159"/>
      <c r="AE872" s="159"/>
    </row>
    <row r="873">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c r="X873" s="159"/>
      <c r="Y873" s="159"/>
      <c r="Z873" s="159"/>
      <c r="AA873" s="159"/>
      <c r="AB873" s="159"/>
      <c r="AC873" s="159"/>
      <c r="AD873" s="159"/>
      <c r="AE873" s="159"/>
    </row>
    <row r="874">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c r="X874" s="159"/>
      <c r="Y874" s="159"/>
      <c r="Z874" s="159"/>
      <c r="AA874" s="159"/>
      <c r="AB874" s="159"/>
      <c r="AC874" s="159"/>
      <c r="AD874" s="159"/>
      <c r="AE874" s="159"/>
    </row>
    <row r="875">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c r="X875" s="159"/>
      <c r="Y875" s="159"/>
      <c r="Z875" s="159"/>
      <c r="AA875" s="159"/>
      <c r="AB875" s="159"/>
      <c r="AC875" s="159"/>
      <c r="AD875" s="159"/>
      <c r="AE875" s="159"/>
    </row>
    <row r="876">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c r="X876" s="159"/>
      <c r="Y876" s="159"/>
      <c r="Z876" s="159"/>
      <c r="AA876" s="159"/>
      <c r="AB876" s="159"/>
      <c r="AC876" s="159"/>
      <c r="AD876" s="159"/>
      <c r="AE876" s="159"/>
    </row>
    <row r="877">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c r="X877" s="159"/>
      <c r="Y877" s="159"/>
      <c r="Z877" s="159"/>
      <c r="AA877" s="159"/>
      <c r="AB877" s="159"/>
      <c r="AC877" s="159"/>
      <c r="AD877" s="159"/>
      <c r="AE877" s="159"/>
    </row>
    <row r="878">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c r="X878" s="159"/>
      <c r="Y878" s="159"/>
      <c r="Z878" s="159"/>
      <c r="AA878" s="159"/>
      <c r="AB878" s="159"/>
      <c r="AC878" s="159"/>
      <c r="AD878" s="159"/>
      <c r="AE878" s="159"/>
    </row>
    <row r="879">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c r="X879" s="159"/>
      <c r="Y879" s="159"/>
      <c r="Z879" s="159"/>
      <c r="AA879" s="159"/>
      <c r="AB879" s="159"/>
      <c r="AC879" s="159"/>
      <c r="AD879" s="159"/>
      <c r="AE879" s="159"/>
    </row>
    <row r="880">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c r="X880" s="159"/>
      <c r="Y880" s="159"/>
      <c r="Z880" s="159"/>
      <c r="AA880" s="159"/>
      <c r="AB880" s="159"/>
      <c r="AC880" s="159"/>
      <c r="AD880" s="159"/>
      <c r="AE880" s="159"/>
    </row>
    <row r="881">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c r="X881" s="159"/>
      <c r="Y881" s="159"/>
      <c r="Z881" s="159"/>
      <c r="AA881" s="159"/>
      <c r="AB881" s="159"/>
      <c r="AC881" s="159"/>
      <c r="AD881" s="159"/>
      <c r="AE881" s="159"/>
    </row>
    <row r="882">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c r="X882" s="159"/>
      <c r="Y882" s="159"/>
      <c r="Z882" s="159"/>
      <c r="AA882" s="159"/>
      <c r="AB882" s="159"/>
      <c r="AC882" s="159"/>
      <c r="AD882" s="159"/>
      <c r="AE882" s="159"/>
    </row>
    <row r="883">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c r="X883" s="159"/>
      <c r="Y883" s="159"/>
      <c r="Z883" s="159"/>
      <c r="AA883" s="159"/>
      <c r="AB883" s="159"/>
      <c r="AC883" s="159"/>
      <c r="AD883" s="159"/>
      <c r="AE883" s="159"/>
    </row>
    <row r="884">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c r="X884" s="159"/>
      <c r="Y884" s="159"/>
      <c r="Z884" s="159"/>
      <c r="AA884" s="159"/>
      <c r="AB884" s="159"/>
      <c r="AC884" s="159"/>
      <c r="AD884" s="159"/>
      <c r="AE884" s="159"/>
    </row>
    <row r="885">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c r="X885" s="159"/>
      <c r="Y885" s="159"/>
      <c r="Z885" s="159"/>
      <c r="AA885" s="159"/>
      <c r="AB885" s="159"/>
      <c r="AC885" s="159"/>
      <c r="AD885" s="159"/>
      <c r="AE885" s="159"/>
    </row>
    <row r="886">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c r="X886" s="159"/>
      <c r="Y886" s="159"/>
      <c r="Z886" s="159"/>
      <c r="AA886" s="159"/>
      <c r="AB886" s="159"/>
      <c r="AC886" s="159"/>
      <c r="AD886" s="159"/>
      <c r="AE886" s="159"/>
    </row>
    <row r="887">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c r="X887" s="159"/>
      <c r="Y887" s="159"/>
      <c r="Z887" s="159"/>
      <c r="AA887" s="159"/>
      <c r="AB887" s="159"/>
      <c r="AC887" s="159"/>
      <c r="AD887" s="159"/>
      <c r="AE887" s="159"/>
    </row>
    <row r="888">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c r="X888" s="159"/>
      <c r="Y888" s="159"/>
      <c r="Z888" s="159"/>
      <c r="AA888" s="159"/>
      <c r="AB888" s="159"/>
      <c r="AC888" s="159"/>
      <c r="AD888" s="159"/>
      <c r="AE888" s="159"/>
    </row>
    <row r="889">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c r="X889" s="159"/>
      <c r="Y889" s="159"/>
      <c r="Z889" s="159"/>
      <c r="AA889" s="159"/>
      <c r="AB889" s="159"/>
      <c r="AC889" s="159"/>
      <c r="AD889" s="159"/>
      <c r="AE889" s="159"/>
    </row>
    <row r="890">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c r="X890" s="159"/>
      <c r="Y890" s="159"/>
      <c r="Z890" s="159"/>
      <c r="AA890" s="159"/>
      <c r="AB890" s="159"/>
      <c r="AC890" s="159"/>
      <c r="AD890" s="159"/>
      <c r="AE890" s="159"/>
    </row>
    <row r="891">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c r="X891" s="159"/>
      <c r="Y891" s="159"/>
      <c r="Z891" s="159"/>
      <c r="AA891" s="159"/>
      <c r="AB891" s="159"/>
      <c r="AC891" s="159"/>
      <c r="AD891" s="159"/>
      <c r="AE891" s="159"/>
    </row>
    <row r="892">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c r="X892" s="159"/>
      <c r="Y892" s="159"/>
      <c r="Z892" s="159"/>
      <c r="AA892" s="159"/>
      <c r="AB892" s="159"/>
      <c r="AC892" s="159"/>
      <c r="AD892" s="159"/>
      <c r="AE892" s="159"/>
    </row>
    <row r="893">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c r="X893" s="159"/>
      <c r="Y893" s="159"/>
      <c r="Z893" s="159"/>
      <c r="AA893" s="159"/>
      <c r="AB893" s="159"/>
      <c r="AC893" s="159"/>
      <c r="AD893" s="159"/>
      <c r="AE893" s="159"/>
    </row>
    <row r="894">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c r="X894" s="159"/>
      <c r="Y894" s="159"/>
      <c r="Z894" s="159"/>
      <c r="AA894" s="159"/>
      <c r="AB894" s="159"/>
      <c r="AC894" s="159"/>
      <c r="AD894" s="159"/>
      <c r="AE894" s="159"/>
    </row>
    <row r="895">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c r="X895" s="159"/>
      <c r="Y895" s="159"/>
      <c r="Z895" s="159"/>
      <c r="AA895" s="159"/>
      <c r="AB895" s="159"/>
      <c r="AC895" s="159"/>
      <c r="AD895" s="159"/>
      <c r="AE895" s="159"/>
    </row>
    <row r="896">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c r="X896" s="159"/>
      <c r="Y896" s="159"/>
      <c r="Z896" s="159"/>
      <c r="AA896" s="159"/>
      <c r="AB896" s="159"/>
      <c r="AC896" s="159"/>
      <c r="AD896" s="159"/>
      <c r="AE896" s="159"/>
    </row>
    <row r="897">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c r="X897" s="159"/>
      <c r="Y897" s="159"/>
      <c r="Z897" s="159"/>
      <c r="AA897" s="159"/>
      <c r="AB897" s="159"/>
      <c r="AC897" s="159"/>
      <c r="AD897" s="159"/>
      <c r="AE897" s="159"/>
    </row>
    <row r="898">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c r="X898" s="159"/>
      <c r="Y898" s="159"/>
      <c r="Z898" s="159"/>
      <c r="AA898" s="159"/>
      <c r="AB898" s="159"/>
      <c r="AC898" s="159"/>
      <c r="AD898" s="159"/>
      <c r="AE898" s="159"/>
    </row>
    <row r="899">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c r="X899" s="159"/>
      <c r="Y899" s="159"/>
      <c r="Z899" s="159"/>
      <c r="AA899" s="159"/>
      <c r="AB899" s="159"/>
      <c r="AC899" s="159"/>
      <c r="AD899" s="159"/>
      <c r="AE899" s="159"/>
    </row>
    <row r="900">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c r="X900" s="159"/>
      <c r="Y900" s="159"/>
      <c r="Z900" s="159"/>
      <c r="AA900" s="159"/>
      <c r="AB900" s="159"/>
      <c r="AC900" s="159"/>
      <c r="AD900" s="159"/>
      <c r="AE900" s="159"/>
    </row>
    <row r="901">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c r="X901" s="159"/>
      <c r="Y901" s="159"/>
      <c r="Z901" s="159"/>
      <c r="AA901" s="159"/>
      <c r="AB901" s="159"/>
      <c r="AC901" s="159"/>
      <c r="AD901" s="159"/>
      <c r="AE901" s="159"/>
    </row>
    <row r="902">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c r="X902" s="159"/>
      <c r="Y902" s="159"/>
      <c r="Z902" s="159"/>
      <c r="AA902" s="159"/>
      <c r="AB902" s="159"/>
      <c r="AC902" s="159"/>
      <c r="AD902" s="159"/>
      <c r="AE902" s="159"/>
    </row>
    <row r="903">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c r="X903" s="159"/>
      <c r="Y903" s="159"/>
      <c r="Z903" s="159"/>
      <c r="AA903" s="159"/>
      <c r="AB903" s="159"/>
      <c r="AC903" s="159"/>
      <c r="AD903" s="159"/>
      <c r="AE903" s="159"/>
    </row>
    <row r="904">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c r="X904" s="159"/>
      <c r="Y904" s="159"/>
      <c r="Z904" s="159"/>
      <c r="AA904" s="159"/>
      <c r="AB904" s="159"/>
      <c r="AC904" s="159"/>
      <c r="AD904" s="159"/>
      <c r="AE904" s="159"/>
    </row>
    <row r="905">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c r="X905" s="159"/>
      <c r="Y905" s="159"/>
      <c r="Z905" s="159"/>
      <c r="AA905" s="159"/>
      <c r="AB905" s="159"/>
      <c r="AC905" s="159"/>
      <c r="AD905" s="159"/>
      <c r="AE905" s="159"/>
    </row>
    <row r="906">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c r="X906" s="159"/>
      <c r="Y906" s="159"/>
      <c r="Z906" s="159"/>
      <c r="AA906" s="159"/>
      <c r="AB906" s="159"/>
      <c r="AC906" s="159"/>
      <c r="AD906" s="159"/>
      <c r="AE906" s="159"/>
    </row>
    <row r="907">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c r="X907" s="159"/>
      <c r="Y907" s="159"/>
      <c r="Z907" s="159"/>
      <c r="AA907" s="159"/>
      <c r="AB907" s="159"/>
      <c r="AC907" s="159"/>
      <c r="AD907" s="159"/>
      <c r="AE907" s="159"/>
    </row>
    <row r="908">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c r="X908" s="159"/>
      <c r="Y908" s="159"/>
      <c r="Z908" s="159"/>
      <c r="AA908" s="159"/>
      <c r="AB908" s="159"/>
      <c r="AC908" s="159"/>
      <c r="AD908" s="159"/>
      <c r="AE908" s="159"/>
    </row>
    <row r="909">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c r="X909" s="159"/>
      <c r="Y909" s="159"/>
      <c r="Z909" s="159"/>
      <c r="AA909" s="159"/>
      <c r="AB909" s="159"/>
      <c r="AC909" s="159"/>
      <c r="AD909" s="159"/>
      <c r="AE909" s="159"/>
    </row>
    <row r="910">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c r="X910" s="159"/>
      <c r="Y910" s="159"/>
      <c r="Z910" s="159"/>
      <c r="AA910" s="159"/>
      <c r="AB910" s="159"/>
      <c r="AC910" s="159"/>
      <c r="AD910" s="159"/>
      <c r="AE910" s="159"/>
    </row>
    <row r="911">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c r="X911" s="159"/>
      <c r="Y911" s="159"/>
      <c r="Z911" s="159"/>
      <c r="AA911" s="159"/>
      <c r="AB911" s="159"/>
      <c r="AC911" s="159"/>
      <c r="AD911" s="159"/>
      <c r="AE911" s="159"/>
    </row>
    <row r="912">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c r="X912" s="159"/>
      <c r="Y912" s="159"/>
      <c r="Z912" s="159"/>
      <c r="AA912" s="159"/>
      <c r="AB912" s="159"/>
      <c r="AC912" s="159"/>
      <c r="AD912" s="159"/>
      <c r="AE912" s="159"/>
    </row>
    <row r="913">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c r="X913" s="159"/>
      <c r="Y913" s="159"/>
      <c r="Z913" s="159"/>
      <c r="AA913" s="159"/>
      <c r="AB913" s="159"/>
      <c r="AC913" s="159"/>
      <c r="AD913" s="159"/>
      <c r="AE913" s="159"/>
    </row>
    <row r="914">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c r="X914" s="159"/>
      <c r="Y914" s="159"/>
      <c r="Z914" s="159"/>
      <c r="AA914" s="159"/>
      <c r="AB914" s="159"/>
      <c r="AC914" s="159"/>
      <c r="AD914" s="159"/>
      <c r="AE914" s="159"/>
    </row>
    <row r="915">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c r="X915" s="159"/>
      <c r="Y915" s="159"/>
      <c r="Z915" s="159"/>
      <c r="AA915" s="159"/>
      <c r="AB915" s="159"/>
      <c r="AC915" s="159"/>
      <c r="AD915" s="159"/>
      <c r="AE915" s="159"/>
    </row>
    <row r="916">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c r="X916" s="159"/>
      <c r="Y916" s="159"/>
      <c r="Z916" s="159"/>
      <c r="AA916" s="159"/>
      <c r="AB916" s="159"/>
      <c r="AC916" s="159"/>
      <c r="AD916" s="159"/>
      <c r="AE916" s="159"/>
    </row>
    <row r="917">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c r="X917" s="159"/>
      <c r="Y917" s="159"/>
      <c r="Z917" s="159"/>
      <c r="AA917" s="159"/>
      <c r="AB917" s="159"/>
      <c r="AC917" s="159"/>
      <c r="AD917" s="159"/>
      <c r="AE917" s="159"/>
    </row>
    <row r="918">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c r="X918" s="159"/>
      <c r="Y918" s="159"/>
      <c r="Z918" s="159"/>
      <c r="AA918" s="159"/>
      <c r="AB918" s="159"/>
      <c r="AC918" s="159"/>
      <c r="AD918" s="159"/>
      <c r="AE918" s="159"/>
    </row>
    <row r="919">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c r="X919" s="159"/>
      <c r="Y919" s="159"/>
      <c r="Z919" s="159"/>
      <c r="AA919" s="159"/>
      <c r="AB919" s="159"/>
      <c r="AC919" s="159"/>
      <c r="AD919" s="159"/>
      <c r="AE919" s="159"/>
    </row>
    <row r="920">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c r="X920" s="159"/>
      <c r="Y920" s="159"/>
      <c r="Z920" s="159"/>
      <c r="AA920" s="159"/>
      <c r="AB920" s="159"/>
      <c r="AC920" s="159"/>
      <c r="AD920" s="159"/>
      <c r="AE920" s="159"/>
    </row>
    <row r="921">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c r="X921" s="159"/>
      <c r="Y921" s="159"/>
      <c r="Z921" s="159"/>
      <c r="AA921" s="159"/>
      <c r="AB921" s="159"/>
      <c r="AC921" s="159"/>
      <c r="AD921" s="159"/>
      <c r="AE921" s="159"/>
    </row>
    <row r="922">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c r="X922" s="159"/>
      <c r="Y922" s="159"/>
      <c r="Z922" s="159"/>
      <c r="AA922" s="159"/>
      <c r="AB922" s="159"/>
      <c r="AC922" s="159"/>
      <c r="AD922" s="159"/>
      <c r="AE922" s="159"/>
    </row>
    <row r="923">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c r="X923" s="159"/>
      <c r="Y923" s="159"/>
      <c r="Z923" s="159"/>
      <c r="AA923" s="159"/>
      <c r="AB923" s="159"/>
      <c r="AC923" s="159"/>
      <c r="AD923" s="159"/>
      <c r="AE923" s="159"/>
    </row>
    <row r="924">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c r="X924" s="159"/>
      <c r="Y924" s="159"/>
      <c r="Z924" s="159"/>
      <c r="AA924" s="159"/>
      <c r="AB924" s="159"/>
      <c r="AC924" s="159"/>
      <c r="AD924" s="159"/>
      <c r="AE924" s="159"/>
    </row>
    <row r="925">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c r="X925" s="159"/>
      <c r="Y925" s="159"/>
      <c r="Z925" s="159"/>
      <c r="AA925" s="159"/>
      <c r="AB925" s="159"/>
      <c r="AC925" s="159"/>
      <c r="AD925" s="159"/>
      <c r="AE925" s="159"/>
    </row>
    <row r="926">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c r="X926" s="159"/>
      <c r="Y926" s="159"/>
      <c r="Z926" s="159"/>
      <c r="AA926" s="159"/>
      <c r="AB926" s="159"/>
      <c r="AC926" s="159"/>
      <c r="AD926" s="159"/>
      <c r="AE926" s="159"/>
    </row>
    <row r="927">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c r="X927" s="159"/>
      <c r="Y927" s="159"/>
      <c r="Z927" s="159"/>
      <c r="AA927" s="159"/>
      <c r="AB927" s="159"/>
      <c r="AC927" s="159"/>
      <c r="AD927" s="159"/>
      <c r="AE927" s="159"/>
    </row>
    <row r="928">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c r="X928" s="159"/>
      <c r="Y928" s="159"/>
      <c r="Z928" s="159"/>
      <c r="AA928" s="159"/>
      <c r="AB928" s="159"/>
      <c r="AC928" s="159"/>
      <c r="AD928" s="159"/>
      <c r="AE928" s="159"/>
    </row>
    <row r="929">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c r="X929" s="159"/>
      <c r="Y929" s="159"/>
      <c r="Z929" s="159"/>
      <c r="AA929" s="159"/>
      <c r="AB929" s="159"/>
      <c r="AC929" s="159"/>
      <c r="AD929" s="159"/>
      <c r="AE929" s="159"/>
    </row>
    <row r="930">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c r="X930" s="159"/>
      <c r="Y930" s="159"/>
      <c r="Z930" s="159"/>
      <c r="AA930" s="159"/>
      <c r="AB930" s="159"/>
      <c r="AC930" s="159"/>
      <c r="AD930" s="159"/>
      <c r="AE930" s="159"/>
    </row>
    <row r="931">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c r="X931" s="159"/>
      <c r="Y931" s="159"/>
      <c r="Z931" s="159"/>
      <c r="AA931" s="159"/>
      <c r="AB931" s="159"/>
      <c r="AC931" s="159"/>
      <c r="AD931" s="159"/>
      <c r="AE931" s="159"/>
    </row>
    <row r="932">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c r="X932" s="159"/>
      <c r="Y932" s="159"/>
      <c r="Z932" s="159"/>
      <c r="AA932" s="159"/>
      <c r="AB932" s="159"/>
      <c r="AC932" s="159"/>
      <c r="AD932" s="159"/>
      <c r="AE932" s="159"/>
    </row>
    <row r="933">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c r="X933" s="159"/>
      <c r="Y933" s="159"/>
      <c r="Z933" s="159"/>
      <c r="AA933" s="159"/>
      <c r="AB933" s="159"/>
      <c r="AC933" s="159"/>
      <c r="AD933" s="159"/>
      <c r="AE933" s="159"/>
    </row>
    <row r="934">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c r="X934" s="159"/>
      <c r="Y934" s="159"/>
      <c r="Z934" s="159"/>
      <c r="AA934" s="159"/>
      <c r="AB934" s="159"/>
      <c r="AC934" s="159"/>
      <c r="AD934" s="159"/>
      <c r="AE934" s="159"/>
    </row>
    <row r="935">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c r="X935" s="159"/>
      <c r="Y935" s="159"/>
      <c r="Z935" s="159"/>
      <c r="AA935" s="159"/>
      <c r="AB935" s="159"/>
      <c r="AC935" s="159"/>
      <c r="AD935" s="159"/>
      <c r="AE935" s="159"/>
    </row>
    <row r="936">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c r="X936" s="159"/>
      <c r="Y936" s="159"/>
      <c r="Z936" s="159"/>
      <c r="AA936" s="159"/>
      <c r="AB936" s="159"/>
      <c r="AC936" s="159"/>
      <c r="AD936" s="159"/>
      <c r="AE936" s="159"/>
    </row>
    <row r="937">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c r="X937" s="159"/>
      <c r="Y937" s="159"/>
      <c r="Z937" s="159"/>
      <c r="AA937" s="159"/>
      <c r="AB937" s="159"/>
      <c r="AC937" s="159"/>
      <c r="AD937" s="159"/>
      <c r="AE937" s="159"/>
    </row>
    <row r="938">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c r="X938" s="159"/>
      <c r="Y938" s="159"/>
      <c r="Z938" s="159"/>
      <c r="AA938" s="159"/>
      <c r="AB938" s="159"/>
      <c r="AC938" s="159"/>
      <c r="AD938" s="159"/>
      <c r="AE938" s="159"/>
    </row>
    <row r="939">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c r="X939" s="159"/>
      <c r="Y939" s="159"/>
      <c r="Z939" s="159"/>
      <c r="AA939" s="159"/>
      <c r="AB939" s="159"/>
      <c r="AC939" s="159"/>
      <c r="AD939" s="159"/>
      <c r="AE939" s="159"/>
    </row>
    <row r="940">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c r="X940" s="159"/>
      <c r="Y940" s="159"/>
      <c r="Z940" s="159"/>
      <c r="AA940" s="159"/>
      <c r="AB940" s="159"/>
      <c r="AC940" s="159"/>
      <c r="AD940" s="159"/>
      <c r="AE940" s="159"/>
    </row>
    <row r="941">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c r="X941" s="159"/>
      <c r="Y941" s="159"/>
      <c r="Z941" s="159"/>
      <c r="AA941" s="159"/>
      <c r="AB941" s="159"/>
      <c r="AC941" s="159"/>
      <c r="AD941" s="159"/>
      <c r="AE941" s="159"/>
    </row>
    <row r="942">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c r="X942" s="159"/>
      <c r="Y942" s="159"/>
      <c r="Z942" s="159"/>
      <c r="AA942" s="159"/>
      <c r="AB942" s="159"/>
      <c r="AC942" s="159"/>
      <c r="AD942" s="159"/>
      <c r="AE942" s="159"/>
    </row>
    <row r="943">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c r="X943" s="159"/>
      <c r="Y943" s="159"/>
      <c r="Z943" s="159"/>
      <c r="AA943" s="159"/>
      <c r="AB943" s="159"/>
      <c r="AC943" s="159"/>
      <c r="AD943" s="159"/>
      <c r="AE943" s="159"/>
    </row>
    <row r="944">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c r="X944" s="159"/>
      <c r="Y944" s="159"/>
      <c r="Z944" s="159"/>
      <c r="AA944" s="159"/>
      <c r="AB944" s="159"/>
      <c r="AC944" s="159"/>
      <c r="AD944" s="159"/>
      <c r="AE944" s="159"/>
    </row>
    <row r="945">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c r="X945" s="159"/>
      <c r="Y945" s="159"/>
      <c r="Z945" s="159"/>
      <c r="AA945" s="159"/>
      <c r="AB945" s="159"/>
      <c r="AC945" s="159"/>
      <c r="AD945" s="159"/>
      <c r="AE945" s="159"/>
    </row>
    <row r="946">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c r="X946" s="159"/>
      <c r="Y946" s="159"/>
      <c r="Z946" s="159"/>
      <c r="AA946" s="159"/>
      <c r="AB946" s="159"/>
      <c r="AC946" s="159"/>
      <c r="AD946" s="159"/>
      <c r="AE946" s="159"/>
    </row>
    <row r="947">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c r="X947" s="159"/>
      <c r="Y947" s="159"/>
      <c r="Z947" s="159"/>
      <c r="AA947" s="159"/>
      <c r="AB947" s="159"/>
      <c r="AC947" s="159"/>
      <c r="AD947" s="159"/>
      <c r="AE947" s="159"/>
    </row>
    <row r="948">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c r="X948" s="159"/>
      <c r="Y948" s="159"/>
      <c r="Z948" s="159"/>
      <c r="AA948" s="159"/>
      <c r="AB948" s="159"/>
      <c r="AC948" s="159"/>
      <c r="AD948" s="159"/>
      <c r="AE948" s="159"/>
    </row>
    <row r="949">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c r="X949" s="159"/>
      <c r="Y949" s="159"/>
      <c r="Z949" s="159"/>
      <c r="AA949" s="159"/>
      <c r="AB949" s="159"/>
      <c r="AC949" s="159"/>
      <c r="AD949" s="159"/>
      <c r="AE949" s="159"/>
    </row>
    <row r="950">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c r="X950" s="159"/>
      <c r="Y950" s="159"/>
      <c r="Z950" s="159"/>
      <c r="AA950" s="159"/>
      <c r="AB950" s="159"/>
      <c r="AC950" s="159"/>
      <c r="AD950" s="159"/>
      <c r="AE950" s="159"/>
    </row>
    <row r="951">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c r="X951" s="159"/>
      <c r="Y951" s="159"/>
      <c r="Z951" s="159"/>
      <c r="AA951" s="159"/>
      <c r="AB951" s="159"/>
      <c r="AC951" s="159"/>
      <c r="AD951" s="159"/>
      <c r="AE951" s="159"/>
    </row>
    <row r="952">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c r="X952" s="159"/>
      <c r="Y952" s="159"/>
      <c r="Z952" s="159"/>
      <c r="AA952" s="159"/>
      <c r="AB952" s="159"/>
      <c r="AC952" s="159"/>
      <c r="AD952" s="159"/>
      <c r="AE952" s="159"/>
    </row>
    <row r="953">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c r="X953" s="159"/>
      <c r="Y953" s="159"/>
      <c r="Z953" s="159"/>
      <c r="AA953" s="159"/>
      <c r="AB953" s="159"/>
      <c r="AC953" s="159"/>
      <c r="AD953" s="159"/>
      <c r="AE953" s="159"/>
    </row>
    <row r="954">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c r="X954" s="159"/>
      <c r="Y954" s="159"/>
      <c r="Z954" s="159"/>
      <c r="AA954" s="159"/>
      <c r="AB954" s="159"/>
      <c r="AC954" s="159"/>
      <c r="AD954" s="159"/>
      <c r="AE954" s="159"/>
    </row>
    <row r="955">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c r="X955" s="159"/>
      <c r="Y955" s="159"/>
      <c r="Z955" s="159"/>
      <c r="AA955" s="159"/>
      <c r="AB955" s="159"/>
      <c r="AC955" s="159"/>
      <c r="AD955" s="159"/>
      <c r="AE955" s="159"/>
    </row>
    <row r="956">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c r="X956" s="159"/>
      <c r="Y956" s="159"/>
      <c r="Z956" s="159"/>
      <c r="AA956" s="159"/>
      <c r="AB956" s="159"/>
      <c r="AC956" s="159"/>
      <c r="AD956" s="159"/>
      <c r="AE956" s="159"/>
    </row>
    <row r="957">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c r="X957" s="159"/>
      <c r="Y957" s="159"/>
      <c r="Z957" s="159"/>
      <c r="AA957" s="159"/>
      <c r="AB957" s="159"/>
      <c r="AC957" s="159"/>
      <c r="AD957" s="159"/>
      <c r="AE957" s="159"/>
    </row>
    <row r="958">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c r="X958" s="159"/>
      <c r="Y958" s="159"/>
      <c r="Z958" s="159"/>
      <c r="AA958" s="159"/>
      <c r="AB958" s="159"/>
      <c r="AC958" s="159"/>
      <c r="AD958" s="159"/>
      <c r="AE958" s="159"/>
    </row>
    <row r="959">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c r="X959" s="159"/>
      <c r="Y959" s="159"/>
      <c r="Z959" s="159"/>
      <c r="AA959" s="159"/>
      <c r="AB959" s="159"/>
      <c r="AC959" s="159"/>
      <c r="AD959" s="159"/>
      <c r="AE959" s="159"/>
    </row>
    <row r="960">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c r="X960" s="159"/>
      <c r="Y960" s="159"/>
      <c r="Z960" s="159"/>
      <c r="AA960" s="159"/>
      <c r="AB960" s="159"/>
      <c r="AC960" s="159"/>
      <c r="AD960" s="159"/>
      <c r="AE960" s="159"/>
    </row>
    <row r="961">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c r="X961" s="159"/>
      <c r="Y961" s="159"/>
      <c r="Z961" s="159"/>
      <c r="AA961" s="159"/>
      <c r="AB961" s="159"/>
      <c r="AC961" s="159"/>
      <c r="AD961" s="159"/>
      <c r="AE961" s="159"/>
    </row>
    <row r="962">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c r="X962" s="159"/>
      <c r="Y962" s="159"/>
      <c r="Z962" s="159"/>
      <c r="AA962" s="159"/>
      <c r="AB962" s="159"/>
      <c r="AC962" s="159"/>
      <c r="AD962" s="159"/>
      <c r="AE962" s="159"/>
    </row>
    <row r="963">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c r="X963" s="159"/>
      <c r="Y963" s="159"/>
      <c r="Z963" s="159"/>
      <c r="AA963" s="159"/>
      <c r="AB963" s="159"/>
      <c r="AC963" s="159"/>
      <c r="AD963" s="159"/>
      <c r="AE963" s="159"/>
    </row>
    <row r="964">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c r="X964" s="159"/>
      <c r="Y964" s="159"/>
      <c r="Z964" s="159"/>
      <c r="AA964" s="159"/>
      <c r="AB964" s="159"/>
      <c r="AC964" s="159"/>
      <c r="AD964" s="159"/>
      <c r="AE964" s="159"/>
    </row>
    <row r="965">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c r="X965" s="159"/>
      <c r="Y965" s="159"/>
      <c r="Z965" s="159"/>
      <c r="AA965" s="159"/>
      <c r="AB965" s="159"/>
      <c r="AC965" s="159"/>
      <c r="AD965" s="159"/>
      <c r="AE965" s="159"/>
    </row>
    <row r="966">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c r="X966" s="159"/>
      <c r="Y966" s="159"/>
      <c r="Z966" s="159"/>
      <c r="AA966" s="159"/>
      <c r="AB966" s="159"/>
      <c r="AC966" s="159"/>
      <c r="AD966" s="159"/>
      <c r="AE966" s="159"/>
    </row>
    <row r="967">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c r="X967" s="159"/>
      <c r="Y967" s="159"/>
      <c r="Z967" s="159"/>
      <c r="AA967" s="159"/>
      <c r="AB967" s="159"/>
      <c r="AC967" s="159"/>
      <c r="AD967" s="159"/>
      <c r="AE967" s="159"/>
    </row>
    <row r="968">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c r="X968" s="159"/>
      <c r="Y968" s="159"/>
      <c r="Z968" s="159"/>
      <c r="AA968" s="159"/>
      <c r="AB968" s="159"/>
      <c r="AC968" s="159"/>
      <c r="AD968" s="159"/>
      <c r="AE968" s="159"/>
    </row>
    <row r="969">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c r="X969" s="159"/>
      <c r="Y969" s="159"/>
      <c r="Z969" s="159"/>
      <c r="AA969" s="159"/>
      <c r="AB969" s="159"/>
      <c r="AC969" s="159"/>
      <c r="AD969" s="159"/>
      <c r="AE969" s="159"/>
    </row>
    <row r="970">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c r="X970" s="159"/>
      <c r="Y970" s="159"/>
      <c r="Z970" s="159"/>
      <c r="AA970" s="159"/>
      <c r="AB970" s="159"/>
      <c r="AC970" s="159"/>
      <c r="AD970" s="159"/>
      <c r="AE970" s="159"/>
    </row>
    <row r="971">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c r="X971" s="159"/>
      <c r="Y971" s="159"/>
      <c r="Z971" s="159"/>
      <c r="AA971" s="159"/>
      <c r="AB971" s="159"/>
      <c r="AC971" s="159"/>
      <c r="AD971" s="159"/>
      <c r="AE971" s="159"/>
    </row>
    <row r="972">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c r="X972" s="159"/>
      <c r="Y972" s="159"/>
      <c r="Z972" s="159"/>
      <c r="AA972" s="159"/>
      <c r="AB972" s="159"/>
      <c r="AC972" s="159"/>
      <c r="AD972" s="159"/>
      <c r="AE972" s="159"/>
    </row>
    <row r="973">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c r="X973" s="159"/>
      <c r="Y973" s="159"/>
      <c r="Z973" s="159"/>
      <c r="AA973" s="159"/>
      <c r="AB973" s="159"/>
      <c r="AC973" s="159"/>
      <c r="AD973" s="159"/>
      <c r="AE973" s="159"/>
    </row>
    <row r="974">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c r="X974" s="159"/>
      <c r="Y974" s="159"/>
      <c r="Z974" s="159"/>
      <c r="AA974" s="159"/>
      <c r="AB974" s="159"/>
      <c r="AC974" s="159"/>
      <c r="AD974" s="159"/>
      <c r="AE974" s="159"/>
    </row>
    <row r="975">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c r="X975" s="159"/>
      <c r="Y975" s="159"/>
      <c r="Z975" s="159"/>
      <c r="AA975" s="159"/>
      <c r="AB975" s="159"/>
      <c r="AC975" s="159"/>
      <c r="AD975" s="159"/>
      <c r="AE975" s="159"/>
    </row>
    <row r="976">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c r="X976" s="159"/>
      <c r="Y976" s="159"/>
      <c r="Z976" s="159"/>
      <c r="AA976" s="159"/>
      <c r="AB976" s="159"/>
      <c r="AC976" s="159"/>
      <c r="AD976" s="159"/>
      <c r="AE976" s="159"/>
    </row>
    <row r="977">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c r="X977" s="159"/>
      <c r="Y977" s="159"/>
      <c r="Z977" s="159"/>
      <c r="AA977" s="159"/>
      <c r="AB977" s="159"/>
      <c r="AC977" s="159"/>
      <c r="AD977" s="159"/>
      <c r="AE977" s="159"/>
    </row>
    <row r="978">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c r="X978" s="159"/>
      <c r="Y978" s="159"/>
      <c r="Z978" s="159"/>
      <c r="AA978" s="159"/>
      <c r="AB978" s="159"/>
      <c r="AC978" s="159"/>
      <c r="AD978" s="159"/>
      <c r="AE978" s="159"/>
    </row>
    <row r="979">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c r="X979" s="159"/>
      <c r="Y979" s="159"/>
      <c r="Z979" s="159"/>
      <c r="AA979" s="159"/>
      <c r="AB979" s="159"/>
      <c r="AC979" s="159"/>
      <c r="AD979" s="159"/>
      <c r="AE979" s="159"/>
    </row>
    <row r="980">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c r="X980" s="159"/>
      <c r="Y980" s="159"/>
      <c r="Z980" s="159"/>
      <c r="AA980" s="159"/>
      <c r="AB980" s="159"/>
      <c r="AC980" s="159"/>
      <c r="AD980" s="159"/>
      <c r="AE980" s="159"/>
    </row>
    <row r="981">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c r="X981" s="159"/>
      <c r="Y981" s="159"/>
      <c r="Z981" s="159"/>
      <c r="AA981" s="159"/>
      <c r="AB981" s="159"/>
      <c r="AC981" s="159"/>
      <c r="AD981" s="159"/>
      <c r="AE981" s="159"/>
    </row>
    <row r="982">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c r="X982" s="159"/>
      <c r="Y982" s="159"/>
      <c r="Z982" s="159"/>
      <c r="AA982" s="159"/>
      <c r="AB982" s="159"/>
      <c r="AC982" s="159"/>
      <c r="AD982" s="159"/>
      <c r="AE982" s="159"/>
    </row>
    <row r="983">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c r="X983" s="159"/>
      <c r="Y983" s="159"/>
      <c r="Z983" s="159"/>
      <c r="AA983" s="159"/>
      <c r="AB983" s="159"/>
      <c r="AC983" s="159"/>
      <c r="AD983" s="159"/>
      <c r="AE983" s="159"/>
    </row>
    <row r="984">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c r="X984" s="159"/>
      <c r="Y984" s="159"/>
      <c r="Z984" s="159"/>
      <c r="AA984" s="159"/>
      <c r="AB984" s="159"/>
      <c r="AC984" s="159"/>
      <c r="AD984" s="159"/>
      <c r="AE984" s="159"/>
    </row>
    <row r="985">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c r="X985" s="159"/>
      <c r="Y985" s="159"/>
      <c r="Z985" s="159"/>
      <c r="AA985" s="159"/>
      <c r="AB985" s="159"/>
      <c r="AC985" s="159"/>
      <c r="AD985" s="159"/>
      <c r="AE985" s="159"/>
    </row>
    <row r="986">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c r="X986" s="159"/>
      <c r="Y986" s="159"/>
      <c r="Z986" s="159"/>
      <c r="AA986" s="159"/>
      <c r="AB986" s="159"/>
      <c r="AC986" s="159"/>
      <c r="AD986" s="159"/>
      <c r="AE986" s="159"/>
    </row>
    <row r="987">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c r="X987" s="159"/>
      <c r="Y987" s="159"/>
      <c r="Z987" s="159"/>
      <c r="AA987" s="159"/>
      <c r="AB987" s="159"/>
      <c r="AC987" s="159"/>
      <c r="AD987" s="159"/>
      <c r="AE987" s="159"/>
    </row>
    <row r="988">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c r="X988" s="159"/>
      <c r="Y988" s="159"/>
      <c r="Z988" s="159"/>
      <c r="AA988" s="159"/>
      <c r="AB988" s="159"/>
      <c r="AC988" s="159"/>
      <c r="AD988" s="159"/>
      <c r="AE988" s="159"/>
    </row>
    <row r="989">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c r="X989" s="159"/>
      <c r="Y989" s="159"/>
      <c r="Z989" s="159"/>
      <c r="AA989" s="159"/>
      <c r="AB989" s="159"/>
      <c r="AC989" s="159"/>
      <c r="AD989" s="159"/>
      <c r="AE989" s="159"/>
    </row>
    <row r="990">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c r="X990" s="159"/>
      <c r="Y990" s="159"/>
      <c r="Z990" s="159"/>
      <c r="AA990" s="159"/>
      <c r="AB990" s="159"/>
      <c r="AC990" s="159"/>
      <c r="AD990" s="159"/>
      <c r="AE990" s="159"/>
    </row>
    <row r="991">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c r="X991" s="159"/>
      <c r="Y991" s="159"/>
      <c r="Z991" s="159"/>
      <c r="AA991" s="159"/>
      <c r="AB991" s="159"/>
      <c r="AC991" s="159"/>
      <c r="AD991" s="159"/>
      <c r="AE991" s="159"/>
    </row>
    <row r="992">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c r="X992" s="159"/>
      <c r="Y992" s="159"/>
      <c r="Z992" s="159"/>
      <c r="AA992" s="159"/>
      <c r="AB992" s="159"/>
      <c r="AC992" s="159"/>
      <c r="AD992" s="159"/>
      <c r="AE992" s="159"/>
    </row>
    <row r="993">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c r="X993" s="159"/>
      <c r="Y993" s="159"/>
      <c r="Z993" s="159"/>
      <c r="AA993" s="159"/>
      <c r="AB993" s="159"/>
      <c r="AC993" s="159"/>
      <c r="AD993" s="159"/>
      <c r="AE993" s="159"/>
    </row>
    <row r="994">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c r="X994" s="159"/>
      <c r="Y994" s="159"/>
      <c r="Z994" s="159"/>
      <c r="AA994" s="159"/>
      <c r="AB994" s="159"/>
      <c r="AC994" s="159"/>
      <c r="AD994" s="159"/>
      <c r="AE994" s="159"/>
    </row>
    <row r="995">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c r="X995" s="159"/>
      <c r="Y995" s="159"/>
      <c r="Z995" s="159"/>
      <c r="AA995" s="159"/>
      <c r="AB995" s="159"/>
      <c r="AC995" s="159"/>
      <c r="AD995" s="159"/>
      <c r="AE995" s="159"/>
    </row>
    <row r="996">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c r="X996" s="159"/>
      <c r="Y996" s="159"/>
      <c r="Z996" s="159"/>
      <c r="AA996" s="159"/>
      <c r="AB996" s="159"/>
      <c r="AC996" s="159"/>
      <c r="AD996" s="159"/>
      <c r="AE996" s="159"/>
    </row>
    <row r="997">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c r="X997" s="159"/>
      <c r="Y997" s="159"/>
      <c r="Z997" s="159"/>
      <c r="AA997" s="159"/>
      <c r="AB997" s="159"/>
      <c r="AC997" s="159"/>
      <c r="AD997" s="159"/>
      <c r="AE997" s="159"/>
    </row>
    <row r="998">
      <c r="A998" s="159"/>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c r="X998" s="159"/>
      <c r="Y998" s="159"/>
      <c r="Z998" s="159"/>
      <c r="AA998" s="159"/>
      <c r="AB998" s="159"/>
      <c r="AC998" s="159"/>
      <c r="AD998" s="159"/>
      <c r="AE998" s="159"/>
    </row>
    <row r="999">
      <c r="A999" s="159"/>
      <c r="B999" s="159"/>
      <c r="C999" s="159"/>
      <c r="D999" s="159"/>
      <c r="E999" s="159"/>
      <c r="F999" s="159"/>
      <c r="G999" s="159"/>
      <c r="H999" s="159"/>
      <c r="I999" s="159"/>
      <c r="J999" s="159"/>
      <c r="K999" s="159"/>
      <c r="L999" s="159"/>
      <c r="M999" s="159"/>
      <c r="N999" s="159"/>
      <c r="O999" s="159"/>
      <c r="P999" s="159"/>
      <c r="Q999" s="159"/>
      <c r="R999" s="159"/>
      <c r="S999" s="159"/>
      <c r="T999" s="159"/>
      <c r="U999" s="159"/>
      <c r="V999" s="159"/>
      <c r="W999" s="159"/>
      <c r="X999" s="159"/>
      <c r="Y999" s="159"/>
      <c r="Z999" s="159"/>
      <c r="AA999" s="159"/>
      <c r="AB999" s="159"/>
      <c r="AC999" s="159"/>
      <c r="AD999" s="159"/>
      <c r="AE999" s="159"/>
    </row>
    <row r="1000">
      <c r="A1000" s="159"/>
      <c r="B1000" s="159"/>
      <c r="C1000" s="159"/>
      <c r="D1000" s="159"/>
      <c r="E1000" s="159"/>
      <c r="F1000" s="159"/>
      <c r="G1000" s="159"/>
      <c r="H1000" s="159"/>
      <c r="I1000" s="159"/>
      <c r="J1000" s="159"/>
      <c r="K1000" s="159"/>
      <c r="L1000" s="159"/>
      <c r="M1000" s="159"/>
      <c r="N1000" s="159"/>
      <c r="O1000" s="159"/>
      <c r="P1000" s="159"/>
      <c r="Q1000" s="159"/>
      <c r="R1000" s="159"/>
      <c r="S1000" s="159"/>
      <c r="T1000" s="159"/>
      <c r="U1000" s="159"/>
      <c r="V1000" s="159"/>
      <c r="W1000" s="159"/>
      <c r="X1000" s="159"/>
      <c r="Y1000" s="159"/>
      <c r="Z1000" s="159"/>
      <c r="AA1000" s="159"/>
      <c r="AB1000" s="159"/>
      <c r="AC1000" s="159"/>
      <c r="AD1000" s="159"/>
      <c r="AE1000" s="159"/>
    </row>
    <row r="1001">
      <c r="A1001" s="159"/>
      <c r="B1001" s="159"/>
      <c r="C1001" s="159"/>
      <c r="D1001" s="159"/>
      <c r="E1001" s="159"/>
      <c r="F1001" s="159"/>
      <c r="G1001" s="159"/>
      <c r="H1001" s="159"/>
      <c r="I1001" s="159"/>
      <c r="J1001" s="159"/>
      <c r="K1001" s="159"/>
      <c r="L1001" s="159"/>
      <c r="M1001" s="159"/>
      <c r="N1001" s="159"/>
      <c r="O1001" s="159"/>
      <c r="P1001" s="159"/>
      <c r="Q1001" s="159"/>
      <c r="R1001" s="159"/>
      <c r="S1001" s="159"/>
      <c r="T1001" s="159"/>
      <c r="U1001" s="159"/>
      <c r="V1001" s="159"/>
      <c r="W1001" s="159"/>
      <c r="X1001" s="159"/>
      <c r="Y1001" s="159"/>
      <c r="Z1001" s="159"/>
      <c r="AA1001" s="159"/>
      <c r="AB1001" s="159"/>
      <c r="AC1001" s="159"/>
      <c r="AD1001" s="159"/>
      <c r="AE1001" s="159"/>
    </row>
    <row r="1002">
      <c r="A1002" s="159"/>
      <c r="B1002" s="159"/>
      <c r="C1002" s="159"/>
      <c r="D1002" s="159"/>
      <c r="E1002" s="159"/>
      <c r="F1002" s="159"/>
      <c r="G1002" s="159"/>
      <c r="H1002" s="159"/>
      <c r="I1002" s="159"/>
      <c r="J1002" s="159"/>
      <c r="K1002" s="159"/>
      <c r="L1002" s="159"/>
      <c r="M1002" s="159"/>
      <c r="N1002" s="159"/>
      <c r="O1002" s="159"/>
      <c r="P1002" s="159"/>
      <c r="Q1002" s="159"/>
      <c r="R1002" s="159"/>
      <c r="S1002" s="159"/>
      <c r="T1002" s="159"/>
      <c r="U1002" s="159"/>
      <c r="V1002" s="159"/>
      <c r="W1002" s="159"/>
      <c r="X1002" s="159"/>
      <c r="Y1002" s="159"/>
      <c r="Z1002" s="159"/>
      <c r="AA1002" s="159"/>
      <c r="AB1002" s="159"/>
      <c r="AC1002" s="159"/>
      <c r="AD1002" s="159"/>
      <c r="AE1002" s="159"/>
    </row>
    <row r="1003">
      <c r="A1003" s="159"/>
      <c r="B1003" s="159"/>
      <c r="C1003" s="159"/>
      <c r="D1003" s="159"/>
      <c r="E1003" s="159"/>
      <c r="F1003" s="159"/>
      <c r="G1003" s="159"/>
      <c r="H1003" s="159"/>
      <c r="I1003" s="159"/>
      <c r="J1003" s="159"/>
      <c r="K1003" s="159"/>
      <c r="L1003" s="159"/>
      <c r="M1003" s="159"/>
      <c r="N1003" s="159"/>
      <c r="O1003" s="159"/>
      <c r="P1003" s="159"/>
      <c r="Q1003" s="159"/>
      <c r="R1003" s="159"/>
      <c r="S1003" s="159"/>
      <c r="T1003" s="159"/>
      <c r="U1003" s="159"/>
      <c r="V1003" s="159"/>
      <c r="W1003" s="159"/>
      <c r="X1003" s="159"/>
      <c r="Y1003" s="159"/>
      <c r="Z1003" s="159"/>
      <c r="AA1003" s="159"/>
      <c r="AB1003" s="159"/>
      <c r="AC1003" s="159"/>
      <c r="AD1003" s="159"/>
      <c r="AE1003" s="159"/>
    </row>
    <row r="1004">
      <c r="A1004" s="159"/>
      <c r="B1004" s="159"/>
      <c r="C1004" s="159"/>
      <c r="D1004" s="159"/>
      <c r="E1004" s="159"/>
      <c r="F1004" s="159"/>
      <c r="G1004" s="159"/>
      <c r="H1004" s="159"/>
      <c r="I1004" s="159"/>
      <c r="J1004" s="159"/>
      <c r="K1004" s="159"/>
      <c r="L1004" s="159"/>
      <c r="M1004" s="159"/>
      <c r="N1004" s="159"/>
      <c r="O1004" s="159"/>
      <c r="P1004" s="159"/>
      <c r="Q1004" s="159"/>
      <c r="R1004" s="159"/>
      <c r="S1004" s="159"/>
      <c r="T1004" s="159"/>
      <c r="U1004" s="159"/>
      <c r="V1004" s="159"/>
      <c r="W1004" s="159"/>
      <c r="X1004" s="159"/>
      <c r="Y1004" s="159"/>
      <c r="Z1004" s="159"/>
      <c r="AA1004" s="159"/>
      <c r="AB1004" s="159"/>
      <c r="AC1004" s="159"/>
      <c r="AD1004" s="159"/>
      <c r="AE1004" s="159"/>
    </row>
    <row r="1005">
      <c r="A1005" s="159"/>
      <c r="B1005" s="159"/>
      <c r="C1005" s="159"/>
      <c r="D1005" s="159"/>
      <c r="E1005" s="159"/>
      <c r="F1005" s="159"/>
      <c r="G1005" s="159"/>
      <c r="H1005" s="159"/>
      <c r="I1005" s="159"/>
      <c r="J1005" s="159"/>
      <c r="K1005" s="159"/>
      <c r="L1005" s="159"/>
      <c r="M1005" s="159"/>
      <c r="N1005" s="159"/>
      <c r="O1005" s="159"/>
      <c r="P1005" s="159"/>
      <c r="Q1005" s="159"/>
      <c r="R1005" s="159"/>
      <c r="S1005" s="159"/>
      <c r="T1005" s="159"/>
      <c r="U1005" s="159"/>
      <c r="V1005" s="159"/>
      <c r="W1005" s="159"/>
      <c r="X1005" s="159"/>
      <c r="Y1005" s="159"/>
      <c r="Z1005" s="159"/>
      <c r="AA1005" s="159"/>
      <c r="AB1005" s="159"/>
      <c r="AC1005" s="159"/>
      <c r="AD1005" s="159"/>
      <c r="AE1005" s="159"/>
    </row>
    <row r="1006">
      <c r="A1006" s="159"/>
      <c r="B1006" s="159"/>
      <c r="C1006" s="159"/>
      <c r="D1006" s="159"/>
      <c r="E1006" s="159"/>
      <c r="F1006" s="159"/>
      <c r="G1006" s="159"/>
      <c r="H1006" s="159"/>
      <c r="I1006" s="159"/>
      <c r="J1006" s="159"/>
      <c r="K1006" s="159"/>
      <c r="L1006" s="159"/>
      <c r="M1006" s="159"/>
      <c r="N1006" s="159"/>
      <c r="O1006" s="159"/>
      <c r="P1006" s="159"/>
      <c r="Q1006" s="159"/>
      <c r="R1006" s="159"/>
      <c r="S1006" s="159"/>
      <c r="T1006" s="159"/>
      <c r="U1006" s="159"/>
      <c r="V1006" s="159"/>
      <c r="W1006" s="159"/>
      <c r="X1006" s="159"/>
      <c r="Y1006" s="159"/>
      <c r="Z1006" s="159"/>
      <c r="AA1006" s="159"/>
      <c r="AB1006" s="159"/>
      <c r="AC1006" s="159"/>
      <c r="AD1006" s="159"/>
      <c r="AE1006" s="159"/>
    </row>
    <row r="1007">
      <c r="A1007" s="159"/>
      <c r="B1007" s="159"/>
      <c r="C1007" s="159"/>
      <c r="D1007" s="159"/>
      <c r="E1007" s="159"/>
      <c r="F1007" s="159"/>
      <c r="G1007" s="159"/>
      <c r="H1007" s="159"/>
      <c r="I1007" s="159"/>
      <c r="J1007" s="159"/>
      <c r="K1007" s="159"/>
      <c r="L1007" s="159"/>
      <c r="M1007" s="159"/>
      <c r="N1007" s="159"/>
      <c r="O1007" s="159"/>
      <c r="P1007" s="159"/>
      <c r="Q1007" s="159"/>
      <c r="R1007" s="159"/>
      <c r="S1007" s="159"/>
      <c r="T1007" s="159"/>
      <c r="U1007" s="159"/>
      <c r="V1007" s="159"/>
      <c r="W1007" s="159"/>
      <c r="X1007" s="159"/>
      <c r="Y1007" s="159"/>
      <c r="Z1007" s="159"/>
      <c r="AA1007" s="159"/>
      <c r="AB1007" s="159"/>
      <c r="AC1007" s="159"/>
      <c r="AD1007" s="159"/>
      <c r="AE1007" s="159"/>
    </row>
    <row r="1008">
      <c r="A1008" s="159"/>
      <c r="B1008" s="159"/>
      <c r="C1008" s="159"/>
      <c r="D1008" s="159"/>
      <c r="E1008" s="159"/>
      <c r="F1008" s="159"/>
      <c r="G1008" s="159"/>
      <c r="H1008" s="159"/>
      <c r="I1008" s="159"/>
      <c r="J1008" s="159"/>
      <c r="K1008" s="159"/>
      <c r="L1008" s="159"/>
      <c r="M1008" s="159"/>
      <c r="N1008" s="159"/>
      <c r="O1008" s="159"/>
      <c r="P1008" s="159"/>
      <c r="Q1008" s="159"/>
      <c r="R1008" s="159"/>
      <c r="S1008" s="159"/>
      <c r="T1008" s="159"/>
      <c r="U1008" s="159"/>
      <c r="V1008" s="159"/>
      <c r="W1008" s="159"/>
      <c r="X1008" s="159"/>
      <c r="Y1008" s="159"/>
      <c r="Z1008" s="159"/>
      <c r="AA1008" s="159"/>
      <c r="AB1008" s="159"/>
      <c r="AC1008" s="159"/>
      <c r="AD1008" s="159"/>
      <c r="AE1008" s="159"/>
    </row>
    <row r="1009">
      <c r="A1009" s="159"/>
      <c r="B1009" s="159"/>
      <c r="C1009" s="159"/>
      <c r="D1009" s="159"/>
      <c r="E1009" s="159"/>
      <c r="F1009" s="159"/>
      <c r="G1009" s="159"/>
      <c r="H1009" s="159"/>
      <c r="I1009" s="159"/>
      <c r="J1009" s="159"/>
      <c r="K1009" s="159"/>
      <c r="L1009" s="159"/>
      <c r="M1009" s="159"/>
      <c r="N1009" s="159"/>
      <c r="O1009" s="159"/>
      <c r="P1009" s="159"/>
      <c r="Q1009" s="159"/>
      <c r="R1009" s="159"/>
      <c r="S1009" s="159"/>
      <c r="T1009" s="159"/>
      <c r="U1009" s="159"/>
      <c r="V1009" s="159"/>
      <c r="W1009" s="159"/>
      <c r="X1009" s="159"/>
      <c r="Y1009" s="159"/>
      <c r="Z1009" s="159"/>
      <c r="AA1009" s="159"/>
      <c r="AB1009" s="159"/>
      <c r="AC1009" s="159"/>
      <c r="AD1009" s="159"/>
      <c r="AE1009" s="159"/>
    </row>
    <row r="1010">
      <c r="A1010" s="159"/>
      <c r="B1010" s="159"/>
      <c r="C1010" s="159"/>
      <c r="D1010" s="159"/>
      <c r="E1010" s="159"/>
      <c r="F1010" s="159"/>
      <c r="G1010" s="159"/>
      <c r="H1010" s="159"/>
      <c r="I1010" s="159"/>
      <c r="J1010" s="159"/>
      <c r="K1010" s="159"/>
      <c r="L1010" s="159"/>
      <c r="M1010" s="159"/>
      <c r="N1010" s="159"/>
      <c r="O1010" s="159"/>
      <c r="P1010" s="159"/>
      <c r="Q1010" s="159"/>
      <c r="R1010" s="159"/>
      <c r="S1010" s="159"/>
      <c r="T1010" s="159"/>
      <c r="U1010" s="159"/>
      <c r="V1010" s="159"/>
      <c r="W1010" s="159"/>
      <c r="X1010" s="159"/>
      <c r="Y1010" s="159"/>
      <c r="Z1010" s="159"/>
      <c r="AA1010" s="159"/>
      <c r="AB1010" s="159"/>
      <c r="AC1010" s="159"/>
      <c r="AD1010" s="159"/>
      <c r="AE1010" s="159"/>
    </row>
    <row r="1011">
      <c r="A1011" s="159"/>
      <c r="B1011" s="159"/>
      <c r="C1011" s="159"/>
      <c r="D1011" s="159"/>
      <c r="E1011" s="159"/>
      <c r="F1011" s="159"/>
      <c r="G1011" s="159"/>
      <c r="H1011" s="159"/>
      <c r="I1011" s="159"/>
      <c r="J1011" s="159"/>
      <c r="K1011" s="159"/>
      <c r="L1011" s="159"/>
      <c r="M1011" s="159"/>
      <c r="N1011" s="159"/>
      <c r="O1011" s="159"/>
      <c r="P1011" s="159"/>
      <c r="Q1011" s="159"/>
      <c r="R1011" s="159"/>
      <c r="S1011" s="159"/>
      <c r="T1011" s="159"/>
      <c r="U1011" s="159"/>
      <c r="V1011" s="159"/>
      <c r="W1011" s="159"/>
      <c r="X1011" s="159"/>
      <c r="Y1011" s="159"/>
      <c r="Z1011" s="159"/>
      <c r="AA1011" s="159"/>
      <c r="AB1011" s="159"/>
      <c r="AC1011" s="159"/>
      <c r="AD1011" s="159"/>
      <c r="AE1011" s="159"/>
    </row>
    <row r="1012">
      <c r="A1012" s="159"/>
      <c r="B1012" s="159"/>
      <c r="C1012" s="159"/>
      <c r="D1012" s="159"/>
      <c r="E1012" s="159"/>
      <c r="F1012" s="159"/>
      <c r="G1012" s="159"/>
      <c r="H1012" s="159"/>
      <c r="I1012" s="159"/>
      <c r="J1012" s="159"/>
      <c r="K1012" s="159"/>
      <c r="L1012" s="159"/>
      <c r="M1012" s="159"/>
      <c r="N1012" s="159"/>
      <c r="O1012" s="159"/>
      <c r="P1012" s="159"/>
      <c r="Q1012" s="159"/>
      <c r="R1012" s="159"/>
      <c r="S1012" s="159"/>
      <c r="T1012" s="159"/>
      <c r="U1012" s="159"/>
      <c r="V1012" s="159"/>
      <c r="W1012" s="159"/>
      <c r="X1012" s="159"/>
      <c r="Y1012" s="159"/>
      <c r="Z1012" s="159"/>
      <c r="AA1012" s="159"/>
      <c r="AB1012" s="159"/>
      <c r="AC1012" s="159"/>
      <c r="AD1012" s="159"/>
      <c r="AE1012" s="159"/>
    </row>
    <row r="1013">
      <c r="A1013" s="159"/>
      <c r="B1013" s="159"/>
      <c r="C1013" s="159"/>
      <c r="D1013" s="159"/>
      <c r="E1013" s="159"/>
      <c r="F1013" s="159"/>
      <c r="G1013" s="159"/>
      <c r="H1013" s="159"/>
      <c r="I1013" s="159"/>
      <c r="J1013" s="159"/>
      <c r="K1013" s="159"/>
      <c r="L1013" s="159"/>
      <c r="M1013" s="159"/>
      <c r="N1013" s="159"/>
      <c r="O1013" s="159"/>
      <c r="P1013" s="159"/>
      <c r="Q1013" s="159"/>
      <c r="R1013" s="159"/>
      <c r="S1013" s="159"/>
      <c r="T1013" s="159"/>
      <c r="U1013" s="159"/>
      <c r="V1013" s="159"/>
      <c r="W1013" s="159"/>
      <c r="X1013" s="159"/>
      <c r="Y1013" s="159"/>
      <c r="Z1013" s="159"/>
      <c r="AA1013" s="159"/>
      <c r="AB1013" s="159"/>
      <c r="AC1013" s="159"/>
      <c r="AD1013" s="159"/>
      <c r="AE1013" s="159"/>
    </row>
    <row r="1014">
      <c r="A1014" s="159"/>
      <c r="B1014" s="159"/>
      <c r="C1014" s="159"/>
      <c r="D1014" s="159"/>
      <c r="E1014" s="159"/>
      <c r="F1014" s="159"/>
      <c r="G1014" s="159"/>
      <c r="H1014" s="159"/>
      <c r="I1014" s="159"/>
      <c r="J1014" s="159"/>
      <c r="K1014" s="159"/>
      <c r="L1014" s="159"/>
      <c r="M1014" s="159"/>
      <c r="N1014" s="159"/>
      <c r="O1014" s="159"/>
      <c r="P1014" s="159"/>
      <c r="Q1014" s="159"/>
      <c r="R1014" s="159"/>
      <c r="S1014" s="159"/>
      <c r="T1014" s="159"/>
      <c r="U1014" s="159"/>
      <c r="V1014" s="159"/>
      <c r="W1014" s="159"/>
      <c r="X1014" s="159"/>
      <c r="Y1014" s="159"/>
      <c r="Z1014" s="159"/>
      <c r="AA1014" s="159"/>
      <c r="AB1014" s="159"/>
      <c r="AC1014" s="159"/>
      <c r="AD1014" s="159"/>
      <c r="AE1014" s="159"/>
    </row>
    <row r="1015">
      <c r="A1015" s="159"/>
      <c r="B1015" s="159"/>
      <c r="C1015" s="159"/>
      <c r="D1015" s="159"/>
      <c r="E1015" s="159"/>
      <c r="F1015" s="159"/>
      <c r="G1015" s="159"/>
      <c r="H1015" s="159"/>
      <c r="I1015" s="159"/>
      <c r="J1015" s="159"/>
      <c r="K1015" s="159"/>
      <c r="L1015" s="159"/>
      <c r="M1015" s="159"/>
      <c r="N1015" s="159"/>
      <c r="O1015" s="159"/>
      <c r="P1015" s="159"/>
      <c r="Q1015" s="159"/>
      <c r="R1015" s="159"/>
      <c r="S1015" s="159"/>
      <c r="T1015" s="159"/>
      <c r="U1015" s="159"/>
      <c r="V1015" s="159"/>
      <c r="W1015" s="159"/>
      <c r="X1015" s="159"/>
      <c r="Y1015" s="159"/>
      <c r="Z1015" s="159"/>
      <c r="AA1015" s="159"/>
      <c r="AB1015" s="159"/>
      <c r="AC1015" s="159"/>
      <c r="AD1015" s="159"/>
      <c r="AE1015" s="159"/>
    </row>
    <row r="1016">
      <c r="A1016" s="159"/>
      <c r="B1016" s="159"/>
      <c r="C1016" s="159"/>
      <c r="D1016" s="159"/>
      <c r="E1016" s="159"/>
      <c r="F1016" s="159"/>
      <c r="G1016" s="159"/>
      <c r="H1016" s="159"/>
      <c r="I1016" s="159"/>
      <c r="J1016" s="159"/>
      <c r="K1016" s="159"/>
      <c r="L1016" s="159"/>
      <c r="M1016" s="159"/>
      <c r="N1016" s="159"/>
      <c r="O1016" s="159"/>
      <c r="P1016" s="159"/>
      <c r="Q1016" s="159"/>
      <c r="R1016" s="159"/>
      <c r="S1016" s="159"/>
      <c r="T1016" s="159"/>
      <c r="U1016" s="159"/>
      <c r="V1016" s="159"/>
      <c r="W1016" s="159"/>
      <c r="X1016" s="159"/>
      <c r="Y1016" s="159"/>
      <c r="Z1016" s="159"/>
      <c r="AA1016" s="159"/>
      <c r="AB1016" s="159"/>
      <c r="AC1016" s="159"/>
      <c r="AD1016" s="159"/>
      <c r="AE1016" s="159"/>
    </row>
    <row r="1017">
      <c r="A1017" s="159"/>
      <c r="B1017" s="159"/>
      <c r="C1017" s="159"/>
      <c r="D1017" s="159"/>
      <c r="E1017" s="159"/>
      <c r="F1017" s="159"/>
      <c r="G1017" s="159"/>
      <c r="H1017" s="159"/>
      <c r="I1017" s="159"/>
      <c r="J1017" s="159"/>
      <c r="K1017" s="159"/>
      <c r="L1017" s="159"/>
      <c r="M1017" s="159"/>
      <c r="N1017" s="159"/>
      <c r="O1017" s="159"/>
      <c r="P1017" s="159"/>
      <c r="Q1017" s="159"/>
      <c r="R1017" s="159"/>
      <c r="S1017" s="159"/>
      <c r="T1017" s="159"/>
      <c r="U1017" s="159"/>
      <c r="V1017" s="159"/>
      <c r="W1017" s="159"/>
      <c r="X1017" s="159"/>
      <c r="Y1017" s="159"/>
      <c r="Z1017" s="159"/>
      <c r="AA1017" s="159"/>
      <c r="AB1017" s="159"/>
      <c r="AC1017" s="159"/>
      <c r="AD1017" s="159"/>
      <c r="AE1017" s="159"/>
    </row>
    <row r="1018">
      <c r="A1018" s="159"/>
      <c r="B1018" s="159"/>
      <c r="C1018" s="159"/>
      <c r="D1018" s="159"/>
      <c r="E1018" s="159"/>
      <c r="F1018" s="159"/>
      <c r="G1018" s="159"/>
      <c r="H1018" s="159"/>
      <c r="I1018" s="159"/>
      <c r="J1018" s="159"/>
      <c r="K1018" s="159"/>
      <c r="L1018" s="159"/>
      <c r="M1018" s="159"/>
      <c r="N1018" s="159"/>
      <c r="O1018" s="159"/>
      <c r="P1018" s="159"/>
      <c r="Q1018" s="159"/>
      <c r="R1018" s="159"/>
      <c r="S1018" s="159"/>
      <c r="T1018" s="159"/>
      <c r="U1018" s="159"/>
      <c r="V1018" s="159"/>
      <c r="W1018" s="159"/>
      <c r="X1018" s="159"/>
      <c r="Y1018" s="159"/>
      <c r="Z1018" s="159"/>
      <c r="AA1018" s="159"/>
      <c r="AB1018" s="159"/>
      <c r="AC1018" s="159"/>
      <c r="AD1018" s="159"/>
      <c r="AE1018" s="159"/>
    </row>
    <row r="1019">
      <c r="A1019" s="159"/>
      <c r="B1019" s="159"/>
      <c r="C1019" s="159"/>
      <c r="D1019" s="159"/>
      <c r="E1019" s="159"/>
      <c r="F1019" s="159"/>
      <c r="G1019" s="159"/>
      <c r="H1019" s="159"/>
      <c r="I1019" s="159"/>
      <c r="J1019" s="159"/>
      <c r="K1019" s="159"/>
      <c r="L1019" s="159"/>
      <c r="M1019" s="159"/>
      <c r="N1019" s="159"/>
      <c r="O1019" s="159"/>
      <c r="P1019" s="159"/>
      <c r="Q1019" s="159"/>
      <c r="R1019" s="159"/>
      <c r="S1019" s="159"/>
      <c r="T1019" s="159"/>
      <c r="U1019" s="159"/>
      <c r="V1019" s="159"/>
      <c r="W1019" s="159"/>
      <c r="X1019" s="159"/>
      <c r="Y1019" s="159"/>
      <c r="Z1019" s="159"/>
      <c r="AA1019" s="159"/>
      <c r="AB1019" s="159"/>
      <c r="AC1019" s="159"/>
      <c r="AD1019" s="159"/>
      <c r="AE1019" s="159"/>
    </row>
    <row r="1020">
      <c r="A1020" s="159"/>
      <c r="B1020" s="159"/>
      <c r="C1020" s="159"/>
      <c r="D1020" s="159"/>
      <c r="E1020" s="159"/>
      <c r="F1020" s="159"/>
      <c r="G1020" s="159"/>
      <c r="H1020" s="159"/>
      <c r="I1020" s="159"/>
      <c r="J1020" s="159"/>
      <c r="K1020" s="159"/>
      <c r="L1020" s="159"/>
      <c r="M1020" s="159"/>
      <c r="N1020" s="159"/>
      <c r="O1020" s="159"/>
      <c r="P1020" s="159"/>
      <c r="Q1020" s="159"/>
      <c r="R1020" s="159"/>
      <c r="S1020" s="159"/>
      <c r="T1020" s="159"/>
      <c r="U1020" s="159"/>
      <c r="V1020" s="159"/>
      <c r="W1020" s="159"/>
      <c r="X1020" s="159"/>
      <c r="Y1020" s="159"/>
      <c r="Z1020" s="159"/>
      <c r="AA1020" s="159"/>
      <c r="AB1020" s="159"/>
      <c r="AC1020" s="159"/>
      <c r="AD1020" s="159"/>
      <c r="AE1020" s="159"/>
    </row>
    <row r="1021">
      <c r="A1021" s="159"/>
      <c r="B1021" s="159"/>
      <c r="C1021" s="159"/>
      <c r="D1021" s="159"/>
      <c r="E1021" s="159"/>
      <c r="F1021" s="159"/>
      <c r="G1021" s="159"/>
      <c r="H1021" s="159"/>
      <c r="I1021" s="159"/>
      <c r="J1021" s="159"/>
      <c r="K1021" s="159"/>
      <c r="L1021" s="159"/>
      <c r="M1021" s="159"/>
      <c r="N1021" s="159"/>
      <c r="O1021" s="159"/>
      <c r="P1021" s="159"/>
      <c r="Q1021" s="159"/>
      <c r="R1021" s="159"/>
      <c r="S1021" s="159"/>
      <c r="T1021" s="159"/>
      <c r="U1021" s="159"/>
      <c r="V1021" s="159"/>
      <c r="W1021" s="159"/>
      <c r="X1021" s="159"/>
      <c r="Y1021" s="159"/>
      <c r="Z1021" s="159"/>
      <c r="AA1021" s="159"/>
      <c r="AB1021" s="159"/>
      <c r="AC1021" s="159"/>
      <c r="AD1021" s="159"/>
      <c r="AE1021" s="159"/>
    </row>
    <row r="1022">
      <c r="A1022" s="159"/>
      <c r="B1022" s="159"/>
      <c r="C1022" s="159"/>
      <c r="D1022" s="159"/>
      <c r="E1022" s="159"/>
      <c r="F1022" s="159"/>
      <c r="G1022" s="159"/>
      <c r="H1022" s="159"/>
      <c r="I1022" s="159"/>
      <c r="J1022" s="159"/>
      <c r="K1022" s="159"/>
      <c r="L1022" s="159"/>
      <c r="M1022" s="159"/>
      <c r="N1022" s="159"/>
      <c r="O1022" s="159"/>
      <c r="P1022" s="159"/>
      <c r="Q1022" s="159"/>
      <c r="R1022" s="159"/>
      <c r="S1022" s="159"/>
      <c r="T1022" s="159"/>
      <c r="U1022" s="159"/>
      <c r="V1022" s="159"/>
      <c r="W1022" s="159"/>
      <c r="X1022" s="159"/>
      <c r="Y1022" s="159"/>
      <c r="Z1022" s="159"/>
      <c r="AA1022" s="159"/>
      <c r="AB1022" s="159"/>
      <c r="AC1022" s="159"/>
      <c r="AD1022" s="159"/>
      <c r="AE1022" s="159"/>
    </row>
    <row r="1023">
      <c r="A1023" s="159"/>
      <c r="B1023" s="159"/>
      <c r="C1023" s="159"/>
      <c r="D1023" s="159"/>
      <c r="E1023" s="159"/>
      <c r="F1023" s="159"/>
      <c r="G1023" s="159"/>
      <c r="H1023" s="159"/>
      <c r="I1023" s="159"/>
      <c r="J1023" s="159"/>
      <c r="K1023" s="159"/>
      <c r="L1023" s="159"/>
      <c r="M1023" s="159"/>
      <c r="N1023" s="159"/>
      <c r="O1023" s="159"/>
      <c r="P1023" s="159"/>
      <c r="Q1023" s="159"/>
      <c r="R1023" s="159"/>
      <c r="S1023" s="159"/>
      <c r="T1023" s="159"/>
      <c r="U1023" s="159"/>
      <c r="V1023" s="159"/>
      <c r="W1023" s="159"/>
      <c r="X1023" s="159"/>
      <c r="Y1023" s="159"/>
      <c r="Z1023" s="159"/>
      <c r="AA1023" s="159"/>
      <c r="AB1023" s="159"/>
      <c r="AC1023" s="159"/>
      <c r="AD1023" s="159"/>
      <c r="AE1023" s="159"/>
    </row>
    <row r="1024">
      <c r="A1024" s="159"/>
      <c r="B1024" s="159"/>
      <c r="C1024" s="159"/>
      <c r="D1024" s="159"/>
      <c r="E1024" s="159"/>
      <c r="F1024" s="159"/>
      <c r="G1024" s="159"/>
      <c r="H1024" s="159"/>
      <c r="I1024" s="159"/>
      <c r="J1024" s="159"/>
      <c r="K1024" s="159"/>
      <c r="L1024" s="159"/>
      <c r="M1024" s="159"/>
      <c r="N1024" s="159"/>
      <c r="O1024" s="159"/>
      <c r="P1024" s="159"/>
      <c r="Q1024" s="159"/>
      <c r="R1024" s="159"/>
      <c r="S1024" s="159"/>
      <c r="T1024" s="159"/>
      <c r="U1024" s="159"/>
      <c r="V1024" s="159"/>
      <c r="W1024" s="159"/>
      <c r="X1024" s="159"/>
      <c r="Y1024" s="159"/>
      <c r="Z1024" s="159"/>
      <c r="AA1024" s="159"/>
      <c r="AB1024" s="159"/>
      <c r="AC1024" s="159"/>
      <c r="AD1024" s="159"/>
      <c r="AE1024" s="159"/>
    </row>
    <row r="1025">
      <c r="A1025" s="159"/>
      <c r="B1025" s="159"/>
      <c r="C1025" s="159"/>
      <c r="D1025" s="159"/>
      <c r="E1025" s="159"/>
      <c r="F1025" s="159"/>
      <c r="G1025" s="159"/>
      <c r="H1025" s="159"/>
      <c r="I1025" s="159"/>
      <c r="J1025" s="159"/>
      <c r="K1025" s="159"/>
      <c r="L1025" s="159"/>
      <c r="M1025" s="159"/>
      <c r="N1025" s="159"/>
      <c r="O1025" s="159"/>
      <c r="P1025" s="159"/>
      <c r="Q1025" s="159"/>
      <c r="R1025" s="159"/>
      <c r="S1025" s="159"/>
      <c r="T1025" s="159"/>
      <c r="U1025" s="159"/>
      <c r="V1025" s="159"/>
      <c r="W1025" s="159"/>
      <c r="X1025" s="159"/>
      <c r="Y1025" s="159"/>
      <c r="Z1025" s="159"/>
      <c r="AA1025" s="159"/>
      <c r="AB1025" s="159"/>
      <c r="AC1025" s="159"/>
      <c r="AD1025" s="159"/>
      <c r="AE1025" s="159"/>
    </row>
    <row r="1026">
      <c r="A1026" s="159"/>
      <c r="B1026" s="159"/>
      <c r="C1026" s="159"/>
      <c r="D1026" s="159"/>
      <c r="E1026" s="159"/>
      <c r="F1026" s="159"/>
      <c r="G1026" s="159"/>
      <c r="H1026" s="159"/>
      <c r="I1026" s="159"/>
      <c r="J1026" s="159"/>
      <c r="K1026" s="159"/>
      <c r="L1026" s="159"/>
      <c r="M1026" s="159"/>
      <c r="N1026" s="159"/>
      <c r="O1026" s="159"/>
      <c r="P1026" s="159"/>
      <c r="Q1026" s="159"/>
      <c r="R1026" s="159"/>
      <c r="S1026" s="159"/>
      <c r="T1026" s="159"/>
      <c r="U1026" s="159"/>
      <c r="V1026" s="159"/>
      <c r="W1026" s="159"/>
      <c r="X1026" s="159"/>
      <c r="Y1026" s="159"/>
      <c r="Z1026" s="159"/>
      <c r="AA1026" s="159"/>
      <c r="AB1026" s="159"/>
      <c r="AC1026" s="159"/>
      <c r="AD1026" s="159"/>
      <c r="AE1026" s="159"/>
    </row>
    <row r="1027">
      <c r="A1027" s="159"/>
      <c r="B1027" s="159"/>
      <c r="C1027" s="159"/>
      <c r="D1027" s="159"/>
      <c r="E1027" s="159"/>
      <c r="F1027" s="159"/>
      <c r="G1027" s="159"/>
      <c r="H1027" s="159"/>
      <c r="I1027" s="159"/>
      <c r="J1027" s="159"/>
      <c r="K1027" s="159"/>
      <c r="L1027" s="159"/>
      <c r="M1027" s="159"/>
      <c r="N1027" s="159"/>
      <c r="O1027" s="159"/>
      <c r="P1027" s="159"/>
      <c r="Q1027" s="159"/>
      <c r="R1027" s="159"/>
      <c r="S1027" s="159"/>
      <c r="T1027" s="159"/>
      <c r="U1027" s="159"/>
      <c r="V1027" s="159"/>
      <c r="W1027" s="159"/>
      <c r="X1027" s="159"/>
      <c r="Y1027" s="159"/>
      <c r="Z1027" s="159"/>
      <c r="AA1027" s="159"/>
      <c r="AB1027" s="159"/>
      <c r="AC1027" s="159"/>
      <c r="AD1027" s="159"/>
      <c r="AE1027" s="159"/>
    </row>
    <row r="1028">
      <c r="A1028" s="159"/>
      <c r="B1028" s="159"/>
      <c r="C1028" s="159"/>
      <c r="D1028" s="159"/>
      <c r="E1028" s="159"/>
      <c r="F1028" s="159"/>
      <c r="G1028" s="159"/>
      <c r="H1028" s="159"/>
      <c r="I1028" s="159"/>
      <c r="J1028" s="159"/>
      <c r="K1028" s="159"/>
      <c r="L1028" s="159"/>
      <c r="M1028" s="159"/>
      <c r="N1028" s="159"/>
      <c r="O1028" s="159"/>
      <c r="P1028" s="159"/>
      <c r="Q1028" s="159"/>
      <c r="R1028" s="159"/>
      <c r="S1028" s="159"/>
      <c r="T1028" s="159"/>
      <c r="U1028" s="159"/>
      <c r="V1028" s="159"/>
      <c r="W1028" s="159"/>
      <c r="X1028" s="159"/>
      <c r="Y1028" s="159"/>
      <c r="Z1028" s="159"/>
      <c r="AA1028" s="159"/>
      <c r="AB1028" s="159"/>
      <c r="AC1028" s="159"/>
      <c r="AD1028" s="159"/>
      <c r="AE1028" s="159"/>
    </row>
    <row r="1029">
      <c r="A1029" s="159"/>
      <c r="B1029" s="159"/>
      <c r="C1029" s="159"/>
      <c r="D1029" s="159"/>
      <c r="E1029" s="159"/>
      <c r="F1029" s="159"/>
      <c r="G1029" s="159"/>
      <c r="H1029" s="159"/>
      <c r="I1029" s="159"/>
      <c r="J1029" s="159"/>
      <c r="K1029" s="159"/>
      <c r="L1029" s="159"/>
      <c r="M1029" s="159"/>
      <c r="N1029" s="159"/>
      <c r="O1029" s="159"/>
      <c r="P1029" s="159"/>
      <c r="Q1029" s="159"/>
      <c r="R1029" s="159"/>
      <c r="S1029" s="159"/>
      <c r="T1029" s="159"/>
      <c r="U1029" s="159"/>
      <c r="V1029" s="159"/>
      <c r="W1029" s="159"/>
      <c r="X1029" s="159"/>
      <c r="Y1029" s="159"/>
      <c r="Z1029" s="159"/>
      <c r="AA1029" s="159"/>
      <c r="AB1029" s="159"/>
      <c r="AC1029" s="159"/>
      <c r="AD1029" s="159"/>
      <c r="AE1029" s="159"/>
    </row>
    <row r="1030">
      <c r="A1030" s="159"/>
      <c r="B1030" s="159"/>
      <c r="C1030" s="159"/>
      <c r="D1030" s="159"/>
      <c r="E1030" s="159"/>
      <c r="F1030" s="159"/>
      <c r="G1030" s="159"/>
      <c r="H1030" s="159"/>
      <c r="I1030" s="159"/>
      <c r="J1030" s="159"/>
      <c r="K1030" s="159"/>
      <c r="L1030" s="159"/>
      <c r="M1030" s="159"/>
      <c r="N1030" s="159"/>
      <c r="O1030" s="159"/>
      <c r="P1030" s="159"/>
      <c r="Q1030" s="159"/>
      <c r="R1030" s="159"/>
      <c r="S1030" s="159"/>
      <c r="T1030" s="159"/>
      <c r="U1030" s="159"/>
      <c r="V1030" s="159"/>
      <c r="W1030" s="159"/>
      <c r="X1030" s="159"/>
      <c r="Y1030" s="159"/>
      <c r="Z1030" s="159"/>
      <c r="AA1030" s="159"/>
      <c r="AB1030" s="159"/>
      <c r="AC1030" s="159"/>
      <c r="AD1030" s="159"/>
      <c r="AE1030" s="159"/>
    </row>
    <row r="1031">
      <c r="A1031" s="159"/>
      <c r="B1031" s="159"/>
      <c r="C1031" s="159"/>
      <c r="D1031" s="159"/>
      <c r="E1031" s="159"/>
      <c r="F1031" s="159"/>
      <c r="G1031" s="159"/>
      <c r="H1031" s="159"/>
      <c r="I1031" s="159"/>
      <c r="J1031" s="159"/>
      <c r="K1031" s="159"/>
      <c r="L1031" s="159"/>
      <c r="M1031" s="159"/>
      <c r="N1031" s="159"/>
      <c r="O1031" s="159"/>
      <c r="P1031" s="159"/>
      <c r="Q1031" s="159"/>
      <c r="R1031" s="159"/>
      <c r="S1031" s="159"/>
      <c r="T1031" s="159"/>
      <c r="U1031" s="159"/>
      <c r="V1031" s="159"/>
      <c r="W1031" s="159"/>
      <c r="X1031" s="159"/>
      <c r="Y1031" s="159"/>
      <c r="Z1031" s="159"/>
      <c r="AA1031" s="159"/>
      <c r="AB1031" s="159"/>
      <c r="AC1031" s="159"/>
      <c r="AD1031" s="159"/>
      <c r="AE1031" s="159"/>
    </row>
    <row r="1032">
      <c r="A1032" s="159"/>
      <c r="B1032" s="159"/>
      <c r="C1032" s="159"/>
      <c r="D1032" s="159"/>
      <c r="E1032" s="159"/>
      <c r="F1032" s="159"/>
      <c r="G1032" s="159"/>
      <c r="H1032" s="159"/>
      <c r="I1032" s="159"/>
      <c r="J1032" s="159"/>
      <c r="K1032" s="159"/>
      <c r="L1032" s="159"/>
      <c r="M1032" s="159"/>
      <c r="N1032" s="159"/>
      <c r="O1032" s="159"/>
      <c r="P1032" s="159"/>
      <c r="Q1032" s="159"/>
      <c r="R1032" s="159"/>
      <c r="S1032" s="159"/>
      <c r="T1032" s="159"/>
      <c r="U1032" s="159"/>
      <c r="V1032" s="159"/>
      <c r="W1032" s="159"/>
      <c r="X1032" s="159"/>
      <c r="Y1032" s="159"/>
      <c r="Z1032" s="159"/>
      <c r="AA1032" s="159"/>
      <c r="AB1032" s="159"/>
      <c r="AC1032" s="159"/>
      <c r="AD1032" s="159"/>
      <c r="AE1032" s="159"/>
    </row>
    <row r="1033">
      <c r="A1033" s="159"/>
      <c r="B1033" s="159"/>
      <c r="C1033" s="159"/>
      <c r="D1033" s="159"/>
      <c r="E1033" s="159"/>
      <c r="F1033" s="159"/>
      <c r="G1033" s="159"/>
      <c r="H1033" s="159"/>
      <c r="I1033" s="159"/>
      <c r="J1033" s="159"/>
      <c r="K1033" s="159"/>
      <c r="L1033" s="159"/>
      <c r="M1033" s="159"/>
      <c r="N1033" s="159"/>
      <c r="O1033" s="159"/>
      <c r="P1033" s="159"/>
      <c r="Q1033" s="159"/>
      <c r="R1033" s="159"/>
      <c r="S1033" s="159"/>
      <c r="T1033" s="159"/>
      <c r="U1033" s="159"/>
      <c r="V1033" s="159"/>
      <c r="W1033" s="159"/>
      <c r="X1033" s="159"/>
      <c r="Y1033" s="159"/>
      <c r="Z1033" s="159"/>
      <c r="AA1033" s="159"/>
      <c r="AB1033" s="159"/>
      <c r="AC1033" s="159"/>
      <c r="AD1033" s="159"/>
      <c r="AE1033" s="159"/>
    </row>
    <row r="1034">
      <c r="A1034" s="159"/>
      <c r="B1034" s="159"/>
      <c r="C1034" s="159"/>
      <c r="D1034" s="159"/>
      <c r="E1034" s="159"/>
      <c r="F1034" s="159"/>
      <c r="G1034" s="159"/>
      <c r="H1034" s="159"/>
      <c r="I1034" s="159"/>
      <c r="J1034" s="159"/>
      <c r="K1034" s="159"/>
      <c r="L1034" s="159"/>
      <c r="M1034" s="159"/>
      <c r="N1034" s="159"/>
      <c r="O1034" s="159"/>
      <c r="P1034" s="159"/>
      <c r="Q1034" s="159"/>
      <c r="R1034" s="159"/>
      <c r="S1034" s="159"/>
      <c r="T1034" s="159"/>
      <c r="U1034" s="159"/>
      <c r="V1034" s="159"/>
      <c r="W1034" s="159"/>
      <c r="X1034" s="159"/>
      <c r="Y1034" s="159"/>
      <c r="Z1034" s="159"/>
      <c r="AA1034" s="159"/>
      <c r="AB1034" s="159"/>
      <c r="AC1034" s="159"/>
      <c r="AD1034" s="159"/>
      <c r="AE1034" s="159"/>
    </row>
    <row r="1035">
      <c r="A1035" s="159"/>
      <c r="B1035" s="159"/>
      <c r="C1035" s="159"/>
      <c r="D1035" s="159"/>
      <c r="E1035" s="159"/>
      <c r="F1035" s="159"/>
      <c r="G1035" s="159"/>
      <c r="H1035" s="159"/>
      <c r="I1035" s="159"/>
      <c r="J1035" s="159"/>
      <c r="K1035" s="159"/>
      <c r="L1035" s="159"/>
      <c r="M1035" s="159"/>
      <c r="N1035" s="159"/>
      <c r="O1035" s="159"/>
      <c r="P1035" s="159"/>
      <c r="Q1035" s="159"/>
      <c r="R1035" s="159"/>
      <c r="S1035" s="159"/>
      <c r="T1035" s="159"/>
      <c r="U1035" s="159"/>
      <c r="V1035" s="159"/>
      <c r="W1035" s="159"/>
      <c r="X1035" s="159"/>
      <c r="Y1035" s="159"/>
      <c r="Z1035" s="159"/>
      <c r="AA1035" s="159"/>
      <c r="AB1035" s="159"/>
      <c r="AC1035" s="159"/>
      <c r="AD1035" s="159"/>
      <c r="AE1035" s="159"/>
    </row>
    <row r="1036">
      <c r="A1036" s="159"/>
      <c r="B1036" s="159"/>
      <c r="C1036" s="159"/>
      <c r="D1036" s="159"/>
      <c r="E1036" s="159"/>
      <c r="F1036" s="159"/>
      <c r="G1036" s="159"/>
      <c r="H1036" s="159"/>
      <c r="I1036" s="159"/>
      <c r="J1036" s="159"/>
      <c r="K1036" s="159"/>
      <c r="L1036" s="159"/>
      <c r="M1036" s="159"/>
      <c r="N1036" s="159"/>
      <c r="O1036" s="159"/>
      <c r="P1036" s="159"/>
      <c r="Q1036" s="159"/>
      <c r="R1036" s="159"/>
      <c r="S1036" s="159"/>
      <c r="T1036" s="159"/>
      <c r="U1036" s="159"/>
      <c r="V1036" s="159"/>
      <c r="W1036" s="159"/>
      <c r="X1036" s="159"/>
      <c r="Y1036" s="159"/>
      <c r="Z1036" s="159"/>
      <c r="AA1036" s="159"/>
      <c r="AB1036" s="159"/>
      <c r="AC1036" s="159"/>
      <c r="AD1036" s="159"/>
      <c r="AE1036" s="159"/>
    </row>
    <row r="1037">
      <c r="A1037" s="159"/>
      <c r="B1037" s="159"/>
      <c r="C1037" s="159"/>
      <c r="D1037" s="159"/>
      <c r="E1037" s="159"/>
      <c r="F1037" s="159"/>
      <c r="G1037" s="159"/>
      <c r="H1037" s="159"/>
      <c r="I1037" s="159"/>
      <c r="J1037" s="159"/>
      <c r="K1037" s="159"/>
      <c r="L1037" s="159"/>
      <c r="M1037" s="159"/>
      <c r="N1037" s="159"/>
      <c r="O1037" s="159"/>
      <c r="P1037" s="159"/>
      <c r="Q1037" s="159"/>
      <c r="R1037" s="159"/>
      <c r="S1037" s="159"/>
      <c r="T1037" s="159"/>
      <c r="U1037" s="159"/>
      <c r="V1037" s="159"/>
      <c r="W1037" s="159"/>
      <c r="X1037" s="159"/>
      <c r="Y1037" s="159"/>
      <c r="Z1037" s="159"/>
      <c r="AA1037" s="159"/>
      <c r="AB1037" s="159"/>
      <c r="AC1037" s="159"/>
      <c r="AD1037" s="159"/>
      <c r="AE1037" s="159"/>
    </row>
    <row r="1038">
      <c r="A1038" s="159"/>
      <c r="B1038" s="159"/>
      <c r="C1038" s="159"/>
      <c r="D1038" s="159"/>
      <c r="E1038" s="159"/>
      <c r="F1038" s="159"/>
      <c r="G1038" s="159"/>
      <c r="H1038" s="159"/>
      <c r="I1038" s="159"/>
      <c r="J1038" s="159"/>
      <c r="K1038" s="159"/>
      <c r="L1038" s="159"/>
      <c r="M1038" s="159"/>
      <c r="N1038" s="159"/>
      <c r="O1038" s="159"/>
      <c r="P1038" s="159"/>
      <c r="Q1038" s="159"/>
      <c r="R1038" s="159"/>
      <c r="S1038" s="159"/>
      <c r="T1038" s="159"/>
      <c r="U1038" s="159"/>
      <c r="V1038" s="159"/>
      <c r="W1038" s="159"/>
      <c r="X1038" s="159"/>
      <c r="Y1038" s="159"/>
      <c r="Z1038" s="159"/>
      <c r="AA1038" s="159"/>
      <c r="AB1038" s="159"/>
      <c r="AC1038" s="159"/>
      <c r="AD1038" s="159"/>
      <c r="AE1038" s="159"/>
    </row>
    <row r="1039">
      <c r="A1039" s="159"/>
      <c r="B1039" s="159"/>
      <c r="C1039" s="159"/>
      <c r="D1039" s="159"/>
      <c r="E1039" s="159"/>
      <c r="F1039" s="159"/>
      <c r="G1039" s="159"/>
      <c r="H1039" s="159"/>
      <c r="I1039" s="159"/>
      <c r="J1039" s="159"/>
      <c r="K1039" s="159"/>
      <c r="L1039" s="159"/>
      <c r="M1039" s="159"/>
      <c r="N1039" s="159"/>
      <c r="O1039" s="159"/>
      <c r="P1039" s="159"/>
      <c r="Q1039" s="159"/>
      <c r="R1039" s="159"/>
      <c r="S1039" s="159"/>
      <c r="T1039" s="159"/>
      <c r="U1039" s="159"/>
      <c r="V1039" s="159"/>
      <c r="W1039" s="159"/>
      <c r="X1039" s="159"/>
      <c r="Y1039" s="159"/>
      <c r="Z1039" s="159"/>
      <c r="AA1039" s="159"/>
      <c r="AB1039" s="159"/>
      <c r="AC1039" s="159"/>
      <c r="AD1039" s="159"/>
      <c r="AE1039" s="159"/>
    </row>
    <row r="1040">
      <c r="A1040" s="159"/>
      <c r="B1040" s="159"/>
      <c r="C1040" s="159"/>
      <c r="D1040" s="159"/>
      <c r="E1040" s="159"/>
      <c r="F1040" s="159"/>
      <c r="G1040" s="159"/>
      <c r="H1040" s="159"/>
      <c r="I1040" s="159"/>
      <c r="J1040" s="159"/>
      <c r="K1040" s="159"/>
      <c r="L1040" s="159"/>
      <c r="M1040" s="159"/>
      <c r="N1040" s="159"/>
      <c r="O1040" s="159"/>
      <c r="P1040" s="159"/>
      <c r="Q1040" s="159"/>
      <c r="R1040" s="159"/>
      <c r="S1040" s="159"/>
      <c r="T1040" s="159"/>
      <c r="U1040" s="159"/>
      <c r="V1040" s="159"/>
      <c r="W1040" s="159"/>
      <c r="X1040" s="159"/>
      <c r="Y1040" s="159"/>
      <c r="Z1040" s="159"/>
      <c r="AA1040" s="159"/>
      <c r="AB1040" s="159"/>
      <c r="AC1040" s="159"/>
      <c r="AD1040" s="159"/>
      <c r="AE1040" s="159"/>
    </row>
    <row r="1041">
      <c r="A1041" s="159"/>
      <c r="B1041" s="159"/>
      <c r="C1041" s="159"/>
      <c r="D1041" s="159"/>
      <c r="E1041" s="159"/>
      <c r="F1041" s="159"/>
      <c r="G1041" s="159"/>
      <c r="H1041" s="159"/>
      <c r="I1041" s="159"/>
      <c r="J1041" s="159"/>
      <c r="K1041" s="159"/>
      <c r="L1041" s="159"/>
      <c r="M1041" s="159"/>
      <c r="N1041" s="159"/>
      <c r="O1041" s="159"/>
      <c r="P1041" s="159"/>
      <c r="Q1041" s="159"/>
      <c r="R1041" s="159"/>
      <c r="S1041" s="159"/>
      <c r="T1041" s="159"/>
      <c r="U1041" s="159"/>
      <c r="V1041" s="159"/>
      <c r="W1041" s="159"/>
      <c r="X1041" s="159"/>
      <c r="Y1041" s="159"/>
      <c r="Z1041" s="159"/>
      <c r="AA1041" s="159"/>
      <c r="AB1041" s="159"/>
      <c r="AC1041" s="159"/>
      <c r="AD1041" s="159"/>
      <c r="AE1041" s="159"/>
    </row>
    <row r="1042">
      <c r="A1042" s="159"/>
      <c r="B1042" s="159"/>
      <c r="C1042" s="159"/>
      <c r="D1042" s="159"/>
      <c r="E1042" s="159"/>
      <c r="F1042" s="159"/>
      <c r="G1042" s="159"/>
      <c r="H1042" s="159"/>
      <c r="I1042" s="159"/>
      <c r="J1042" s="159"/>
      <c r="K1042" s="159"/>
      <c r="L1042" s="159"/>
      <c r="M1042" s="159"/>
      <c r="N1042" s="159"/>
      <c r="O1042" s="159"/>
      <c r="P1042" s="159"/>
      <c r="Q1042" s="159"/>
      <c r="R1042" s="159"/>
      <c r="S1042" s="159"/>
      <c r="T1042" s="159"/>
      <c r="U1042" s="159"/>
      <c r="V1042" s="159"/>
      <c r="W1042" s="159"/>
      <c r="X1042" s="159"/>
      <c r="Y1042" s="159"/>
      <c r="Z1042" s="159"/>
      <c r="AA1042" s="159"/>
      <c r="AB1042" s="159"/>
      <c r="AC1042" s="159"/>
      <c r="AD1042" s="159"/>
      <c r="AE1042" s="159"/>
    </row>
    <row r="1043">
      <c r="A1043" s="159"/>
      <c r="B1043" s="159"/>
      <c r="C1043" s="159"/>
      <c r="D1043" s="159"/>
      <c r="E1043" s="159"/>
      <c r="F1043" s="159"/>
      <c r="G1043" s="159"/>
      <c r="H1043" s="159"/>
      <c r="I1043" s="159"/>
      <c r="J1043" s="159"/>
      <c r="K1043" s="159"/>
      <c r="L1043" s="159"/>
      <c r="M1043" s="159"/>
      <c r="N1043" s="159"/>
      <c r="O1043" s="159"/>
      <c r="P1043" s="159"/>
      <c r="Q1043" s="159"/>
      <c r="R1043" s="159"/>
      <c r="S1043" s="159"/>
      <c r="T1043" s="159"/>
      <c r="U1043" s="159"/>
      <c r="V1043" s="159"/>
      <c r="W1043" s="159"/>
      <c r="X1043" s="159"/>
      <c r="Y1043" s="159"/>
      <c r="Z1043" s="159"/>
      <c r="AA1043" s="159"/>
      <c r="AB1043" s="159"/>
      <c r="AC1043" s="159"/>
      <c r="AD1043" s="159"/>
      <c r="AE1043" s="159"/>
    </row>
    <row r="1044">
      <c r="A1044" s="159"/>
      <c r="B1044" s="159"/>
      <c r="C1044" s="159"/>
      <c r="D1044" s="159"/>
      <c r="E1044" s="159"/>
      <c r="F1044" s="159"/>
      <c r="G1044" s="159"/>
      <c r="H1044" s="159"/>
      <c r="I1044" s="159"/>
      <c r="J1044" s="159"/>
      <c r="K1044" s="159"/>
      <c r="L1044" s="159"/>
      <c r="M1044" s="159"/>
      <c r="N1044" s="159"/>
      <c r="O1044" s="159"/>
      <c r="P1044" s="159"/>
      <c r="Q1044" s="159"/>
      <c r="R1044" s="159"/>
      <c r="S1044" s="159"/>
      <c r="T1044" s="159"/>
      <c r="U1044" s="159"/>
      <c r="V1044" s="159"/>
      <c r="W1044" s="159"/>
      <c r="X1044" s="159"/>
      <c r="Y1044" s="159"/>
      <c r="Z1044" s="159"/>
      <c r="AA1044" s="159"/>
      <c r="AB1044" s="159"/>
      <c r="AC1044" s="159"/>
      <c r="AD1044" s="159"/>
      <c r="AE1044" s="159"/>
    </row>
    <row r="1045">
      <c r="A1045" s="159"/>
      <c r="B1045" s="159"/>
      <c r="C1045" s="159"/>
      <c r="D1045" s="159"/>
      <c r="E1045" s="159"/>
      <c r="F1045" s="159"/>
      <c r="G1045" s="159"/>
      <c r="H1045" s="159"/>
      <c r="I1045" s="159"/>
      <c r="J1045" s="159"/>
      <c r="K1045" s="159"/>
      <c r="L1045" s="159"/>
      <c r="M1045" s="159"/>
      <c r="N1045" s="159"/>
      <c r="O1045" s="159"/>
      <c r="P1045" s="159"/>
      <c r="Q1045" s="159"/>
      <c r="R1045" s="159"/>
      <c r="S1045" s="159"/>
      <c r="T1045" s="159"/>
      <c r="U1045" s="159"/>
      <c r="V1045" s="159"/>
      <c r="W1045" s="159"/>
      <c r="X1045" s="159"/>
      <c r="Y1045" s="159"/>
      <c r="Z1045" s="159"/>
      <c r="AA1045" s="159"/>
      <c r="AB1045" s="159"/>
      <c r="AC1045" s="159"/>
      <c r="AD1045" s="159"/>
      <c r="AE1045" s="159"/>
    </row>
    <row r="1046">
      <c r="A1046" s="159"/>
      <c r="B1046" s="159"/>
      <c r="C1046" s="159"/>
      <c r="D1046" s="159"/>
      <c r="E1046" s="159"/>
      <c r="F1046" s="159"/>
      <c r="G1046" s="159"/>
      <c r="H1046" s="159"/>
      <c r="I1046" s="159"/>
      <c r="J1046" s="159"/>
      <c r="K1046" s="159"/>
      <c r="L1046" s="159"/>
      <c r="M1046" s="159"/>
      <c r="N1046" s="159"/>
      <c r="O1046" s="159"/>
      <c r="P1046" s="159"/>
      <c r="Q1046" s="159"/>
      <c r="R1046" s="159"/>
      <c r="S1046" s="159"/>
      <c r="T1046" s="159"/>
      <c r="U1046" s="159"/>
      <c r="V1046" s="159"/>
      <c r="W1046" s="159"/>
      <c r="X1046" s="159"/>
      <c r="Y1046" s="159"/>
      <c r="Z1046" s="159"/>
      <c r="AA1046" s="159"/>
      <c r="AB1046" s="159"/>
      <c r="AC1046" s="159"/>
      <c r="AD1046" s="159"/>
      <c r="AE1046" s="159"/>
    </row>
    <row r="1047">
      <c r="A1047" s="159"/>
      <c r="B1047" s="159"/>
      <c r="C1047" s="159"/>
      <c r="D1047" s="159"/>
      <c r="E1047" s="159"/>
      <c r="F1047" s="159"/>
      <c r="G1047" s="159"/>
      <c r="H1047" s="159"/>
      <c r="I1047" s="159"/>
      <c r="J1047" s="159"/>
      <c r="K1047" s="159"/>
      <c r="L1047" s="159"/>
      <c r="M1047" s="159"/>
      <c r="N1047" s="159"/>
      <c r="O1047" s="159"/>
      <c r="P1047" s="159"/>
      <c r="Q1047" s="159"/>
      <c r="R1047" s="159"/>
      <c r="S1047" s="159"/>
      <c r="T1047" s="159"/>
      <c r="U1047" s="159"/>
      <c r="V1047" s="159"/>
      <c r="W1047" s="159"/>
      <c r="X1047" s="159"/>
      <c r="Y1047" s="159"/>
      <c r="Z1047" s="159"/>
      <c r="AA1047" s="159"/>
      <c r="AB1047" s="159"/>
      <c r="AC1047" s="159"/>
      <c r="AD1047" s="159"/>
      <c r="AE1047" s="159"/>
    </row>
    <row r="1048">
      <c r="A1048" s="159"/>
      <c r="B1048" s="159"/>
      <c r="C1048" s="159"/>
      <c r="D1048" s="159"/>
      <c r="E1048" s="159"/>
      <c r="F1048" s="159"/>
      <c r="G1048" s="159"/>
      <c r="H1048" s="159"/>
      <c r="I1048" s="159"/>
      <c r="J1048" s="159"/>
      <c r="K1048" s="159"/>
      <c r="L1048" s="159"/>
      <c r="M1048" s="159"/>
      <c r="N1048" s="159"/>
      <c r="O1048" s="159"/>
      <c r="P1048" s="159"/>
      <c r="Q1048" s="159"/>
      <c r="R1048" s="159"/>
      <c r="S1048" s="159"/>
      <c r="T1048" s="159"/>
      <c r="U1048" s="159"/>
      <c r="V1048" s="159"/>
      <c r="W1048" s="159"/>
      <c r="X1048" s="159"/>
      <c r="Y1048" s="159"/>
      <c r="Z1048" s="159"/>
      <c r="AA1048" s="159"/>
      <c r="AB1048" s="159"/>
      <c r="AC1048" s="159"/>
      <c r="AD1048" s="159"/>
      <c r="AE1048" s="159"/>
    </row>
    <row r="1049">
      <c r="A1049" s="159"/>
      <c r="B1049" s="159"/>
      <c r="C1049" s="159"/>
      <c r="D1049" s="159"/>
      <c r="E1049" s="159"/>
      <c r="F1049" s="159"/>
      <c r="G1049" s="159"/>
      <c r="H1049" s="159"/>
      <c r="I1049" s="159"/>
      <c r="J1049" s="159"/>
      <c r="K1049" s="159"/>
      <c r="L1049" s="159"/>
      <c r="M1049" s="159"/>
      <c r="N1049" s="159"/>
      <c r="O1049" s="159"/>
      <c r="P1049" s="159"/>
      <c r="Q1049" s="159"/>
      <c r="R1049" s="159"/>
      <c r="S1049" s="159"/>
      <c r="T1049" s="159"/>
      <c r="U1049" s="159"/>
      <c r="V1049" s="159"/>
      <c r="W1049" s="159"/>
      <c r="X1049" s="159"/>
      <c r="Y1049" s="159"/>
      <c r="Z1049" s="159"/>
      <c r="AA1049" s="159"/>
      <c r="AB1049" s="159"/>
      <c r="AC1049" s="159"/>
      <c r="AD1049" s="159"/>
      <c r="AE1049" s="159"/>
    </row>
    <row r="1050">
      <c r="A1050" s="159"/>
      <c r="B1050" s="159"/>
      <c r="C1050" s="159"/>
      <c r="D1050" s="159"/>
      <c r="E1050" s="159"/>
      <c r="F1050" s="159"/>
      <c r="G1050" s="159"/>
      <c r="H1050" s="159"/>
      <c r="I1050" s="159"/>
      <c r="J1050" s="159"/>
      <c r="K1050" s="159"/>
      <c r="L1050" s="159"/>
      <c r="M1050" s="159"/>
      <c r="N1050" s="159"/>
      <c r="O1050" s="159"/>
      <c r="P1050" s="159"/>
      <c r="Q1050" s="159"/>
      <c r="R1050" s="159"/>
      <c r="S1050" s="159"/>
      <c r="T1050" s="159"/>
      <c r="U1050" s="159"/>
      <c r="V1050" s="159"/>
      <c r="W1050" s="159"/>
      <c r="X1050" s="159"/>
      <c r="Y1050" s="159"/>
      <c r="Z1050" s="159"/>
      <c r="AA1050" s="159"/>
      <c r="AB1050" s="159"/>
      <c r="AC1050" s="159"/>
      <c r="AD1050" s="159"/>
      <c r="AE1050" s="159"/>
    </row>
    <row r="1051">
      <c r="A1051" s="159"/>
      <c r="B1051" s="159"/>
      <c r="C1051" s="159"/>
      <c r="D1051" s="159"/>
      <c r="E1051" s="159"/>
      <c r="F1051" s="159"/>
      <c r="G1051" s="159"/>
      <c r="H1051" s="159"/>
      <c r="I1051" s="159"/>
      <c r="J1051" s="159"/>
      <c r="K1051" s="159"/>
      <c r="L1051" s="159"/>
      <c r="M1051" s="159"/>
      <c r="N1051" s="159"/>
      <c r="O1051" s="159"/>
      <c r="P1051" s="159"/>
      <c r="Q1051" s="159"/>
      <c r="R1051" s="159"/>
      <c r="S1051" s="159"/>
      <c r="T1051" s="159"/>
      <c r="U1051" s="159"/>
      <c r="V1051" s="159"/>
      <c r="W1051" s="159"/>
      <c r="X1051" s="159"/>
      <c r="Y1051" s="159"/>
      <c r="Z1051" s="159"/>
      <c r="AA1051" s="159"/>
      <c r="AB1051" s="159"/>
      <c r="AC1051" s="159"/>
      <c r="AD1051" s="159"/>
      <c r="AE1051" s="159"/>
    </row>
    <row r="1052">
      <c r="A1052" s="159"/>
      <c r="B1052" s="159"/>
      <c r="C1052" s="159"/>
      <c r="D1052" s="159"/>
      <c r="E1052" s="159"/>
      <c r="F1052" s="159"/>
      <c r="G1052" s="159"/>
      <c r="H1052" s="159"/>
      <c r="I1052" s="159"/>
      <c r="J1052" s="159"/>
      <c r="K1052" s="159"/>
      <c r="L1052" s="159"/>
      <c r="M1052" s="159"/>
      <c r="N1052" s="159"/>
      <c r="O1052" s="159"/>
      <c r="P1052" s="159"/>
      <c r="Q1052" s="159"/>
      <c r="R1052" s="159"/>
      <c r="S1052" s="159"/>
      <c r="T1052" s="159"/>
      <c r="U1052" s="159"/>
      <c r="V1052" s="159"/>
      <c r="W1052" s="159"/>
      <c r="X1052" s="159"/>
      <c r="Y1052" s="159"/>
      <c r="Z1052" s="159"/>
      <c r="AA1052" s="159"/>
      <c r="AB1052" s="159"/>
      <c r="AC1052" s="159"/>
      <c r="AD1052" s="159"/>
      <c r="AE1052" s="159"/>
    </row>
    <row r="1053">
      <c r="A1053" s="159"/>
      <c r="B1053" s="159"/>
      <c r="C1053" s="159"/>
      <c r="D1053" s="159"/>
      <c r="E1053" s="159"/>
      <c r="F1053" s="159"/>
      <c r="G1053" s="159"/>
      <c r="H1053" s="159"/>
      <c r="I1053" s="159"/>
      <c r="J1053" s="159"/>
      <c r="K1053" s="159"/>
      <c r="L1053" s="159"/>
      <c r="M1053" s="159"/>
      <c r="N1053" s="159"/>
      <c r="O1053" s="159"/>
      <c r="P1053" s="159"/>
      <c r="Q1053" s="159"/>
      <c r="R1053" s="159"/>
      <c r="S1053" s="159"/>
      <c r="T1053" s="159"/>
      <c r="U1053" s="159"/>
      <c r="V1053" s="159"/>
      <c r="W1053" s="159"/>
      <c r="X1053" s="159"/>
      <c r="Y1053" s="159"/>
      <c r="Z1053" s="159"/>
      <c r="AA1053" s="159"/>
      <c r="AB1053" s="159"/>
      <c r="AC1053" s="159"/>
      <c r="AD1053" s="159"/>
      <c r="AE1053" s="159"/>
    </row>
    <row r="1054">
      <c r="A1054" s="159"/>
      <c r="B1054" s="159"/>
      <c r="C1054" s="159"/>
      <c r="D1054" s="159"/>
      <c r="E1054" s="159"/>
      <c r="F1054" s="159"/>
      <c r="G1054" s="159"/>
      <c r="H1054" s="159"/>
      <c r="I1054" s="159"/>
      <c r="J1054" s="159"/>
      <c r="K1054" s="159"/>
      <c r="L1054" s="159"/>
      <c r="M1054" s="159"/>
      <c r="N1054" s="159"/>
      <c r="O1054" s="159"/>
      <c r="P1054" s="159"/>
      <c r="Q1054" s="159"/>
      <c r="R1054" s="159"/>
      <c r="S1054" s="159"/>
      <c r="T1054" s="159"/>
      <c r="U1054" s="159"/>
      <c r="V1054" s="159"/>
      <c r="W1054" s="159"/>
      <c r="X1054" s="159"/>
      <c r="Y1054" s="159"/>
      <c r="Z1054" s="159"/>
      <c r="AA1054" s="159"/>
      <c r="AB1054" s="159"/>
      <c r="AC1054" s="159"/>
      <c r="AD1054" s="159"/>
      <c r="AE1054" s="159"/>
    </row>
    <row r="1055">
      <c r="A1055" s="159"/>
      <c r="B1055" s="159"/>
      <c r="C1055" s="159"/>
      <c r="D1055" s="159"/>
      <c r="E1055" s="159"/>
      <c r="F1055" s="159"/>
      <c r="G1055" s="159"/>
      <c r="H1055" s="159"/>
      <c r="I1055" s="159"/>
      <c r="J1055" s="159"/>
      <c r="K1055" s="159"/>
      <c r="L1055" s="159"/>
      <c r="M1055" s="159"/>
      <c r="N1055" s="159"/>
      <c r="O1055" s="159"/>
      <c r="P1055" s="159"/>
      <c r="Q1055" s="159"/>
      <c r="R1055" s="159"/>
      <c r="S1055" s="159"/>
      <c r="T1055" s="159"/>
      <c r="U1055" s="159"/>
      <c r="V1055" s="159"/>
      <c r="W1055" s="159"/>
      <c r="X1055" s="159"/>
      <c r="Y1055" s="159"/>
      <c r="Z1055" s="159"/>
      <c r="AA1055" s="159"/>
      <c r="AB1055" s="159"/>
      <c r="AC1055" s="159"/>
      <c r="AD1055" s="159"/>
      <c r="AE1055" s="159"/>
    </row>
    <row r="1056">
      <c r="A1056" s="159"/>
      <c r="B1056" s="159"/>
      <c r="C1056" s="159"/>
      <c r="D1056" s="159"/>
      <c r="E1056" s="159"/>
      <c r="F1056" s="159"/>
      <c r="G1056" s="159"/>
      <c r="H1056" s="159"/>
      <c r="I1056" s="159"/>
      <c r="J1056" s="159"/>
      <c r="K1056" s="159"/>
      <c r="L1056" s="159"/>
      <c r="M1056" s="159"/>
      <c r="N1056" s="159"/>
      <c r="O1056" s="159"/>
      <c r="P1056" s="159"/>
      <c r="Q1056" s="159"/>
      <c r="R1056" s="159"/>
      <c r="S1056" s="159"/>
      <c r="T1056" s="159"/>
      <c r="U1056" s="159"/>
      <c r="V1056" s="159"/>
      <c r="W1056" s="159"/>
      <c r="X1056" s="159"/>
      <c r="Y1056" s="159"/>
      <c r="Z1056" s="159"/>
      <c r="AA1056" s="159"/>
      <c r="AB1056" s="159"/>
      <c r="AC1056" s="159"/>
      <c r="AD1056" s="159"/>
      <c r="AE1056" s="159"/>
    </row>
    <row r="1057">
      <c r="A1057" s="159"/>
      <c r="B1057" s="159"/>
      <c r="C1057" s="159"/>
      <c r="D1057" s="159"/>
      <c r="E1057" s="159"/>
      <c r="F1057" s="159"/>
      <c r="G1057" s="159"/>
      <c r="H1057" s="159"/>
      <c r="I1057" s="159"/>
      <c r="J1057" s="159"/>
      <c r="K1057" s="159"/>
      <c r="L1057" s="159"/>
      <c r="M1057" s="159"/>
      <c r="N1057" s="159"/>
      <c r="O1057" s="159"/>
      <c r="P1057" s="159"/>
      <c r="Q1057" s="159"/>
      <c r="R1057" s="159"/>
      <c r="S1057" s="159"/>
      <c r="T1057" s="159"/>
      <c r="U1057" s="159"/>
      <c r="V1057" s="159"/>
      <c r="W1057" s="159"/>
      <c r="X1057" s="159"/>
      <c r="Y1057" s="159"/>
      <c r="Z1057" s="159"/>
      <c r="AA1057" s="159"/>
      <c r="AB1057" s="159"/>
      <c r="AC1057" s="159"/>
      <c r="AD1057" s="159"/>
      <c r="AE1057" s="159"/>
    </row>
    <row r="1058">
      <c r="A1058" s="159"/>
      <c r="B1058" s="159"/>
      <c r="C1058" s="159"/>
      <c r="D1058" s="159"/>
      <c r="E1058" s="159"/>
      <c r="F1058" s="159"/>
      <c r="G1058" s="159"/>
      <c r="H1058" s="159"/>
      <c r="I1058" s="159"/>
      <c r="J1058" s="159"/>
      <c r="K1058" s="159"/>
      <c r="L1058" s="159"/>
      <c r="M1058" s="159"/>
      <c r="N1058" s="159"/>
      <c r="O1058" s="159"/>
      <c r="P1058" s="159"/>
      <c r="Q1058" s="159"/>
      <c r="R1058" s="159"/>
      <c r="S1058" s="159"/>
      <c r="T1058" s="159"/>
      <c r="U1058" s="159"/>
      <c r="V1058" s="159"/>
      <c r="W1058" s="159"/>
      <c r="X1058" s="159"/>
      <c r="Y1058" s="159"/>
      <c r="Z1058" s="159"/>
      <c r="AA1058" s="159"/>
      <c r="AB1058" s="159"/>
      <c r="AC1058" s="159"/>
      <c r="AD1058" s="159"/>
      <c r="AE1058" s="159"/>
    </row>
    <row r="1059">
      <c r="A1059" s="159"/>
      <c r="B1059" s="159"/>
      <c r="C1059" s="159"/>
      <c r="D1059" s="159"/>
      <c r="E1059" s="159"/>
      <c r="F1059" s="159"/>
      <c r="G1059" s="159"/>
      <c r="H1059" s="159"/>
      <c r="I1059" s="159"/>
      <c r="J1059" s="159"/>
      <c r="K1059" s="159"/>
      <c r="L1059" s="159"/>
      <c r="M1059" s="159"/>
      <c r="N1059" s="159"/>
      <c r="O1059" s="159"/>
      <c r="P1059" s="159"/>
      <c r="Q1059" s="159"/>
      <c r="R1059" s="159"/>
      <c r="S1059" s="159"/>
      <c r="T1059" s="159"/>
      <c r="U1059" s="159"/>
      <c r="V1059" s="159"/>
      <c r="W1059" s="159"/>
      <c r="X1059" s="159"/>
      <c r="Y1059" s="159"/>
      <c r="Z1059" s="159"/>
      <c r="AA1059" s="159"/>
      <c r="AB1059" s="159"/>
      <c r="AC1059" s="159"/>
      <c r="AD1059" s="159"/>
      <c r="AE1059" s="159"/>
    </row>
    <row r="1060">
      <c r="A1060" s="159"/>
      <c r="B1060" s="159"/>
      <c r="C1060" s="159"/>
      <c r="D1060" s="159"/>
      <c r="E1060" s="159"/>
      <c r="F1060" s="159"/>
      <c r="G1060" s="159"/>
      <c r="H1060" s="159"/>
      <c r="I1060" s="159"/>
      <c r="J1060" s="159"/>
      <c r="K1060" s="159"/>
      <c r="L1060" s="159"/>
      <c r="M1060" s="159"/>
      <c r="N1060" s="159"/>
      <c r="O1060" s="159"/>
      <c r="P1060" s="159"/>
      <c r="Q1060" s="159"/>
      <c r="R1060" s="159"/>
      <c r="S1060" s="159"/>
      <c r="T1060" s="159"/>
      <c r="U1060" s="159"/>
      <c r="V1060" s="159"/>
      <c r="W1060" s="159"/>
      <c r="X1060" s="159"/>
      <c r="Y1060" s="159"/>
      <c r="Z1060" s="159"/>
      <c r="AA1060" s="159"/>
      <c r="AB1060" s="159"/>
      <c r="AC1060" s="159"/>
      <c r="AD1060" s="159"/>
      <c r="AE1060" s="159"/>
    </row>
    <row r="1061">
      <c r="A1061" s="159"/>
      <c r="B1061" s="159"/>
      <c r="C1061" s="159"/>
      <c r="D1061" s="159"/>
      <c r="E1061" s="159"/>
      <c r="F1061" s="159"/>
      <c r="G1061" s="159"/>
      <c r="H1061" s="159"/>
      <c r="I1061" s="159"/>
      <c r="J1061" s="159"/>
      <c r="K1061" s="159"/>
      <c r="L1061" s="159"/>
      <c r="M1061" s="159"/>
      <c r="N1061" s="159"/>
      <c r="O1061" s="159"/>
      <c r="P1061" s="159"/>
      <c r="Q1061" s="159"/>
      <c r="R1061" s="159"/>
      <c r="S1061" s="159"/>
      <c r="T1061" s="159"/>
      <c r="U1061" s="159"/>
      <c r="V1061" s="159"/>
      <c r="W1061" s="159"/>
      <c r="X1061" s="159"/>
      <c r="Y1061" s="159"/>
      <c r="Z1061" s="159"/>
      <c r="AA1061" s="159"/>
      <c r="AB1061" s="159"/>
      <c r="AC1061" s="159"/>
      <c r="AD1061" s="159"/>
      <c r="AE1061" s="159"/>
    </row>
    <row r="1062">
      <c r="A1062" s="159"/>
      <c r="B1062" s="159"/>
      <c r="C1062" s="159"/>
      <c r="D1062" s="159"/>
      <c r="E1062" s="159"/>
      <c r="F1062" s="159"/>
      <c r="G1062" s="159"/>
      <c r="H1062" s="159"/>
      <c r="I1062" s="159"/>
      <c r="J1062" s="159"/>
      <c r="K1062" s="159"/>
      <c r="L1062" s="159"/>
      <c r="M1062" s="159"/>
      <c r="N1062" s="159"/>
      <c r="O1062" s="159"/>
      <c r="P1062" s="159"/>
      <c r="Q1062" s="159"/>
      <c r="R1062" s="159"/>
      <c r="S1062" s="159"/>
      <c r="T1062" s="159"/>
      <c r="U1062" s="159"/>
      <c r="V1062" s="159"/>
      <c r="W1062" s="159"/>
      <c r="X1062" s="159"/>
      <c r="Y1062" s="159"/>
      <c r="Z1062" s="159"/>
      <c r="AA1062" s="159"/>
      <c r="AB1062" s="159"/>
      <c r="AC1062" s="159"/>
      <c r="AD1062" s="159"/>
      <c r="AE1062" s="159"/>
    </row>
    <row r="1063">
      <c r="A1063" s="159"/>
      <c r="B1063" s="159"/>
      <c r="C1063" s="159"/>
      <c r="D1063" s="159"/>
      <c r="E1063" s="159"/>
      <c r="F1063" s="159"/>
      <c r="G1063" s="159"/>
      <c r="H1063" s="159"/>
      <c r="I1063" s="159"/>
      <c r="J1063" s="159"/>
      <c r="K1063" s="159"/>
      <c r="L1063" s="159"/>
      <c r="M1063" s="159"/>
      <c r="N1063" s="159"/>
      <c r="O1063" s="159"/>
      <c r="P1063" s="159"/>
      <c r="Q1063" s="159"/>
      <c r="R1063" s="159"/>
      <c r="S1063" s="159"/>
      <c r="T1063" s="159"/>
      <c r="U1063" s="159"/>
      <c r="V1063" s="159"/>
      <c r="W1063" s="159"/>
      <c r="X1063" s="159"/>
      <c r="Y1063" s="159"/>
      <c r="Z1063" s="159"/>
      <c r="AA1063" s="159"/>
      <c r="AB1063" s="159"/>
      <c r="AC1063" s="159"/>
      <c r="AD1063" s="159"/>
      <c r="AE1063" s="159"/>
    </row>
    <row r="1064">
      <c r="A1064" s="159"/>
      <c r="B1064" s="159"/>
      <c r="C1064" s="159"/>
      <c r="D1064" s="159"/>
      <c r="E1064" s="159"/>
      <c r="F1064" s="159"/>
      <c r="G1064" s="159"/>
      <c r="H1064" s="159"/>
      <c r="I1064" s="159"/>
      <c r="J1064" s="159"/>
      <c r="K1064" s="159"/>
      <c r="L1064" s="159"/>
      <c r="M1064" s="159"/>
      <c r="N1064" s="159"/>
      <c r="O1064" s="159"/>
      <c r="P1064" s="159"/>
      <c r="Q1064" s="159"/>
      <c r="R1064" s="159"/>
      <c r="S1064" s="159"/>
      <c r="T1064" s="159"/>
      <c r="U1064" s="159"/>
      <c r="V1064" s="159"/>
      <c r="W1064" s="159"/>
      <c r="X1064" s="159"/>
      <c r="Y1064" s="159"/>
      <c r="Z1064" s="159"/>
      <c r="AA1064" s="159"/>
      <c r="AB1064" s="159"/>
      <c r="AC1064" s="159"/>
      <c r="AD1064" s="159"/>
      <c r="AE1064" s="159"/>
    </row>
    <row r="1065">
      <c r="A1065" s="159"/>
      <c r="B1065" s="159"/>
      <c r="C1065" s="159"/>
      <c r="D1065" s="159"/>
      <c r="E1065" s="159"/>
      <c r="F1065" s="159"/>
      <c r="G1065" s="159"/>
      <c r="H1065" s="159"/>
      <c r="I1065" s="159"/>
      <c r="J1065" s="159"/>
      <c r="K1065" s="159"/>
      <c r="L1065" s="159"/>
      <c r="M1065" s="159"/>
      <c r="N1065" s="159"/>
      <c r="O1065" s="159"/>
      <c r="P1065" s="159"/>
      <c r="Q1065" s="159"/>
      <c r="R1065" s="159"/>
      <c r="S1065" s="159"/>
      <c r="T1065" s="159"/>
      <c r="U1065" s="159"/>
      <c r="V1065" s="159"/>
      <c r="W1065" s="159"/>
      <c r="X1065" s="159"/>
      <c r="Y1065" s="159"/>
      <c r="Z1065" s="159"/>
      <c r="AA1065" s="159"/>
      <c r="AB1065" s="159"/>
      <c r="AC1065" s="159"/>
      <c r="AD1065" s="159"/>
      <c r="AE1065" s="159"/>
    </row>
    <row r="1066">
      <c r="A1066" s="159"/>
      <c r="B1066" s="159"/>
      <c r="C1066" s="159"/>
      <c r="D1066" s="159"/>
      <c r="E1066" s="159"/>
      <c r="F1066" s="159"/>
      <c r="G1066" s="159"/>
      <c r="H1066" s="159"/>
      <c r="I1066" s="159"/>
      <c r="J1066" s="159"/>
      <c r="K1066" s="159"/>
      <c r="L1066" s="159"/>
      <c r="M1066" s="159"/>
      <c r="N1066" s="159"/>
      <c r="O1066" s="159"/>
      <c r="P1066" s="159"/>
      <c r="Q1066" s="159"/>
      <c r="R1066" s="159"/>
      <c r="S1066" s="159"/>
      <c r="T1066" s="159"/>
      <c r="U1066" s="159"/>
      <c r="V1066" s="159"/>
      <c r="W1066" s="159"/>
      <c r="X1066" s="159"/>
      <c r="Y1066" s="159"/>
      <c r="Z1066" s="159"/>
      <c r="AA1066" s="159"/>
      <c r="AB1066" s="159"/>
      <c r="AC1066" s="159"/>
      <c r="AD1066" s="159"/>
      <c r="AE1066" s="159"/>
    </row>
    <row r="1067">
      <c r="A1067" s="159"/>
      <c r="B1067" s="159"/>
      <c r="C1067" s="159"/>
      <c r="D1067" s="159"/>
      <c r="E1067" s="159"/>
      <c r="F1067" s="159"/>
      <c r="G1067" s="159"/>
      <c r="H1067" s="159"/>
      <c r="I1067" s="159"/>
      <c r="J1067" s="159"/>
      <c r="K1067" s="159"/>
      <c r="L1067" s="159"/>
      <c r="M1067" s="159"/>
      <c r="N1067" s="159"/>
      <c r="O1067" s="159"/>
      <c r="P1067" s="159"/>
      <c r="Q1067" s="159"/>
      <c r="R1067" s="159"/>
      <c r="S1067" s="159"/>
      <c r="T1067" s="159"/>
      <c r="U1067" s="159"/>
      <c r="V1067" s="159"/>
      <c r="W1067" s="159"/>
      <c r="X1067" s="159"/>
      <c r="Y1067" s="159"/>
      <c r="Z1067" s="159"/>
      <c r="AA1067" s="159"/>
      <c r="AB1067" s="159"/>
      <c r="AC1067" s="159"/>
      <c r="AD1067" s="159"/>
      <c r="AE1067" s="159"/>
    </row>
    <row r="1068">
      <c r="A1068" s="159"/>
      <c r="B1068" s="159"/>
      <c r="C1068" s="159"/>
      <c r="D1068" s="159"/>
      <c r="E1068" s="159"/>
      <c r="F1068" s="159"/>
      <c r="G1068" s="159"/>
      <c r="H1068" s="159"/>
      <c r="I1068" s="159"/>
      <c r="J1068" s="159"/>
      <c r="K1068" s="159"/>
      <c r="L1068" s="159"/>
      <c r="M1068" s="159"/>
      <c r="N1068" s="159"/>
      <c r="O1068" s="159"/>
      <c r="P1068" s="159"/>
      <c r="Q1068" s="159"/>
      <c r="R1068" s="159"/>
      <c r="S1068" s="159"/>
      <c r="T1068" s="159"/>
      <c r="U1068" s="159"/>
      <c r="V1068" s="159"/>
      <c r="W1068" s="159"/>
      <c r="X1068" s="159"/>
      <c r="Y1068" s="159"/>
      <c r="Z1068" s="159"/>
      <c r="AA1068" s="159"/>
      <c r="AB1068" s="159"/>
      <c r="AC1068" s="159"/>
      <c r="AD1068" s="159"/>
      <c r="AE1068" s="159"/>
    </row>
    <row r="1069">
      <c r="A1069" s="159"/>
      <c r="B1069" s="159"/>
      <c r="C1069" s="159"/>
      <c r="D1069" s="159"/>
      <c r="E1069" s="159"/>
      <c r="F1069" s="159"/>
      <c r="G1069" s="159"/>
      <c r="H1069" s="159"/>
      <c r="I1069" s="159"/>
      <c r="J1069" s="159"/>
      <c r="K1069" s="159"/>
      <c r="L1069" s="159"/>
      <c r="M1069" s="159"/>
      <c r="N1069" s="159"/>
      <c r="O1069" s="159"/>
      <c r="P1069" s="159"/>
      <c r="Q1069" s="159"/>
      <c r="R1069" s="159"/>
      <c r="S1069" s="159"/>
      <c r="T1069" s="159"/>
      <c r="U1069" s="159"/>
      <c r="V1069" s="159"/>
      <c r="W1069" s="159"/>
      <c r="X1069" s="159"/>
      <c r="Y1069" s="159"/>
      <c r="Z1069" s="159"/>
      <c r="AA1069" s="159"/>
      <c r="AB1069" s="159"/>
      <c r="AC1069" s="159"/>
      <c r="AD1069" s="159"/>
      <c r="AE1069" s="159"/>
    </row>
    <row r="1070">
      <c r="A1070" s="159"/>
      <c r="B1070" s="159"/>
      <c r="C1070" s="159"/>
      <c r="D1070" s="159"/>
      <c r="E1070" s="159"/>
      <c r="F1070" s="159"/>
      <c r="G1070" s="159"/>
      <c r="H1070" s="159"/>
      <c r="I1070" s="159"/>
      <c r="J1070" s="159"/>
      <c r="K1070" s="159"/>
      <c r="L1070" s="159"/>
      <c r="M1070" s="159"/>
      <c r="N1070" s="159"/>
      <c r="O1070" s="159"/>
      <c r="P1070" s="159"/>
      <c r="Q1070" s="159"/>
      <c r="R1070" s="159"/>
      <c r="S1070" s="159"/>
      <c r="T1070" s="159"/>
      <c r="U1070" s="159"/>
      <c r="V1070" s="159"/>
      <c r="W1070" s="159"/>
      <c r="X1070" s="159"/>
      <c r="Y1070" s="159"/>
      <c r="Z1070" s="159"/>
      <c r="AA1070" s="159"/>
      <c r="AB1070" s="159"/>
      <c r="AC1070" s="159"/>
      <c r="AD1070" s="159"/>
      <c r="AE1070" s="159"/>
    </row>
    <row r="1071">
      <c r="A1071" s="159"/>
      <c r="B1071" s="159"/>
      <c r="C1071" s="159"/>
      <c r="D1071" s="159"/>
      <c r="E1071" s="159"/>
      <c r="F1071" s="159"/>
      <c r="G1071" s="159"/>
      <c r="H1071" s="159"/>
      <c r="I1071" s="159"/>
      <c r="J1071" s="159"/>
      <c r="K1071" s="159"/>
      <c r="L1071" s="159"/>
      <c r="M1071" s="159"/>
      <c r="N1071" s="159"/>
      <c r="O1071" s="159"/>
      <c r="P1071" s="159"/>
      <c r="Q1071" s="159"/>
      <c r="R1071" s="159"/>
      <c r="S1071" s="159"/>
      <c r="T1071" s="159"/>
      <c r="U1071" s="159"/>
      <c r="V1071" s="159"/>
      <c r="W1071" s="159"/>
      <c r="X1071" s="159"/>
      <c r="Y1071" s="159"/>
      <c r="Z1071" s="159"/>
      <c r="AA1071" s="159"/>
      <c r="AB1071" s="159"/>
      <c r="AC1071" s="159"/>
      <c r="AD1071" s="159"/>
      <c r="AE1071" s="159"/>
    </row>
    <row r="1072">
      <c r="A1072" s="159"/>
      <c r="B1072" s="159"/>
      <c r="C1072" s="159"/>
      <c r="D1072" s="159"/>
      <c r="E1072" s="159"/>
      <c r="F1072" s="159"/>
      <c r="G1072" s="159"/>
      <c r="H1072" s="159"/>
      <c r="I1072" s="159"/>
      <c r="J1072" s="159"/>
      <c r="K1072" s="159"/>
      <c r="L1072" s="159"/>
      <c r="M1072" s="159"/>
      <c r="N1072" s="159"/>
      <c r="O1072" s="159"/>
      <c r="P1072" s="159"/>
      <c r="Q1072" s="159"/>
      <c r="R1072" s="159"/>
      <c r="S1072" s="159"/>
      <c r="T1072" s="159"/>
      <c r="U1072" s="159"/>
      <c r="V1072" s="159"/>
      <c r="W1072" s="159"/>
      <c r="X1072" s="159"/>
      <c r="Y1072" s="159"/>
      <c r="Z1072" s="159"/>
      <c r="AA1072" s="159"/>
      <c r="AB1072" s="159"/>
      <c r="AC1072" s="159"/>
      <c r="AD1072" s="159"/>
      <c r="AE1072" s="159"/>
    </row>
    <row r="1073">
      <c r="A1073" s="159"/>
      <c r="B1073" s="159"/>
      <c r="C1073" s="159"/>
      <c r="D1073" s="159"/>
      <c r="E1073" s="159"/>
      <c r="F1073" s="159"/>
      <c r="G1073" s="159"/>
      <c r="H1073" s="159"/>
      <c r="I1073" s="159"/>
      <c r="J1073" s="159"/>
      <c r="K1073" s="159"/>
      <c r="L1073" s="159"/>
      <c r="M1073" s="159"/>
      <c r="N1073" s="159"/>
      <c r="O1073" s="159"/>
      <c r="P1073" s="159"/>
      <c r="Q1073" s="159"/>
      <c r="R1073" s="159"/>
      <c r="S1073" s="159"/>
      <c r="T1073" s="159"/>
      <c r="U1073" s="159"/>
      <c r="V1073" s="159"/>
      <c r="W1073" s="159"/>
      <c r="X1073" s="159"/>
      <c r="Y1073" s="159"/>
      <c r="Z1073" s="159"/>
      <c r="AA1073" s="159"/>
      <c r="AB1073" s="159"/>
      <c r="AC1073" s="159"/>
      <c r="AD1073" s="159"/>
      <c r="AE1073" s="159"/>
    </row>
    <row r="1074">
      <c r="A1074" s="159"/>
      <c r="B1074" s="159"/>
      <c r="C1074" s="159"/>
      <c r="D1074" s="159"/>
      <c r="E1074" s="159"/>
      <c r="F1074" s="159"/>
      <c r="G1074" s="159"/>
      <c r="H1074" s="159"/>
      <c r="I1074" s="159"/>
      <c r="J1074" s="159"/>
      <c r="K1074" s="159"/>
      <c r="L1074" s="159"/>
      <c r="M1074" s="159"/>
      <c r="N1074" s="159"/>
      <c r="O1074" s="159"/>
      <c r="P1074" s="159"/>
      <c r="Q1074" s="159"/>
      <c r="R1074" s="159"/>
      <c r="S1074" s="159"/>
      <c r="T1074" s="159"/>
      <c r="U1074" s="159"/>
      <c r="V1074" s="159"/>
      <c r="W1074" s="159"/>
      <c r="X1074" s="159"/>
      <c r="Y1074" s="159"/>
      <c r="Z1074" s="159"/>
      <c r="AA1074" s="159"/>
      <c r="AB1074" s="159"/>
      <c r="AC1074" s="159"/>
      <c r="AD1074" s="159"/>
      <c r="AE1074" s="159"/>
    </row>
    <row r="1075">
      <c r="A1075" s="159"/>
      <c r="B1075" s="159"/>
      <c r="C1075" s="159"/>
      <c r="D1075" s="159"/>
      <c r="E1075" s="159"/>
      <c r="F1075" s="159"/>
      <c r="G1075" s="159"/>
      <c r="H1075" s="159"/>
      <c r="I1075" s="159"/>
      <c r="J1075" s="159"/>
      <c r="K1075" s="159"/>
      <c r="L1075" s="159"/>
      <c r="M1075" s="159"/>
      <c r="N1075" s="159"/>
      <c r="O1075" s="159"/>
      <c r="P1075" s="159"/>
      <c r="Q1075" s="159"/>
      <c r="R1075" s="159"/>
      <c r="S1075" s="159"/>
      <c r="T1075" s="159"/>
      <c r="U1075" s="159"/>
      <c r="V1075" s="159"/>
      <c r="W1075" s="159"/>
      <c r="X1075" s="159"/>
      <c r="Y1075" s="159"/>
      <c r="Z1075" s="159"/>
      <c r="AA1075" s="159"/>
      <c r="AB1075" s="159"/>
      <c r="AC1075" s="159"/>
      <c r="AD1075" s="159"/>
      <c r="AE1075" s="159"/>
    </row>
    <row r="1076">
      <c r="A1076" s="159"/>
      <c r="B1076" s="159"/>
      <c r="C1076" s="159"/>
      <c r="D1076" s="159"/>
      <c r="E1076" s="159"/>
      <c r="F1076" s="159"/>
      <c r="G1076" s="159"/>
      <c r="H1076" s="159"/>
      <c r="I1076" s="159"/>
      <c r="J1076" s="159"/>
      <c r="K1076" s="159"/>
      <c r="L1076" s="159"/>
      <c r="M1076" s="159"/>
      <c r="N1076" s="159"/>
      <c r="O1076" s="159"/>
      <c r="P1076" s="159"/>
      <c r="Q1076" s="159"/>
      <c r="R1076" s="159"/>
      <c r="S1076" s="159"/>
      <c r="T1076" s="159"/>
      <c r="U1076" s="159"/>
      <c r="V1076" s="159"/>
      <c r="W1076" s="159"/>
      <c r="X1076" s="159"/>
      <c r="Y1076" s="159"/>
      <c r="Z1076" s="159"/>
      <c r="AA1076" s="159"/>
      <c r="AB1076" s="159"/>
      <c r="AC1076" s="159"/>
      <c r="AD1076" s="159"/>
      <c r="AE1076" s="159"/>
    </row>
    <row r="1077">
      <c r="A1077" s="159"/>
      <c r="B1077" s="159"/>
      <c r="C1077" s="159"/>
      <c r="D1077" s="159"/>
      <c r="E1077" s="159"/>
      <c r="F1077" s="159"/>
      <c r="G1077" s="159"/>
      <c r="H1077" s="159"/>
      <c r="I1077" s="159"/>
      <c r="J1077" s="159"/>
      <c r="K1077" s="159"/>
      <c r="L1077" s="159"/>
      <c r="M1077" s="159"/>
      <c r="N1077" s="159"/>
      <c r="O1077" s="159"/>
      <c r="P1077" s="159"/>
      <c r="Q1077" s="159"/>
      <c r="R1077" s="159"/>
      <c r="S1077" s="159"/>
      <c r="T1077" s="159"/>
      <c r="U1077" s="159"/>
      <c r="V1077" s="159"/>
      <c r="W1077" s="159"/>
      <c r="X1077" s="159"/>
      <c r="Y1077" s="159"/>
      <c r="Z1077" s="159"/>
      <c r="AA1077" s="159"/>
      <c r="AB1077" s="159"/>
      <c r="AC1077" s="159"/>
      <c r="AD1077" s="159"/>
      <c r="AE1077" s="159"/>
    </row>
    <row r="1078">
      <c r="A1078" s="159"/>
      <c r="B1078" s="159"/>
      <c r="C1078" s="159"/>
      <c r="D1078" s="159"/>
      <c r="E1078" s="159"/>
      <c r="F1078" s="159"/>
      <c r="G1078" s="159"/>
      <c r="H1078" s="159"/>
      <c r="I1078" s="159"/>
      <c r="J1078" s="159"/>
      <c r="K1078" s="159"/>
      <c r="L1078" s="159"/>
      <c r="M1078" s="159"/>
      <c r="N1078" s="159"/>
      <c r="O1078" s="159"/>
      <c r="P1078" s="159"/>
      <c r="Q1078" s="159"/>
      <c r="R1078" s="159"/>
      <c r="S1078" s="159"/>
      <c r="T1078" s="159"/>
      <c r="U1078" s="159"/>
      <c r="V1078" s="159"/>
      <c r="W1078" s="159"/>
      <c r="X1078" s="159"/>
      <c r="Y1078" s="159"/>
      <c r="Z1078" s="159"/>
      <c r="AA1078" s="159"/>
      <c r="AB1078" s="159"/>
      <c r="AC1078" s="159"/>
      <c r="AD1078" s="159"/>
      <c r="AE1078" s="159"/>
    </row>
    <row r="1079">
      <c r="A1079" s="159"/>
      <c r="B1079" s="159"/>
      <c r="C1079" s="159"/>
      <c r="D1079" s="159"/>
      <c r="E1079" s="159"/>
      <c r="F1079" s="159"/>
      <c r="G1079" s="159"/>
      <c r="H1079" s="159"/>
      <c r="I1079" s="159"/>
      <c r="J1079" s="159"/>
      <c r="K1079" s="159"/>
      <c r="L1079" s="159"/>
      <c r="M1079" s="159"/>
      <c r="N1079" s="159"/>
      <c r="O1079" s="159"/>
      <c r="P1079" s="159"/>
      <c r="Q1079" s="159"/>
      <c r="R1079" s="159"/>
      <c r="S1079" s="159"/>
      <c r="T1079" s="159"/>
      <c r="U1079" s="159"/>
      <c r="V1079" s="159"/>
      <c r="W1079" s="159"/>
      <c r="X1079" s="159"/>
      <c r="Y1079" s="159"/>
      <c r="Z1079" s="159"/>
      <c r="AA1079" s="159"/>
      <c r="AB1079" s="159"/>
      <c r="AC1079" s="159"/>
      <c r="AD1079" s="159"/>
      <c r="AE1079" s="159"/>
    </row>
    <row r="1080">
      <c r="A1080" s="159"/>
      <c r="B1080" s="159"/>
      <c r="C1080" s="159"/>
      <c r="D1080" s="159"/>
      <c r="E1080" s="159"/>
      <c r="F1080" s="159"/>
      <c r="G1080" s="159"/>
      <c r="H1080" s="159"/>
      <c r="I1080" s="159"/>
      <c r="J1080" s="159"/>
      <c r="K1080" s="159"/>
      <c r="L1080" s="159"/>
      <c r="M1080" s="159"/>
      <c r="N1080" s="159"/>
      <c r="O1080" s="159"/>
      <c r="P1080" s="159"/>
      <c r="Q1080" s="159"/>
      <c r="R1080" s="159"/>
      <c r="S1080" s="159"/>
      <c r="T1080" s="159"/>
      <c r="U1080" s="159"/>
      <c r="V1080" s="159"/>
      <c r="W1080" s="159"/>
      <c r="X1080" s="159"/>
      <c r="Y1080" s="159"/>
      <c r="Z1080" s="159"/>
      <c r="AA1080" s="159"/>
      <c r="AB1080" s="159"/>
      <c r="AC1080" s="159"/>
      <c r="AD1080" s="159"/>
      <c r="AE1080" s="159"/>
    </row>
    <row r="1081">
      <c r="A1081" s="159"/>
      <c r="B1081" s="159"/>
      <c r="C1081" s="159"/>
      <c r="D1081" s="159"/>
      <c r="E1081" s="159"/>
      <c r="F1081" s="159"/>
      <c r="G1081" s="159"/>
      <c r="H1081" s="159"/>
      <c r="I1081" s="159"/>
      <c r="J1081" s="159"/>
      <c r="K1081" s="159"/>
      <c r="L1081" s="159"/>
      <c r="M1081" s="159"/>
      <c r="N1081" s="159"/>
      <c r="O1081" s="159"/>
      <c r="P1081" s="159"/>
      <c r="Q1081" s="159"/>
      <c r="R1081" s="159"/>
      <c r="S1081" s="159"/>
      <c r="T1081" s="159"/>
      <c r="U1081" s="159"/>
      <c r="V1081" s="159"/>
      <c r="W1081" s="159"/>
      <c r="X1081" s="159"/>
      <c r="Y1081" s="159"/>
      <c r="Z1081" s="159"/>
      <c r="AA1081" s="159"/>
      <c r="AB1081" s="159"/>
      <c r="AC1081" s="159"/>
      <c r="AD1081" s="159"/>
      <c r="AE1081" s="159"/>
    </row>
    <row r="1082">
      <c r="A1082" s="159"/>
      <c r="B1082" s="159"/>
      <c r="C1082" s="159"/>
      <c r="D1082" s="159"/>
      <c r="E1082" s="159"/>
      <c r="F1082" s="159"/>
      <c r="G1082" s="159"/>
      <c r="H1082" s="159"/>
      <c r="I1082" s="159"/>
      <c r="J1082" s="159"/>
      <c r="K1082" s="159"/>
      <c r="L1082" s="159"/>
      <c r="M1082" s="159"/>
      <c r="N1082" s="159"/>
      <c r="O1082" s="159"/>
      <c r="P1082" s="159"/>
      <c r="Q1082" s="159"/>
      <c r="R1082" s="159"/>
      <c r="S1082" s="159"/>
      <c r="T1082" s="159"/>
      <c r="U1082" s="159"/>
      <c r="V1082" s="159"/>
      <c r="W1082" s="159"/>
      <c r="X1082" s="159"/>
      <c r="Y1082" s="159"/>
      <c r="Z1082" s="159"/>
      <c r="AA1082" s="159"/>
      <c r="AB1082" s="159"/>
      <c r="AC1082" s="159"/>
      <c r="AD1082" s="159"/>
      <c r="AE1082" s="159"/>
    </row>
    <row r="1083">
      <c r="A1083" s="159"/>
      <c r="B1083" s="159"/>
      <c r="C1083" s="159"/>
      <c r="D1083" s="159"/>
      <c r="E1083" s="159"/>
      <c r="F1083" s="159"/>
      <c r="G1083" s="159"/>
      <c r="H1083" s="159"/>
      <c r="I1083" s="159"/>
      <c r="J1083" s="159"/>
      <c r="K1083" s="159"/>
      <c r="L1083" s="159"/>
      <c r="M1083" s="159"/>
      <c r="N1083" s="159"/>
      <c r="O1083" s="159"/>
      <c r="P1083" s="159"/>
      <c r="Q1083" s="159"/>
      <c r="R1083" s="159"/>
      <c r="S1083" s="159"/>
      <c r="T1083" s="159"/>
      <c r="U1083" s="159"/>
      <c r="V1083" s="159"/>
      <c r="W1083" s="159"/>
      <c r="X1083" s="159"/>
      <c r="Y1083" s="159"/>
      <c r="Z1083" s="159"/>
      <c r="AA1083" s="159"/>
      <c r="AB1083" s="159"/>
      <c r="AC1083" s="159"/>
      <c r="AD1083" s="159"/>
      <c r="AE1083" s="159"/>
    </row>
    <row r="1084">
      <c r="A1084" s="159"/>
      <c r="B1084" s="159"/>
      <c r="C1084" s="159"/>
      <c r="D1084" s="159"/>
      <c r="E1084" s="159"/>
      <c r="F1084" s="159"/>
      <c r="G1084" s="159"/>
      <c r="H1084" s="159"/>
      <c r="I1084" s="159"/>
      <c r="J1084" s="159"/>
      <c r="K1084" s="159"/>
      <c r="L1084" s="159"/>
      <c r="M1084" s="159"/>
      <c r="N1084" s="159"/>
      <c r="O1084" s="159"/>
      <c r="P1084" s="159"/>
      <c r="Q1084" s="159"/>
      <c r="R1084" s="159"/>
      <c r="S1084" s="159"/>
      <c r="T1084" s="159"/>
      <c r="U1084" s="159"/>
      <c r="V1084" s="159"/>
      <c r="W1084" s="159"/>
      <c r="X1084" s="159"/>
      <c r="Y1084" s="159"/>
      <c r="Z1084" s="159"/>
      <c r="AA1084" s="159"/>
      <c r="AB1084" s="159"/>
      <c r="AC1084" s="159"/>
      <c r="AD1084" s="159"/>
      <c r="AE1084" s="159"/>
    </row>
    <row r="1085">
      <c r="A1085" s="159"/>
      <c r="B1085" s="159"/>
      <c r="C1085" s="159"/>
      <c r="D1085" s="159"/>
      <c r="E1085" s="159"/>
      <c r="F1085" s="159"/>
      <c r="G1085" s="159"/>
      <c r="H1085" s="159"/>
      <c r="I1085" s="159"/>
      <c r="J1085" s="159"/>
      <c r="K1085" s="159"/>
      <c r="L1085" s="159"/>
      <c r="M1085" s="159"/>
      <c r="N1085" s="159"/>
      <c r="O1085" s="159"/>
      <c r="P1085" s="159"/>
      <c r="Q1085" s="159"/>
      <c r="R1085" s="159"/>
      <c r="S1085" s="159"/>
      <c r="T1085" s="159"/>
      <c r="U1085" s="159"/>
      <c r="V1085" s="159"/>
      <c r="W1085" s="159"/>
      <c r="X1085" s="159"/>
      <c r="Y1085" s="159"/>
      <c r="Z1085" s="159"/>
      <c r="AA1085" s="159"/>
      <c r="AB1085" s="159"/>
      <c r="AC1085" s="159"/>
      <c r="AD1085" s="159"/>
      <c r="AE1085" s="159"/>
    </row>
    <row r="1086">
      <c r="A1086" s="159"/>
      <c r="B1086" s="159"/>
      <c r="C1086" s="159"/>
      <c r="D1086" s="159"/>
      <c r="E1086" s="159"/>
      <c r="F1086" s="159"/>
      <c r="G1086" s="159"/>
      <c r="H1086" s="159"/>
      <c r="I1086" s="159"/>
      <c r="J1086" s="159"/>
      <c r="K1086" s="159"/>
      <c r="L1086" s="159"/>
      <c r="M1086" s="159"/>
      <c r="N1086" s="159"/>
      <c r="O1086" s="159"/>
      <c r="P1086" s="159"/>
      <c r="Q1086" s="159"/>
      <c r="R1086" s="159"/>
      <c r="S1086" s="159"/>
      <c r="T1086" s="159"/>
      <c r="U1086" s="159"/>
      <c r="V1086" s="159"/>
      <c r="W1086" s="159"/>
      <c r="X1086" s="159"/>
      <c r="Y1086" s="159"/>
      <c r="Z1086" s="159"/>
      <c r="AA1086" s="159"/>
      <c r="AB1086" s="159"/>
      <c r="AC1086" s="159"/>
      <c r="AD1086" s="159"/>
      <c r="AE1086" s="159"/>
    </row>
    <row r="1087">
      <c r="A1087" s="159"/>
      <c r="B1087" s="159"/>
      <c r="C1087" s="159"/>
      <c r="D1087" s="159"/>
      <c r="E1087" s="159"/>
      <c r="F1087" s="159"/>
      <c r="G1087" s="159"/>
      <c r="H1087" s="159"/>
      <c r="I1087" s="159"/>
      <c r="J1087" s="159"/>
      <c r="K1087" s="159"/>
      <c r="L1087" s="159"/>
      <c r="M1087" s="159"/>
      <c r="N1087" s="159"/>
      <c r="O1087" s="159"/>
      <c r="P1087" s="159"/>
      <c r="Q1087" s="159"/>
      <c r="R1087" s="159"/>
      <c r="S1087" s="159"/>
      <c r="T1087" s="159"/>
      <c r="U1087" s="159"/>
      <c r="V1087" s="159"/>
      <c r="W1087" s="159"/>
      <c r="X1087" s="159"/>
      <c r="Y1087" s="159"/>
      <c r="Z1087" s="159"/>
      <c r="AA1087" s="159"/>
      <c r="AB1087" s="159"/>
      <c r="AC1087" s="159"/>
      <c r="AD1087" s="159"/>
      <c r="AE1087" s="159"/>
    </row>
    <row r="1088">
      <c r="A1088" s="159"/>
      <c r="B1088" s="159"/>
      <c r="C1088" s="159"/>
      <c r="D1088" s="159"/>
      <c r="E1088" s="159"/>
      <c r="F1088" s="159"/>
      <c r="G1088" s="159"/>
      <c r="H1088" s="159"/>
      <c r="I1088" s="159"/>
      <c r="J1088" s="159"/>
      <c r="K1088" s="159"/>
      <c r="L1088" s="159"/>
      <c r="M1088" s="159"/>
      <c r="N1088" s="159"/>
      <c r="O1088" s="159"/>
      <c r="P1088" s="159"/>
      <c r="Q1088" s="159"/>
      <c r="R1088" s="159"/>
      <c r="S1088" s="159"/>
      <c r="T1088" s="159"/>
      <c r="U1088" s="159"/>
      <c r="V1088" s="159"/>
      <c r="W1088" s="159"/>
      <c r="X1088" s="159"/>
      <c r="Y1088" s="159"/>
      <c r="Z1088" s="159"/>
      <c r="AA1088" s="159"/>
      <c r="AB1088" s="159"/>
      <c r="AC1088" s="159"/>
      <c r="AD1088" s="159"/>
      <c r="AE1088" s="159"/>
    </row>
    <row r="1089">
      <c r="A1089" s="159"/>
      <c r="B1089" s="159"/>
      <c r="C1089" s="159"/>
      <c r="D1089" s="159"/>
      <c r="E1089" s="159"/>
      <c r="F1089" s="159"/>
      <c r="G1089" s="159"/>
      <c r="H1089" s="159"/>
      <c r="I1089" s="159"/>
      <c r="J1089" s="159"/>
      <c r="K1089" s="159"/>
      <c r="L1089" s="159"/>
      <c r="M1089" s="159"/>
      <c r="N1089" s="159"/>
      <c r="O1089" s="159"/>
      <c r="P1089" s="159"/>
      <c r="Q1089" s="159"/>
      <c r="R1089" s="159"/>
      <c r="S1089" s="159"/>
      <c r="T1089" s="159"/>
      <c r="U1089" s="159"/>
      <c r="V1089" s="159"/>
      <c r="W1089" s="159"/>
      <c r="X1089" s="159"/>
      <c r="Y1089" s="159"/>
      <c r="Z1089" s="159"/>
      <c r="AA1089" s="159"/>
      <c r="AB1089" s="159"/>
      <c r="AC1089" s="159"/>
      <c r="AD1089" s="159"/>
      <c r="AE1089" s="159"/>
    </row>
    <row r="1090">
      <c r="A1090" s="159"/>
      <c r="B1090" s="159"/>
      <c r="C1090" s="159"/>
      <c r="D1090" s="159"/>
      <c r="E1090" s="159"/>
      <c r="F1090" s="159"/>
      <c r="G1090" s="159"/>
      <c r="H1090" s="159"/>
      <c r="I1090" s="159"/>
      <c r="J1090" s="159"/>
      <c r="K1090" s="159"/>
      <c r="L1090" s="159"/>
      <c r="M1090" s="159"/>
      <c r="N1090" s="159"/>
      <c r="O1090" s="159"/>
      <c r="P1090" s="159"/>
      <c r="Q1090" s="159"/>
      <c r="R1090" s="159"/>
      <c r="S1090" s="159"/>
      <c r="T1090" s="159"/>
      <c r="U1090" s="159"/>
      <c r="V1090" s="159"/>
      <c r="W1090" s="159"/>
      <c r="X1090" s="159"/>
      <c r="Y1090" s="159"/>
      <c r="Z1090" s="159"/>
      <c r="AA1090" s="159"/>
      <c r="AB1090" s="159"/>
      <c r="AC1090" s="159"/>
      <c r="AD1090" s="159"/>
      <c r="AE1090" s="159"/>
    </row>
    <row r="1091">
      <c r="A1091" s="159"/>
      <c r="B1091" s="159"/>
      <c r="C1091" s="159"/>
      <c r="D1091" s="159"/>
      <c r="E1091" s="159"/>
      <c r="F1091" s="159"/>
      <c r="G1091" s="159"/>
      <c r="H1091" s="159"/>
      <c r="I1091" s="159"/>
      <c r="J1091" s="159"/>
      <c r="K1091" s="159"/>
      <c r="L1091" s="159"/>
      <c r="M1091" s="159"/>
      <c r="N1091" s="159"/>
      <c r="O1091" s="159"/>
      <c r="P1091" s="159"/>
      <c r="Q1091" s="159"/>
      <c r="R1091" s="159"/>
      <c r="S1091" s="159"/>
      <c r="T1091" s="159"/>
      <c r="U1091" s="159"/>
      <c r="V1091" s="159"/>
      <c r="W1091" s="159"/>
      <c r="X1091" s="159"/>
      <c r="Y1091" s="159"/>
      <c r="Z1091" s="159"/>
      <c r="AA1091" s="159"/>
      <c r="AB1091" s="159"/>
      <c r="AC1091" s="159"/>
      <c r="AD1091" s="159"/>
      <c r="AE1091" s="159"/>
    </row>
    <row r="1092">
      <c r="A1092" s="159"/>
      <c r="B1092" s="159"/>
      <c r="C1092" s="159"/>
      <c r="D1092" s="159"/>
      <c r="E1092" s="159"/>
      <c r="F1092" s="159"/>
      <c r="G1092" s="159"/>
      <c r="H1092" s="159"/>
      <c r="I1092" s="159"/>
      <c r="J1092" s="159"/>
      <c r="K1092" s="159"/>
      <c r="L1092" s="159"/>
      <c r="M1092" s="159"/>
      <c r="N1092" s="159"/>
      <c r="O1092" s="159"/>
      <c r="P1092" s="159"/>
      <c r="Q1092" s="159"/>
      <c r="R1092" s="159"/>
      <c r="S1092" s="159"/>
      <c r="T1092" s="159"/>
      <c r="U1092" s="159"/>
      <c r="V1092" s="159"/>
      <c r="W1092" s="159"/>
      <c r="X1092" s="159"/>
      <c r="Y1092" s="159"/>
      <c r="Z1092" s="159"/>
      <c r="AA1092" s="159"/>
      <c r="AB1092" s="159"/>
      <c r="AC1092" s="159"/>
      <c r="AD1092" s="159"/>
      <c r="AE1092" s="159"/>
    </row>
    <row r="1093">
      <c r="A1093" s="159"/>
      <c r="B1093" s="159"/>
      <c r="C1093" s="159"/>
      <c r="D1093" s="159"/>
      <c r="E1093" s="159"/>
      <c r="F1093" s="159"/>
      <c r="G1093" s="159"/>
      <c r="H1093" s="159"/>
      <c r="I1093" s="159"/>
      <c r="J1093" s="159"/>
      <c r="K1093" s="159"/>
      <c r="L1093" s="159"/>
      <c r="M1093" s="159"/>
      <c r="N1093" s="159"/>
      <c r="O1093" s="159"/>
      <c r="P1093" s="159"/>
      <c r="Q1093" s="159"/>
      <c r="R1093" s="159"/>
      <c r="S1093" s="159"/>
      <c r="T1093" s="159"/>
      <c r="U1093" s="159"/>
      <c r="V1093" s="159"/>
      <c r="W1093" s="159"/>
      <c r="X1093" s="159"/>
      <c r="Y1093" s="159"/>
      <c r="Z1093" s="159"/>
      <c r="AA1093" s="159"/>
      <c r="AB1093" s="159"/>
      <c r="AC1093" s="159"/>
      <c r="AD1093" s="159"/>
      <c r="AE1093" s="159"/>
    </row>
    <row r="1094">
      <c r="A1094" s="159"/>
      <c r="B1094" s="159"/>
      <c r="C1094" s="159"/>
      <c r="D1094" s="159"/>
      <c r="E1094" s="159"/>
      <c r="F1094" s="159"/>
      <c r="G1094" s="159"/>
      <c r="H1094" s="159"/>
      <c r="I1094" s="159"/>
      <c r="J1094" s="159"/>
      <c r="K1094" s="159"/>
      <c r="L1094" s="159"/>
      <c r="M1094" s="159"/>
      <c r="N1094" s="159"/>
      <c r="O1094" s="159"/>
      <c r="P1094" s="159"/>
      <c r="Q1094" s="159"/>
      <c r="R1094" s="159"/>
      <c r="S1094" s="159"/>
      <c r="T1094" s="159"/>
      <c r="U1094" s="159"/>
      <c r="V1094" s="159"/>
      <c r="W1094" s="159"/>
      <c r="X1094" s="159"/>
      <c r="Y1094" s="159"/>
      <c r="Z1094" s="159"/>
      <c r="AA1094" s="159"/>
      <c r="AB1094" s="159"/>
      <c r="AC1094" s="159"/>
      <c r="AD1094" s="159"/>
      <c r="AE1094" s="159"/>
    </row>
    <row r="1095">
      <c r="A1095" s="159"/>
      <c r="B1095" s="159"/>
      <c r="C1095" s="159"/>
      <c r="D1095" s="159"/>
      <c r="E1095" s="159"/>
      <c r="F1095" s="159"/>
      <c r="G1095" s="159"/>
      <c r="H1095" s="159"/>
      <c r="I1095" s="159"/>
      <c r="J1095" s="159"/>
      <c r="K1095" s="159"/>
      <c r="L1095" s="159"/>
      <c r="M1095" s="159"/>
      <c r="N1095" s="159"/>
      <c r="O1095" s="159"/>
      <c r="P1095" s="159"/>
      <c r="Q1095" s="159"/>
      <c r="R1095" s="159"/>
      <c r="S1095" s="159"/>
      <c r="T1095" s="159"/>
      <c r="U1095" s="159"/>
      <c r="V1095" s="159"/>
      <c r="W1095" s="159"/>
      <c r="X1095" s="159"/>
      <c r="Y1095" s="159"/>
      <c r="Z1095" s="159"/>
      <c r="AA1095" s="159"/>
      <c r="AB1095" s="159"/>
      <c r="AC1095" s="159"/>
      <c r="AD1095" s="159"/>
      <c r="AE1095" s="159"/>
    </row>
    <row r="1096">
      <c r="A1096" s="159"/>
      <c r="B1096" s="159"/>
      <c r="C1096" s="159"/>
      <c r="D1096" s="159"/>
      <c r="E1096" s="159"/>
      <c r="F1096" s="159"/>
      <c r="G1096" s="159"/>
      <c r="H1096" s="159"/>
      <c r="I1096" s="159"/>
      <c r="J1096" s="159"/>
      <c r="K1096" s="159"/>
      <c r="L1096" s="159"/>
      <c r="M1096" s="159"/>
      <c r="N1096" s="159"/>
      <c r="O1096" s="159"/>
      <c r="P1096" s="159"/>
      <c r="Q1096" s="159"/>
      <c r="R1096" s="159"/>
      <c r="S1096" s="159"/>
      <c r="T1096" s="159"/>
      <c r="U1096" s="159"/>
      <c r="V1096" s="159"/>
      <c r="W1096" s="159"/>
      <c r="X1096" s="159"/>
      <c r="Y1096" s="159"/>
      <c r="Z1096" s="159"/>
      <c r="AA1096" s="159"/>
      <c r="AB1096" s="159"/>
      <c r="AC1096" s="159"/>
      <c r="AD1096" s="159"/>
      <c r="AE1096" s="159"/>
    </row>
    <row r="1097">
      <c r="A1097" s="159"/>
      <c r="B1097" s="159"/>
      <c r="C1097" s="159"/>
      <c r="D1097" s="159"/>
      <c r="E1097" s="159"/>
      <c r="F1097" s="159"/>
      <c r="G1097" s="159"/>
      <c r="H1097" s="159"/>
      <c r="I1097" s="159"/>
      <c r="J1097" s="159"/>
      <c r="K1097" s="159"/>
      <c r="L1097" s="159"/>
      <c r="M1097" s="159"/>
      <c r="N1097" s="159"/>
      <c r="O1097" s="159"/>
      <c r="P1097" s="159"/>
      <c r="Q1097" s="159"/>
      <c r="R1097" s="159"/>
      <c r="S1097" s="159"/>
      <c r="T1097" s="159"/>
      <c r="U1097" s="159"/>
      <c r="V1097" s="159"/>
      <c r="W1097" s="159"/>
      <c r="X1097" s="159"/>
      <c r="Y1097" s="159"/>
      <c r="Z1097" s="159"/>
      <c r="AA1097" s="159"/>
      <c r="AB1097" s="159"/>
      <c r="AC1097" s="159"/>
      <c r="AD1097" s="159"/>
      <c r="AE1097" s="159"/>
    </row>
    <row r="1098">
      <c r="A1098" s="159"/>
      <c r="B1098" s="159"/>
      <c r="C1098" s="159"/>
      <c r="D1098" s="159"/>
      <c r="E1098" s="159"/>
      <c r="F1098" s="159"/>
      <c r="G1098" s="159"/>
      <c r="H1098" s="159"/>
      <c r="I1098" s="159"/>
      <c r="J1098" s="159"/>
      <c r="K1098" s="159"/>
      <c r="L1098" s="159"/>
      <c r="M1098" s="159"/>
      <c r="N1098" s="159"/>
      <c r="O1098" s="159"/>
      <c r="P1098" s="159"/>
      <c r="Q1098" s="159"/>
      <c r="R1098" s="159"/>
      <c r="S1098" s="159"/>
      <c r="T1098" s="159"/>
      <c r="U1098" s="159"/>
      <c r="V1098" s="159"/>
      <c r="W1098" s="159"/>
      <c r="X1098" s="159"/>
      <c r="Y1098" s="159"/>
      <c r="Z1098" s="159"/>
      <c r="AA1098" s="159"/>
      <c r="AB1098" s="159"/>
      <c r="AC1098" s="159"/>
      <c r="AD1098" s="159"/>
      <c r="AE1098" s="159"/>
    </row>
    <row r="1099">
      <c r="A1099" s="159"/>
      <c r="B1099" s="159"/>
      <c r="C1099" s="159"/>
      <c r="D1099" s="159"/>
      <c r="E1099" s="159"/>
      <c r="F1099" s="159"/>
      <c r="G1099" s="159"/>
      <c r="H1099" s="159"/>
      <c r="I1099" s="159"/>
      <c r="J1099" s="159"/>
      <c r="K1099" s="159"/>
      <c r="L1099" s="159"/>
      <c r="M1099" s="159"/>
      <c r="N1099" s="159"/>
      <c r="O1099" s="159"/>
      <c r="P1099" s="159"/>
      <c r="Q1099" s="159"/>
      <c r="R1099" s="159"/>
      <c r="S1099" s="159"/>
      <c r="T1099" s="159"/>
      <c r="U1099" s="159"/>
      <c r="V1099" s="159"/>
      <c r="W1099" s="159"/>
      <c r="X1099" s="159"/>
      <c r="Y1099" s="159"/>
      <c r="Z1099" s="159"/>
      <c r="AA1099" s="159"/>
      <c r="AB1099" s="159"/>
      <c r="AC1099" s="159"/>
      <c r="AD1099" s="159"/>
      <c r="AE1099" s="159"/>
    </row>
    <row r="1100">
      <c r="A1100" s="159"/>
      <c r="B1100" s="159"/>
      <c r="C1100" s="159"/>
      <c r="D1100" s="159"/>
      <c r="E1100" s="159"/>
      <c r="F1100" s="159"/>
      <c r="G1100" s="159"/>
      <c r="H1100" s="159"/>
      <c r="I1100" s="159"/>
      <c r="J1100" s="159"/>
      <c r="K1100" s="159"/>
      <c r="L1100" s="159"/>
      <c r="M1100" s="159"/>
      <c r="N1100" s="159"/>
      <c r="O1100" s="159"/>
      <c r="P1100" s="159"/>
      <c r="Q1100" s="159"/>
      <c r="R1100" s="159"/>
      <c r="S1100" s="159"/>
      <c r="T1100" s="159"/>
      <c r="U1100" s="159"/>
      <c r="V1100" s="159"/>
      <c r="W1100" s="159"/>
      <c r="X1100" s="159"/>
      <c r="Y1100" s="159"/>
      <c r="Z1100" s="159"/>
      <c r="AA1100" s="159"/>
      <c r="AB1100" s="159"/>
      <c r="AC1100" s="159"/>
      <c r="AD1100" s="159"/>
      <c r="AE1100" s="159"/>
    </row>
    <row r="1101">
      <c r="A1101" s="159"/>
      <c r="B1101" s="159"/>
      <c r="C1101" s="159"/>
      <c r="D1101" s="159"/>
      <c r="E1101" s="159"/>
      <c r="F1101" s="159"/>
      <c r="G1101" s="159"/>
      <c r="H1101" s="159"/>
      <c r="I1101" s="159"/>
      <c r="J1101" s="159"/>
      <c r="K1101" s="159"/>
      <c r="L1101" s="159"/>
      <c r="M1101" s="159"/>
      <c r="N1101" s="159"/>
      <c r="O1101" s="159"/>
      <c r="P1101" s="159"/>
      <c r="Q1101" s="159"/>
      <c r="R1101" s="159"/>
      <c r="S1101" s="159"/>
      <c r="T1101" s="159"/>
      <c r="U1101" s="159"/>
      <c r="V1101" s="159"/>
      <c r="W1101" s="159"/>
      <c r="X1101" s="159"/>
      <c r="Y1101" s="159"/>
      <c r="Z1101" s="159"/>
      <c r="AA1101" s="159"/>
      <c r="AB1101" s="159"/>
      <c r="AC1101" s="159"/>
      <c r="AD1101" s="159"/>
      <c r="AE1101" s="159"/>
    </row>
    <row r="1102">
      <c r="A1102" s="159"/>
      <c r="B1102" s="159"/>
      <c r="C1102" s="159"/>
      <c r="D1102" s="159"/>
      <c r="E1102" s="159"/>
      <c r="F1102" s="159"/>
      <c r="G1102" s="159"/>
      <c r="H1102" s="159"/>
      <c r="I1102" s="159"/>
      <c r="J1102" s="159"/>
      <c r="K1102" s="159"/>
      <c r="L1102" s="159"/>
      <c r="M1102" s="159"/>
      <c r="N1102" s="159"/>
      <c r="O1102" s="159"/>
      <c r="P1102" s="159"/>
      <c r="Q1102" s="159"/>
      <c r="R1102" s="159"/>
      <c r="S1102" s="159"/>
      <c r="T1102" s="159"/>
      <c r="U1102" s="159"/>
      <c r="V1102" s="159"/>
      <c r="W1102" s="159"/>
      <c r="X1102" s="159"/>
      <c r="Y1102" s="159"/>
      <c r="Z1102" s="159"/>
      <c r="AA1102" s="159"/>
      <c r="AB1102" s="159"/>
      <c r="AC1102" s="159"/>
      <c r="AD1102" s="159"/>
      <c r="AE1102" s="159"/>
    </row>
    <row r="1103">
      <c r="A1103" s="159"/>
      <c r="B1103" s="159"/>
      <c r="C1103" s="159"/>
      <c r="D1103" s="159"/>
      <c r="E1103" s="159"/>
      <c r="F1103" s="159"/>
      <c r="G1103" s="159"/>
      <c r="H1103" s="159"/>
      <c r="I1103" s="159"/>
      <c r="J1103" s="159"/>
      <c r="K1103" s="159"/>
      <c r="L1103" s="159"/>
      <c r="M1103" s="159"/>
      <c r="N1103" s="159"/>
      <c r="O1103" s="159"/>
      <c r="P1103" s="159"/>
      <c r="Q1103" s="159"/>
      <c r="R1103" s="159"/>
      <c r="S1103" s="159"/>
      <c r="T1103" s="159"/>
      <c r="U1103" s="159"/>
      <c r="V1103" s="159"/>
      <c r="W1103" s="159"/>
      <c r="X1103" s="159"/>
      <c r="Y1103" s="159"/>
      <c r="Z1103" s="159"/>
      <c r="AA1103" s="159"/>
      <c r="AB1103" s="159"/>
      <c r="AC1103" s="159"/>
      <c r="AD1103" s="159"/>
      <c r="AE1103" s="159"/>
    </row>
    <row r="1104">
      <c r="A1104" s="159"/>
      <c r="B1104" s="159"/>
      <c r="C1104" s="159"/>
      <c r="D1104" s="159"/>
      <c r="E1104" s="159"/>
      <c r="F1104" s="159"/>
      <c r="G1104" s="159"/>
      <c r="H1104" s="159"/>
      <c r="I1104" s="159"/>
      <c r="J1104" s="159"/>
      <c r="K1104" s="159"/>
      <c r="L1104" s="159"/>
      <c r="M1104" s="159"/>
      <c r="N1104" s="159"/>
      <c r="O1104" s="159"/>
      <c r="P1104" s="159"/>
      <c r="Q1104" s="159"/>
      <c r="R1104" s="159"/>
      <c r="S1104" s="159"/>
      <c r="T1104" s="159"/>
      <c r="U1104" s="159"/>
      <c r="V1104" s="159"/>
      <c r="W1104" s="159"/>
      <c r="X1104" s="159"/>
      <c r="Y1104" s="159"/>
      <c r="Z1104" s="159"/>
      <c r="AA1104" s="159"/>
      <c r="AB1104" s="159"/>
      <c r="AC1104" s="159"/>
      <c r="AD1104" s="159"/>
      <c r="AE1104" s="159"/>
    </row>
    <row r="1105">
      <c r="A1105" s="159"/>
      <c r="B1105" s="159"/>
      <c r="C1105" s="159"/>
      <c r="D1105" s="159"/>
      <c r="E1105" s="159"/>
      <c r="F1105" s="159"/>
      <c r="G1105" s="159"/>
      <c r="H1105" s="159"/>
      <c r="I1105" s="159"/>
      <c r="J1105" s="159"/>
      <c r="K1105" s="159"/>
      <c r="L1105" s="159"/>
      <c r="M1105" s="159"/>
      <c r="N1105" s="159"/>
      <c r="O1105" s="159"/>
      <c r="P1105" s="159"/>
      <c r="Q1105" s="159"/>
      <c r="R1105" s="159"/>
      <c r="S1105" s="159"/>
      <c r="T1105" s="159"/>
      <c r="U1105" s="159"/>
      <c r="V1105" s="159"/>
      <c r="W1105" s="159"/>
      <c r="X1105" s="159"/>
      <c r="Y1105" s="159"/>
      <c r="Z1105" s="159"/>
      <c r="AA1105" s="159"/>
      <c r="AB1105" s="159"/>
      <c r="AC1105" s="159"/>
      <c r="AD1105" s="159"/>
      <c r="AE1105" s="159"/>
    </row>
    <row r="1106">
      <c r="A1106" s="159"/>
      <c r="B1106" s="159"/>
      <c r="C1106" s="159"/>
      <c r="D1106" s="159"/>
      <c r="E1106" s="159"/>
      <c r="F1106" s="159"/>
      <c r="G1106" s="159"/>
      <c r="H1106" s="159"/>
      <c r="I1106" s="159"/>
      <c r="J1106" s="159"/>
      <c r="K1106" s="159"/>
      <c r="L1106" s="159"/>
      <c r="M1106" s="159"/>
      <c r="N1106" s="159"/>
      <c r="O1106" s="159"/>
      <c r="P1106" s="159"/>
      <c r="Q1106" s="159"/>
      <c r="R1106" s="159"/>
      <c r="S1106" s="159"/>
      <c r="T1106" s="159"/>
      <c r="U1106" s="159"/>
      <c r="V1106" s="159"/>
      <c r="W1106" s="159"/>
      <c r="X1106" s="159"/>
      <c r="Y1106" s="159"/>
      <c r="Z1106" s="159"/>
      <c r="AA1106" s="159"/>
      <c r="AB1106" s="159"/>
      <c r="AC1106" s="159"/>
      <c r="AD1106" s="159"/>
      <c r="AE1106" s="159"/>
    </row>
    <row r="1107">
      <c r="A1107" s="159"/>
      <c r="B1107" s="159"/>
      <c r="C1107" s="159"/>
      <c r="D1107" s="159"/>
      <c r="E1107" s="159"/>
      <c r="F1107" s="159"/>
      <c r="G1107" s="159"/>
      <c r="H1107" s="159"/>
      <c r="I1107" s="159"/>
      <c r="J1107" s="159"/>
      <c r="K1107" s="159"/>
      <c r="L1107" s="159"/>
      <c r="M1107" s="159"/>
      <c r="N1107" s="159"/>
      <c r="O1107" s="159"/>
      <c r="P1107" s="159"/>
      <c r="Q1107" s="159"/>
      <c r="R1107" s="159"/>
      <c r="S1107" s="159"/>
      <c r="T1107" s="159"/>
      <c r="U1107" s="159"/>
      <c r="V1107" s="159"/>
      <c r="W1107" s="159"/>
      <c r="X1107" s="159"/>
      <c r="Y1107" s="159"/>
      <c r="Z1107" s="159"/>
      <c r="AA1107" s="159"/>
      <c r="AB1107" s="159"/>
      <c r="AC1107" s="159"/>
      <c r="AD1107" s="159"/>
      <c r="AE1107" s="159"/>
    </row>
    <row r="1108">
      <c r="A1108" s="159"/>
      <c r="B1108" s="159"/>
      <c r="C1108" s="159"/>
      <c r="D1108" s="159"/>
      <c r="E1108" s="159"/>
      <c r="F1108" s="159"/>
      <c r="G1108" s="159"/>
      <c r="H1108" s="159"/>
      <c r="I1108" s="159"/>
      <c r="J1108" s="159"/>
      <c r="K1108" s="159"/>
      <c r="L1108" s="159"/>
      <c r="M1108" s="159"/>
      <c r="N1108" s="159"/>
      <c r="O1108" s="159"/>
      <c r="P1108" s="159"/>
      <c r="Q1108" s="159"/>
      <c r="R1108" s="159"/>
      <c r="S1108" s="159"/>
      <c r="T1108" s="159"/>
      <c r="U1108" s="159"/>
      <c r="V1108" s="159"/>
      <c r="W1108" s="159"/>
      <c r="X1108" s="159"/>
      <c r="Y1108" s="159"/>
      <c r="Z1108" s="159"/>
      <c r="AA1108" s="159"/>
      <c r="AB1108" s="159"/>
      <c r="AC1108" s="159"/>
      <c r="AD1108" s="159"/>
      <c r="AE1108" s="159"/>
    </row>
    <row r="1109">
      <c r="A1109" s="159"/>
      <c r="B1109" s="159"/>
      <c r="C1109" s="159"/>
      <c r="D1109" s="159"/>
      <c r="E1109" s="159"/>
      <c r="F1109" s="159"/>
      <c r="G1109" s="159"/>
      <c r="H1109" s="159"/>
      <c r="I1109" s="159"/>
      <c r="J1109" s="159"/>
      <c r="K1109" s="159"/>
      <c r="L1109" s="159"/>
      <c r="M1109" s="159"/>
      <c r="N1109" s="159"/>
      <c r="O1109" s="159"/>
      <c r="P1109" s="159"/>
      <c r="Q1109" s="159"/>
      <c r="R1109" s="159"/>
      <c r="S1109" s="159"/>
      <c r="T1109" s="159"/>
      <c r="U1109" s="159"/>
      <c r="V1109" s="159"/>
      <c r="W1109" s="159"/>
      <c r="X1109" s="159"/>
      <c r="Y1109" s="159"/>
      <c r="Z1109" s="159"/>
      <c r="AA1109" s="159"/>
      <c r="AB1109" s="159"/>
      <c r="AC1109" s="159"/>
      <c r="AD1109" s="159"/>
      <c r="AE1109" s="159"/>
    </row>
    <row r="1110">
      <c r="A1110" s="159"/>
      <c r="B1110" s="159"/>
      <c r="C1110" s="159"/>
      <c r="D1110" s="159"/>
      <c r="E1110" s="159"/>
      <c r="F1110" s="159"/>
      <c r="G1110" s="159"/>
      <c r="H1110" s="159"/>
      <c r="I1110" s="159"/>
      <c r="J1110" s="159"/>
      <c r="K1110" s="159"/>
      <c r="L1110" s="159"/>
      <c r="M1110" s="159"/>
      <c r="N1110" s="159"/>
      <c r="O1110" s="159"/>
      <c r="P1110" s="159"/>
      <c r="Q1110" s="159"/>
      <c r="R1110" s="159"/>
      <c r="S1110" s="159"/>
      <c r="T1110" s="159"/>
      <c r="U1110" s="159"/>
      <c r="V1110" s="159"/>
      <c r="W1110" s="159"/>
      <c r="X1110" s="159"/>
      <c r="Y1110" s="159"/>
      <c r="Z1110" s="159"/>
      <c r="AA1110" s="159"/>
      <c r="AB1110" s="159"/>
      <c r="AC1110" s="159"/>
      <c r="AD1110" s="159"/>
      <c r="AE1110" s="159"/>
    </row>
    <row r="1111">
      <c r="A1111" s="159"/>
      <c r="B1111" s="159"/>
      <c r="C1111" s="159"/>
      <c r="D1111" s="159"/>
      <c r="E1111" s="159"/>
      <c r="F1111" s="159"/>
      <c r="G1111" s="159"/>
      <c r="H1111" s="159"/>
      <c r="I1111" s="159"/>
      <c r="J1111" s="159"/>
      <c r="K1111" s="159"/>
      <c r="L1111" s="159"/>
      <c r="M1111" s="159"/>
      <c r="N1111" s="159"/>
      <c r="O1111" s="159"/>
      <c r="P1111" s="159"/>
      <c r="Q1111" s="159"/>
      <c r="R1111" s="159"/>
      <c r="S1111" s="159"/>
      <c r="T1111" s="159"/>
      <c r="U1111" s="159"/>
      <c r="V1111" s="159"/>
      <c r="W1111" s="159"/>
      <c r="X1111" s="159"/>
      <c r="Y1111" s="159"/>
      <c r="Z1111" s="159"/>
      <c r="AA1111" s="159"/>
      <c r="AB1111" s="159"/>
      <c r="AC1111" s="159"/>
      <c r="AD1111" s="159"/>
      <c r="AE1111" s="159"/>
    </row>
    <row r="1112">
      <c r="A1112" s="159"/>
      <c r="B1112" s="159"/>
      <c r="C1112" s="159"/>
      <c r="D1112" s="159"/>
      <c r="E1112" s="159"/>
      <c r="F1112" s="159"/>
      <c r="G1112" s="159"/>
      <c r="H1112" s="159"/>
      <c r="I1112" s="159"/>
      <c r="J1112" s="159"/>
      <c r="K1112" s="159"/>
      <c r="L1112" s="159"/>
      <c r="M1112" s="159"/>
      <c r="N1112" s="159"/>
      <c r="O1112" s="159"/>
      <c r="P1112" s="159"/>
      <c r="Q1112" s="159"/>
      <c r="R1112" s="159"/>
      <c r="S1112" s="159"/>
      <c r="T1112" s="159"/>
      <c r="U1112" s="159"/>
      <c r="V1112" s="159"/>
      <c r="W1112" s="159"/>
      <c r="X1112" s="159"/>
      <c r="Y1112" s="159"/>
      <c r="Z1112" s="159"/>
      <c r="AA1112" s="159"/>
      <c r="AB1112" s="159"/>
      <c r="AC1112" s="159"/>
      <c r="AD1112" s="159"/>
      <c r="AE1112" s="159"/>
    </row>
    <row r="1113">
      <c r="A1113" s="159"/>
      <c r="B1113" s="159"/>
      <c r="C1113" s="159"/>
      <c r="D1113" s="159"/>
      <c r="E1113" s="159"/>
      <c r="F1113" s="159"/>
      <c r="G1113" s="159"/>
      <c r="H1113" s="159"/>
      <c r="I1113" s="159"/>
      <c r="J1113" s="159"/>
      <c r="K1113" s="159"/>
      <c r="L1113" s="159"/>
      <c r="M1113" s="159"/>
      <c r="N1113" s="159"/>
      <c r="O1113" s="159"/>
      <c r="P1113" s="159"/>
      <c r="Q1113" s="159"/>
      <c r="R1113" s="159"/>
      <c r="S1113" s="159"/>
      <c r="T1113" s="159"/>
      <c r="U1113" s="159"/>
      <c r="V1113" s="159"/>
      <c r="W1113" s="159"/>
      <c r="X1113" s="159"/>
      <c r="Y1113" s="159"/>
      <c r="Z1113" s="159"/>
      <c r="AA1113" s="159"/>
      <c r="AB1113" s="159"/>
      <c r="AC1113" s="159"/>
      <c r="AD1113" s="159"/>
      <c r="AE1113" s="159"/>
    </row>
    <row r="1114">
      <c r="A1114" s="159"/>
      <c r="B1114" s="159"/>
      <c r="C1114" s="159"/>
      <c r="D1114" s="159"/>
      <c r="E1114" s="159"/>
      <c r="F1114" s="159"/>
      <c r="G1114" s="159"/>
      <c r="H1114" s="159"/>
      <c r="I1114" s="159"/>
      <c r="J1114" s="159"/>
      <c r="K1114" s="159"/>
      <c r="L1114" s="159"/>
      <c r="M1114" s="159"/>
      <c r="N1114" s="159"/>
      <c r="O1114" s="159"/>
      <c r="P1114" s="159"/>
      <c r="Q1114" s="159"/>
      <c r="R1114" s="159"/>
      <c r="S1114" s="159"/>
      <c r="T1114" s="159"/>
      <c r="U1114" s="159"/>
      <c r="V1114" s="159"/>
      <c r="W1114" s="159"/>
      <c r="X1114" s="159"/>
      <c r="Y1114" s="159"/>
      <c r="Z1114" s="159"/>
      <c r="AA1114" s="159"/>
      <c r="AB1114" s="159"/>
      <c r="AC1114" s="159"/>
      <c r="AD1114" s="159"/>
      <c r="AE1114" s="159"/>
    </row>
    <row r="1115">
      <c r="A1115" s="159"/>
      <c r="B1115" s="159"/>
      <c r="C1115" s="159"/>
      <c r="D1115" s="159"/>
      <c r="E1115" s="159"/>
      <c r="F1115" s="159"/>
      <c r="G1115" s="159"/>
      <c r="H1115" s="159"/>
      <c r="I1115" s="159"/>
      <c r="J1115" s="159"/>
      <c r="K1115" s="159"/>
      <c r="L1115" s="159"/>
      <c r="M1115" s="159"/>
      <c r="N1115" s="159"/>
      <c r="O1115" s="159"/>
      <c r="P1115" s="159"/>
      <c r="Q1115" s="159"/>
      <c r="R1115" s="159"/>
      <c r="S1115" s="159"/>
      <c r="T1115" s="159"/>
      <c r="U1115" s="159"/>
      <c r="V1115" s="159"/>
      <c r="W1115" s="159"/>
      <c r="X1115" s="159"/>
      <c r="Y1115" s="159"/>
      <c r="Z1115" s="159"/>
      <c r="AA1115" s="159"/>
      <c r="AB1115" s="159"/>
      <c r="AC1115" s="159"/>
      <c r="AD1115" s="159"/>
      <c r="AE1115" s="159"/>
    </row>
    <row r="1116">
      <c r="A1116" s="159"/>
      <c r="B1116" s="159"/>
      <c r="C1116" s="159"/>
      <c r="D1116" s="159"/>
      <c r="E1116" s="159"/>
      <c r="F1116" s="159"/>
      <c r="G1116" s="159"/>
      <c r="H1116" s="159"/>
      <c r="I1116" s="159"/>
      <c r="J1116" s="159"/>
      <c r="K1116" s="159"/>
      <c r="L1116" s="159"/>
      <c r="M1116" s="159"/>
      <c r="N1116" s="159"/>
      <c r="O1116" s="159"/>
      <c r="P1116" s="159"/>
      <c r="Q1116" s="159"/>
      <c r="R1116" s="159"/>
      <c r="S1116" s="159"/>
      <c r="T1116" s="159"/>
      <c r="U1116" s="159"/>
      <c r="V1116" s="159"/>
      <c r="W1116" s="159"/>
      <c r="X1116" s="159"/>
      <c r="Y1116" s="159"/>
      <c r="Z1116" s="159"/>
      <c r="AA1116" s="159"/>
      <c r="AB1116" s="159"/>
      <c r="AC1116" s="159"/>
      <c r="AD1116" s="159"/>
      <c r="AE1116" s="159"/>
    </row>
    <row r="1117">
      <c r="A1117" s="159"/>
      <c r="B1117" s="159"/>
      <c r="C1117" s="159"/>
      <c r="D1117" s="159"/>
      <c r="E1117" s="159"/>
      <c r="F1117" s="159"/>
      <c r="G1117" s="159"/>
      <c r="H1117" s="159"/>
      <c r="I1117" s="159"/>
      <c r="J1117" s="159"/>
      <c r="K1117" s="159"/>
      <c r="L1117" s="159"/>
      <c r="M1117" s="159"/>
      <c r="N1117" s="159"/>
      <c r="O1117" s="159"/>
      <c r="P1117" s="159"/>
      <c r="Q1117" s="159"/>
      <c r="R1117" s="159"/>
      <c r="S1117" s="159"/>
      <c r="T1117" s="159"/>
      <c r="U1117" s="159"/>
      <c r="V1117" s="159"/>
      <c r="W1117" s="159"/>
      <c r="X1117" s="159"/>
      <c r="Y1117" s="159"/>
      <c r="Z1117" s="159"/>
      <c r="AA1117" s="159"/>
      <c r="AB1117" s="159"/>
      <c r="AC1117" s="159"/>
      <c r="AD1117" s="159"/>
      <c r="AE1117" s="159"/>
    </row>
    <row r="1118">
      <c r="A1118" s="159"/>
      <c r="B1118" s="159"/>
      <c r="C1118" s="159"/>
      <c r="D1118" s="159"/>
      <c r="E1118" s="159"/>
      <c r="F1118" s="159"/>
      <c r="G1118" s="159"/>
      <c r="H1118" s="159"/>
      <c r="I1118" s="159"/>
      <c r="J1118" s="159"/>
      <c r="K1118" s="159"/>
      <c r="L1118" s="159"/>
      <c r="M1118" s="159"/>
      <c r="N1118" s="159"/>
      <c r="O1118" s="159"/>
      <c r="P1118" s="159"/>
      <c r="Q1118" s="159"/>
      <c r="R1118" s="159"/>
      <c r="S1118" s="159"/>
      <c r="T1118" s="159"/>
      <c r="U1118" s="159"/>
      <c r="V1118" s="159"/>
      <c r="W1118" s="159"/>
      <c r="X1118" s="159"/>
      <c r="Y1118" s="159"/>
      <c r="Z1118" s="159"/>
      <c r="AA1118" s="159"/>
      <c r="AB1118" s="159"/>
      <c r="AC1118" s="159"/>
      <c r="AD1118" s="159"/>
      <c r="AE1118" s="159"/>
    </row>
    <row r="1119">
      <c r="A1119" s="159"/>
      <c r="B1119" s="159"/>
      <c r="C1119" s="159"/>
      <c r="D1119" s="159"/>
      <c r="E1119" s="159"/>
      <c r="F1119" s="159"/>
      <c r="G1119" s="159"/>
      <c r="H1119" s="159"/>
      <c r="I1119" s="159"/>
      <c r="J1119" s="159"/>
      <c r="K1119" s="159"/>
      <c r="L1119" s="159"/>
      <c r="M1119" s="159"/>
      <c r="N1119" s="159"/>
      <c r="O1119" s="159"/>
      <c r="P1119" s="159"/>
      <c r="Q1119" s="159"/>
      <c r="R1119" s="159"/>
      <c r="S1119" s="159"/>
      <c r="T1119" s="159"/>
      <c r="U1119" s="159"/>
      <c r="V1119" s="159"/>
      <c r="W1119" s="159"/>
      <c r="X1119" s="159"/>
      <c r="Y1119" s="159"/>
      <c r="Z1119" s="159"/>
      <c r="AA1119" s="159"/>
      <c r="AB1119" s="159"/>
      <c r="AC1119" s="159"/>
      <c r="AD1119" s="159"/>
      <c r="AE1119" s="159"/>
    </row>
    <row r="1120">
      <c r="A1120" s="159"/>
      <c r="B1120" s="159"/>
      <c r="C1120" s="159"/>
      <c r="D1120" s="159"/>
      <c r="E1120" s="159"/>
      <c r="F1120" s="159"/>
      <c r="G1120" s="159"/>
      <c r="H1120" s="159"/>
      <c r="I1120" s="159"/>
      <c r="J1120" s="159"/>
      <c r="K1120" s="159"/>
      <c r="L1120" s="159"/>
      <c r="M1120" s="159"/>
      <c r="N1120" s="159"/>
      <c r="O1120" s="159"/>
      <c r="P1120" s="159"/>
      <c r="Q1120" s="159"/>
      <c r="R1120" s="159"/>
      <c r="S1120" s="159"/>
      <c r="T1120" s="159"/>
      <c r="U1120" s="159"/>
      <c r="V1120" s="159"/>
      <c r="W1120" s="159"/>
      <c r="X1120" s="159"/>
      <c r="Y1120" s="159"/>
      <c r="Z1120" s="159"/>
      <c r="AA1120" s="159"/>
      <c r="AB1120" s="159"/>
      <c r="AC1120" s="159"/>
      <c r="AD1120" s="159"/>
      <c r="AE1120" s="159"/>
    </row>
    <row r="1121">
      <c r="A1121" s="159"/>
      <c r="B1121" s="159"/>
      <c r="C1121" s="159"/>
      <c r="D1121" s="159"/>
      <c r="E1121" s="159"/>
      <c r="F1121" s="159"/>
      <c r="G1121" s="159"/>
      <c r="H1121" s="159"/>
      <c r="I1121" s="159"/>
      <c r="J1121" s="159"/>
      <c r="K1121" s="159"/>
      <c r="L1121" s="159"/>
      <c r="M1121" s="159"/>
      <c r="N1121" s="159"/>
      <c r="O1121" s="159"/>
      <c r="P1121" s="159"/>
      <c r="Q1121" s="159"/>
      <c r="R1121" s="159"/>
      <c r="S1121" s="159"/>
      <c r="T1121" s="159"/>
      <c r="U1121" s="159"/>
      <c r="V1121" s="159"/>
      <c r="W1121" s="159"/>
      <c r="X1121" s="159"/>
      <c r="Y1121" s="159"/>
      <c r="Z1121" s="159"/>
      <c r="AA1121" s="159"/>
      <c r="AB1121" s="159"/>
      <c r="AC1121" s="159"/>
      <c r="AD1121" s="159"/>
      <c r="AE1121" s="159"/>
    </row>
    <row r="1122">
      <c r="A1122" s="159"/>
      <c r="B1122" s="159"/>
      <c r="C1122" s="159"/>
      <c r="D1122" s="159"/>
      <c r="E1122" s="159"/>
      <c r="F1122" s="159"/>
      <c r="G1122" s="159"/>
      <c r="H1122" s="159"/>
      <c r="I1122" s="159"/>
      <c r="J1122" s="159"/>
      <c r="K1122" s="159"/>
      <c r="L1122" s="159"/>
      <c r="M1122" s="159"/>
      <c r="N1122" s="159"/>
      <c r="O1122" s="159"/>
      <c r="P1122" s="159"/>
      <c r="Q1122" s="159"/>
      <c r="R1122" s="159"/>
      <c r="S1122" s="159"/>
      <c r="T1122" s="159"/>
      <c r="U1122" s="159"/>
      <c r="V1122" s="159"/>
      <c r="W1122" s="159"/>
      <c r="X1122" s="159"/>
      <c r="Y1122" s="159"/>
      <c r="Z1122" s="159"/>
      <c r="AA1122" s="159"/>
      <c r="AB1122" s="159"/>
      <c r="AC1122" s="159"/>
      <c r="AD1122" s="159"/>
      <c r="AE1122" s="159"/>
    </row>
    <row r="1123">
      <c r="A1123" s="159"/>
      <c r="B1123" s="159"/>
      <c r="C1123" s="159"/>
      <c r="D1123" s="159"/>
      <c r="E1123" s="159"/>
      <c r="F1123" s="159"/>
      <c r="G1123" s="159"/>
      <c r="H1123" s="159"/>
      <c r="I1123" s="159"/>
      <c r="J1123" s="159"/>
      <c r="K1123" s="159"/>
      <c r="L1123" s="159"/>
      <c r="M1123" s="159"/>
      <c r="N1123" s="159"/>
      <c r="O1123" s="159"/>
      <c r="P1123" s="159"/>
      <c r="Q1123" s="159"/>
      <c r="R1123" s="159"/>
      <c r="S1123" s="159"/>
      <c r="T1123" s="159"/>
      <c r="U1123" s="159"/>
      <c r="V1123" s="159"/>
      <c r="W1123" s="159"/>
      <c r="X1123" s="159"/>
      <c r="Y1123" s="159"/>
      <c r="Z1123" s="159"/>
      <c r="AA1123" s="159"/>
      <c r="AB1123" s="159"/>
      <c r="AC1123" s="159"/>
      <c r="AD1123" s="159"/>
      <c r="AE1123" s="159"/>
    </row>
    <row r="1124">
      <c r="A1124" s="159"/>
      <c r="B1124" s="159"/>
      <c r="C1124" s="159"/>
      <c r="D1124" s="159"/>
      <c r="E1124" s="159"/>
      <c r="F1124" s="159"/>
      <c r="G1124" s="159"/>
      <c r="H1124" s="159"/>
      <c r="I1124" s="159"/>
      <c r="J1124" s="159"/>
      <c r="K1124" s="159"/>
      <c r="L1124" s="159"/>
      <c r="M1124" s="159"/>
      <c r="N1124" s="159"/>
      <c r="O1124" s="159"/>
      <c r="P1124" s="159"/>
      <c r="Q1124" s="159"/>
      <c r="R1124" s="159"/>
      <c r="S1124" s="159"/>
      <c r="T1124" s="159"/>
      <c r="U1124" s="159"/>
      <c r="V1124" s="159"/>
      <c r="W1124" s="159"/>
      <c r="X1124" s="159"/>
      <c r="Y1124" s="159"/>
      <c r="Z1124" s="159"/>
      <c r="AA1124" s="159"/>
      <c r="AB1124" s="159"/>
      <c r="AC1124" s="159"/>
      <c r="AD1124" s="159"/>
      <c r="AE1124" s="159"/>
    </row>
    <row r="1125">
      <c r="A1125" s="159"/>
      <c r="B1125" s="159"/>
      <c r="C1125" s="159"/>
      <c r="D1125" s="159"/>
      <c r="E1125" s="159"/>
      <c r="F1125" s="159"/>
      <c r="G1125" s="159"/>
      <c r="H1125" s="159"/>
      <c r="I1125" s="159"/>
      <c r="J1125" s="159"/>
      <c r="K1125" s="159"/>
      <c r="L1125" s="159"/>
      <c r="M1125" s="159"/>
      <c r="N1125" s="159"/>
      <c r="O1125" s="159"/>
      <c r="P1125" s="159"/>
      <c r="Q1125" s="159"/>
      <c r="R1125" s="159"/>
      <c r="S1125" s="159"/>
      <c r="T1125" s="159"/>
      <c r="U1125" s="159"/>
      <c r="V1125" s="159"/>
      <c r="W1125" s="159"/>
      <c r="X1125" s="159"/>
      <c r="Y1125" s="159"/>
      <c r="Z1125" s="159"/>
      <c r="AA1125" s="159"/>
      <c r="AB1125" s="159"/>
      <c r="AC1125" s="159"/>
      <c r="AD1125" s="159"/>
      <c r="AE1125" s="159"/>
    </row>
    <row r="1126">
      <c r="A1126" s="159"/>
      <c r="B1126" s="159"/>
      <c r="C1126" s="159"/>
      <c r="D1126" s="159"/>
      <c r="E1126" s="159"/>
      <c r="F1126" s="159"/>
      <c r="G1126" s="159"/>
      <c r="H1126" s="159"/>
      <c r="I1126" s="159"/>
      <c r="J1126" s="159"/>
      <c r="K1126" s="159"/>
      <c r="L1126" s="159"/>
      <c r="M1126" s="159"/>
      <c r="N1126" s="159"/>
      <c r="O1126" s="159"/>
      <c r="P1126" s="159"/>
      <c r="Q1126" s="159"/>
      <c r="R1126" s="159"/>
      <c r="S1126" s="159"/>
      <c r="T1126" s="159"/>
      <c r="U1126" s="159"/>
      <c r="V1126" s="159"/>
      <c r="W1126" s="159"/>
      <c r="X1126" s="159"/>
      <c r="Y1126" s="159"/>
      <c r="Z1126" s="159"/>
      <c r="AA1126" s="159"/>
      <c r="AB1126" s="159"/>
      <c r="AC1126" s="159"/>
      <c r="AD1126" s="159"/>
      <c r="AE1126" s="159"/>
    </row>
    <row r="1127">
      <c r="A1127" s="159"/>
      <c r="B1127" s="159"/>
      <c r="C1127" s="159"/>
      <c r="D1127" s="159"/>
      <c r="E1127" s="159"/>
      <c r="F1127" s="159"/>
      <c r="G1127" s="159"/>
      <c r="H1127" s="159"/>
      <c r="I1127" s="159"/>
      <c r="J1127" s="159"/>
      <c r="K1127" s="159"/>
      <c r="L1127" s="159"/>
      <c r="M1127" s="159"/>
      <c r="N1127" s="159"/>
      <c r="O1127" s="159"/>
      <c r="P1127" s="159"/>
      <c r="Q1127" s="159"/>
      <c r="R1127" s="159"/>
      <c r="S1127" s="159"/>
      <c r="T1127" s="159"/>
      <c r="U1127" s="159"/>
      <c r="V1127" s="159"/>
      <c r="W1127" s="159"/>
      <c r="X1127" s="159"/>
      <c r="Y1127" s="159"/>
      <c r="Z1127" s="159"/>
      <c r="AA1127" s="159"/>
      <c r="AB1127" s="159"/>
      <c r="AC1127" s="159"/>
      <c r="AD1127" s="159"/>
      <c r="AE1127" s="159"/>
    </row>
    <row r="1128">
      <c r="A1128" s="159"/>
      <c r="B1128" s="159"/>
      <c r="C1128" s="159"/>
      <c r="D1128" s="159"/>
      <c r="E1128" s="159"/>
      <c r="F1128" s="159"/>
      <c r="G1128" s="159"/>
      <c r="H1128" s="159"/>
      <c r="I1128" s="159"/>
      <c r="J1128" s="159"/>
      <c r="K1128" s="159"/>
      <c r="L1128" s="159"/>
      <c r="M1128" s="159"/>
      <c r="N1128" s="159"/>
      <c r="O1128" s="159"/>
      <c r="P1128" s="159"/>
      <c r="Q1128" s="159"/>
      <c r="R1128" s="159"/>
      <c r="S1128" s="159"/>
      <c r="T1128" s="159"/>
      <c r="U1128" s="159"/>
      <c r="V1128" s="159"/>
      <c r="W1128" s="159"/>
      <c r="X1128" s="159"/>
      <c r="Y1128" s="159"/>
      <c r="Z1128" s="159"/>
      <c r="AA1128" s="159"/>
      <c r="AB1128" s="159"/>
      <c r="AC1128" s="159"/>
      <c r="AD1128" s="159"/>
      <c r="AE1128" s="159"/>
    </row>
    <row r="1129">
      <c r="A1129" s="159"/>
      <c r="B1129" s="159"/>
      <c r="C1129" s="159"/>
      <c r="D1129" s="159"/>
      <c r="E1129" s="159"/>
      <c r="F1129" s="159"/>
      <c r="G1129" s="159"/>
      <c r="H1129" s="159"/>
      <c r="I1129" s="159"/>
      <c r="J1129" s="159"/>
      <c r="K1129" s="159"/>
      <c r="L1129" s="159"/>
      <c r="M1129" s="159"/>
      <c r="N1129" s="159"/>
      <c r="O1129" s="159"/>
      <c r="P1129" s="159"/>
      <c r="Q1129" s="159"/>
      <c r="R1129" s="159"/>
      <c r="S1129" s="159"/>
      <c r="T1129" s="159"/>
      <c r="U1129" s="159"/>
      <c r="V1129" s="159"/>
      <c r="W1129" s="159"/>
      <c r="X1129" s="159"/>
      <c r="Y1129" s="159"/>
      <c r="Z1129" s="159"/>
      <c r="AA1129" s="159"/>
      <c r="AB1129" s="159"/>
      <c r="AC1129" s="159"/>
      <c r="AD1129" s="159"/>
      <c r="AE1129" s="159"/>
    </row>
    <row r="1130">
      <c r="A1130" s="159"/>
      <c r="B1130" s="159"/>
      <c r="C1130" s="159"/>
      <c r="D1130" s="159"/>
      <c r="E1130" s="159"/>
      <c r="F1130" s="159"/>
      <c r="G1130" s="159"/>
      <c r="H1130" s="159"/>
      <c r="I1130" s="159"/>
      <c r="J1130" s="159"/>
      <c r="K1130" s="159"/>
      <c r="L1130" s="159"/>
      <c r="M1130" s="159"/>
      <c r="N1130" s="159"/>
      <c r="O1130" s="159"/>
      <c r="P1130" s="159"/>
      <c r="Q1130" s="159"/>
      <c r="R1130" s="159"/>
      <c r="S1130" s="159"/>
      <c r="T1130" s="159"/>
      <c r="U1130" s="159"/>
      <c r="V1130" s="159"/>
      <c r="W1130" s="159"/>
      <c r="X1130" s="159"/>
      <c r="Y1130" s="159"/>
      <c r="Z1130" s="159"/>
      <c r="AA1130" s="159"/>
      <c r="AB1130" s="159"/>
      <c r="AC1130" s="159"/>
      <c r="AD1130" s="159"/>
      <c r="AE1130" s="159"/>
    </row>
    <row r="1131">
      <c r="A1131" s="159"/>
      <c r="B1131" s="159"/>
      <c r="C1131" s="159"/>
      <c r="D1131" s="159"/>
      <c r="E1131" s="159"/>
      <c r="F1131" s="159"/>
      <c r="G1131" s="159"/>
      <c r="H1131" s="159"/>
      <c r="I1131" s="159"/>
      <c r="J1131" s="159"/>
      <c r="K1131" s="159"/>
      <c r="L1131" s="159"/>
      <c r="M1131" s="159"/>
      <c r="N1131" s="159"/>
      <c r="O1131" s="159"/>
      <c r="P1131" s="159"/>
      <c r="Q1131" s="159"/>
      <c r="R1131" s="159"/>
      <c r="S1131" s="159"/>
      <c r="T1131" s="159"/>
      <c r="U1131" s="159"/>
      <c r="V1131" s="159"/>
      <c r="W1131" s="159"/>
      <c r="X1131" s="159"/>
      <c r="Y1131" s="159"/>
      <c r="Z1131" s="159"/>
      <c r="AA1131" s="159"/>
      <c r="AB1131" s="159"/>
      <c r="AC1131" s="159"/>
      <c r="AD1131" s="159"/>
      <c r="AE1131" s="159"/>
    </row>
    <row r="1132">
      <c r="A1132" s="159"/>
      <c r="B1132" s="159"/>
      <c r="C1132" s="159"/>
      <c r="D1132" s="159"/>
      <c r="E1132" s="159"/>
      <c r="F1132" s="159"/>
      <c r="G1132" s="159"/>
      <c r="H1132" s="159"/>
      <c r="I1132" s="159"/>
      <c r="J1132" s="159"/>
      <c r="K1132" s="159"/>
      <c r="L1132" s="159"/>
      <c r="M1132" s="159"/>
      <c r="N1132" s="159"/>
      <c r="O1132" s="159"/>
      <c r="P1132" s="159"/>
      <c r="Q1132" s="159"/>
      <c r="R1132" s="159"/>
      <c r="S1132" s="159"/>
      <c r="T1132" s="159"/>
      <c r="U1132" s="159"/>
      <c r="V1132" s="159"/>
      <c r="W1132" s="159"/>
      <c r="X1132" s="159"/>
      <c r="Y1132" s="159"/>
      <c r="Z1132" s="159"/>
      <c r="AA1132" s="159"/>
      <c r="AB1132" s="159"/>
      <c r="AC1132" s="159"/>
      <c r="AD1132" s="159"/>
      <c r="AE1132" s="159"/>
    </row>
    <row r="1133">
      <c r="A1133" s="159"/>
      <c r="B1133" s="159"/>
      <c r="C1133" s="159"/>
      <c r="D1133" s="159"/>
      <c r="E1133" s="159"/>
      <c r="F1133" s="159"/>
      <c r="G1133" s="159"/>
      <c r="H1133" s="159"/>
      <c r="I1133" s="159"/>
      <c r="J1133" s="159"/>
      <c r="K1133" s="159"/>
      <c r="L1133" s="159"/>
      <c r="M1133" s="159"/>
      <c r="N1133" s="159"/>
      <c r="O1133" s="159"/>
      <c r="P1133" s="159"/>
      <c r="Q1133" s="159"/>
      <c r="R1133" s="159"/>
      <c r="S1133" s="159"/>
      <c r="T1133" s="159"/>
      <c r="U1133" s="159"/>
      <c r="V1133" s="159"/>
      <c r="W1133" s="159"/>
      <c r="X1133" s="159"/>
      <c r="Y1133" s="159"/>
      <c r="Z1133" s="159"/>
      <c r="AA1133" s="159"/>
      <c r="AB1133" s="159"/>
      <c r="AC1133" s="159"/>
      <c r="AD1133" s="159"/>
      <c r="AE1133" s="159"/>
    </row>
    <row r="1134">
      <c r="A1134" s="159"/>
      <c r="B1134" s="159"/>
      <c r="C1134" s="159"/>
      <c r="D1134" s="159"/>
      <c r="E1134" s="159"/>
      <c r="F1134" s="159"/>
      <c r="G1134" s="159"/>
      <c r="H1134" s="159"/>
      <c r="I1134" s="159"/>
      <c r="J1134" s="159"/>
      <c r="K1134" s="159"/>
      <c r="L1134" s="159"/>
      <c r="M1134" s="159"/>
      <c r="N1134" s="159"/>
      <c r="O1134" s="159"/>
      <c r="P1134" s="159"/>
      <c r="Q1134" s="159"/>
      <c r="R1134" s="159"/>
      <c r="S1134" s="159"/>
      <c r="T1134" s="159"/>
      <c r="U1134" s="159"/>
      <c r="V1134" s="159"/>
      <c r="W1134" s="159"/>
      <c r="X1134" s="159"/>
      <c r="Y1134" s="159"/>
      <c r="Z1134" s="159"/>
      <c r="AA1134" s="159"/>
      <c r="AB1134" s="159"/>
      <c r="AC1134" s="159"/>
      <c r="AD1134" s="159"/>
      <c r="AE1134" s="159"/>
    </row>
    <row r="1135">
      <c r="A1135" s="159"/>
      <c r="B1135" s="159"/>
      <c r="C1135" s="159"/>
      <c r="D1135" s="159"/>
      <c r="E1135" s="159"/>
      <c r="F1135" s="159"/>
      <c r="G1135" s="159"/>
      <c r="H1135" s="159"/>
      <c r="I1135" s="159"/>
      <c r="J1135" s="159"/>
      <c r="K1135" s="159"/>
      <c r="L1135" s="159"/>
      <c r="M1135" s="159"/>
      <c r="N1135" s="159"/>
      <c r="O1135" s="159"/>
      <c r="P1135" s="159"/>
      <c r="Q1135" s="159"/>
      <c r="R1135" s="159"/>
      <c r="S1135" s="159"/>
      <c r="T1135" s="159"/>
      <c r="U1135" s="159"/>
      <c r="V1135" s="159"/>
      <c r="W1135" s="159"/>
      <c r="X1135" s="159"/>
      <c r="Y1135" s="159"/>
      <c r="Z1135" s="159"/>
      <c r="AA1135" s="159"/>
      <c r="AB1135" s="159"/>
      <c r="AC1135" s="159"/>
      <c r="AD1135" s="159"/>
      <c r="AE1135" s="159"/>
    </row>
    <row r="1136">
      <c r="A1136" s="159"/>
      <c r="B1136" s="159"/>
      <c r="C1136" s="159"/>
      <c r="D1136" s="159"/>
      <c r="E1136" s="159"/>
      <c r="F1136" s="159"/>
      <c r="G1136" s="159"/>
      <c r="H1136" s="159"/>
      <c r="I1136" s="159"/>
      <c r="J1136" s="159"/>
      <c r="K1136" s="159"/>
      <c r="L1136" s="159"/>
      <c r="M1136" s="159"/>
      <c r="N1136" s="159"/>
      <c r="O1136" s="159"/>
      <c r="P1136" s="159"/>
      <c r="Q1136" s="159"/>
      <c r="R1136" s="159"/>
      <c r="S1136" s="159"/>
      <c r="T1136" s="159"/>
      <c r="U1136" s="159"/>
      <c r="V1136" s="159"/>
      <c r="W1136" s="159"/>
      <c r="X1136" s="159"/>
      <c r="Y1136" s="159"/>
      <c r="Z1136" s="159"/>
      <c r="AA1136" s="159"/>
      <c r="AB1136" s="159"/>
      <c r="AC1136" s="159"/>
      <c r="AD1136" s="159"/>
      <c r="AE1136" s="159"/>
    </row>
    <row r="1137">
      <c r="A1137" s="159"/>
      <c r="B1137" s="159"/>
      <c r="C1137" s="159"/>
      <c r="D1137" s="159"/>
      <c r="E1137" s="159"/>
      <c r="F1137" s="159"/>
      <c r="G1137" s="159"/>
      <c r="H1137" s="159"/>
      <c r="I1137" s="159"/>
      <c r="J1137" s="159"/>
      <c r="K1137" s="159"/>
      <c r="L1137" s="159"/>
      <c r="M1137" s="159"/>
      <c r="N1137" s="159"/>
      <c r="O1137" s="159"/>
      <c r="P1137" s="159"/>
      <c r="Q1137" s="159"/>
      <c r="R1137" s="159"/>
      <c r="S1137" s="159"/>
      <c r="T1137" s="159"/>
      <c r="U1137" s="159"/>
      <c r="V1137" s="159"/>
      <c r="W1137" s="159"/>
      <c r="X1137" s="159"/>
      <c r="Y1137" s="159"/>
      <c r="Z1137" s="159"/>
      <c r="AA1137" s="159"/>
      <c r="AB1137" s="159"/>
      <c r="AC1137" s="159"/>
      <c r="AD1137" s="159"/>
      <c r="AE1137" s="159"/>
    </row>
    <row r="1138">
      <c r="A1138" s="159"/>
      <c r="B1138" s="159"/>
      <c r="C1138" s="159"/>
      <c r="D1138" s="159"/>
      <c r="E1138" s="159"/>
      <c r="F1138" s="159"/>
      <c r="G1138" s="159"/>
      <c r="H1138" s="159"/>
      <c r="I1138" s="159"/>
      <c r="J1138" s="159"/>
      <c r="K1138" s="159"/>
      <c r="L1138" s="159"/>
      <c r="M1138" s="159"/>
      <c r="N1138" s="159"/>
      <c r="O1138" s="159"/>
      <c r="P1138" s="159"/>
      <c r="Q1138" s="159"/>
      <c r="R1138" s="159"/>
      <c r="S1138" s="159"/>
      <c r="T1138" s="159"/>
      <c r="U1138" s="159"/>
      <c r="V1138" s="159"/>
      <c r="W1138" s="159"/>
      <c r="X1138" s="159"/>
      <c r="Y1138" s="159"/>
      <c r="Z1138" s="159"/>
      <c r="AA1138" s="159"/>
      <c r="AB1138" s="159"/>
      <c r="AC1138" s="159"/>
      <c r="AD1138" s="159"/>
      <c r="AE1138" s="159"/>
    </row>
    <row r="1139">
      <c r="A1139" s="159"/>
      <c r="B1139" s="159"/>
      <c r="C1139" s="159"/>
      <c r="D1139" s="159"/>
      <c r="E1139" s="159"/>
      <c r="F1139" s="159"/>
      <c r="G1139" s="159"/>
      <c r="H1139" s="159"/>
      <c r="I1139" s="159"/>
      <c r="J1139" s="159"/>
      <c r="K1139" s="159"/>
      <c r="L1139" s="159"/>
      <c r="M1139" s="159"/>
      <c r="N1139" s="159"/>
      <c r="O1139" s="159"/>
      <c r="P1139" s="159"/>
      <c r="Q1139" s="159"/>
      <c r="R1139" s="159"/>
      <c r="S1139" s="159"/>
      <c r="T1139" s="159"/>
      <c r="U1139" s="159"/>
      <c r="V1139" s="159"/>
      <c r="W1139" s="159"/>
      <c r="X1139" s="159"/>
      <c r="Y1139" s="159"/>
      <c r="Z1139" s="159"/>
      <c r="AA1139" s="159"/>
      <c r="AB1139" s="159"/>
      <c r="AC1139" s="159"/>
      <c r="AD1139" s="159"/>
      <c r="AE1139" s="159"/>
    </row>
    <row r="1140">
      <c r="A1140" s="159"/>
      <c r="B1140" s="159"/>
      <c r="C1140" s="159"/>
      <c r="D1140" s="159"/>
      <c r="E1140" s="159"/>
      <c r="F1140" s="159"/>
      <c r="G1140" s="159"/>
      <c r="H1140" s="159"/>
      <c r="I1140" s="159"/>
      <c r="J1140" s="159"/>
      <c r="K1140" s="159"/>
      <c r="L1140" s="159"/>
      <c r="M1140" s="159"/>
      <c r="N1140" s="159"/>
      <c r="O1140" s="159"/>
      <c r="P1140" s="159"/>
      <c r="Q1140" s="159"/>
      <c r="R1140" s="159"/>
      <c r="S1140" s="159"/>
      <c r="T1140" s="159"/>
      <c r="U1140" s="159"/>
      <c r="V1140" s="159"/>
      <c r="W1140" s="159"/>
      <c r="X1140" s="159"/>
      <c r="Y1140" s="159"/>
      <c r="Z1140" s="159"/>
      <c r="AA1140" s="159"/>
      <c r="AB1140" s="159"/>
      <c r="AC1140" s="159"/>
      <c r="AD1140" s="159"/>
      <c r="AE1140" s="159"/>
    </row>
    <row r="1141">
      <c r="A1141" s="159"/>
      <c r="B1141" s="159"/>
      <c r="C1141" s="159"/>
      <c r="D1141" s="159"/>
      <c r="E1141" s="159"/>
      <c r="F1141" s="159"/>
      <c r="G1141" s="159"/>
      <c r="H1141" s="159"/>
      <c r="I1141" s="159"/>
      <c r="J1141" s="159"/>
      <c r="K1141" s="159"/>
      <c r="L1141" s="159"/>
      <c r="M1141" s="159"/>
      <c r="N1141" s="159"/>
      <c r="O1141" s="159"/>
      <c r="P1141" s="159"/>
      <c r="Q1141" s="159"/>
      <c r="R1141" s="159"/>
      <c r="S1141" s="159"/>
      <c r="T1141" s="159"/>
      <c r="U1141" s="159"/>
      <c r="V1141" s="159"/>
      <c r="W1141" s="159"/>
      <c r="X1141" s="159"/>
      <c r="Y1141" s="159"/>
      <c r="Z1141" s="159"/>
      <c r="AA1141" s="159"/>
      <c r="AB1141" s="159"/>
      <c r="AC1141" s="159"/>
      <c r="AD1141" s="159"/>
      <c r="AE1141" s="159"/>
    </row>
    <row r="1142">
      <c r="A1142" s="159"/>
      <c r="B1142" s="159"/>
      <c r="C1142" s="159"/>
      <c r="D1142" s="159"/>
      <c r="E1142" s="159"/>
      <c r="F1142" s="159"/>
      <c r="G1142" s="159"/>
      <c r="H1142" s="159"/>
      <c r="I1142" s="159"/>
      <c r="J1142" s="159"/>
      <c r="K1142" s="159"/>
      <c r="L1142" s="159"/>
      <c r="M1142" s="159"/>
      <c r="N1142" s="159"/>
      <c r="O1142" s="159"/>
      <c r="P1142" s="159"/>
      <c r="Q1142" s="159"/>
      <c r="R1142" s="159"/>
      <c r="S1142" s="159"/>
      <c r="T1142" s="159"/>
      <c r="U1142" s="159"/>
      <c r="V1142" s="159"/>
      <c r="W1142" s="159"/>
      <c r="X1142" s="159"/>
      <c r="Y1142" s="159"/>
      <c r="Z1142" s="159"/>
      <c r="AA1142" s="159"/>
      <c r="AB1142" s="159"/>
      <c r="AC1142" s="159"/>
      <c r="AD1142" s="159"/>
      <c r="AE1142" s="159"/>
    </row>
    <row r="1143">
      <c r="A1143" s="159"/>
      <c r="B1143" s="159"/>
      <c r="C1143" s="159"/>
      <c r="D1143" s="159"/>
      <c r="E1143" s="159"/>
      <c r="F1143" s="159"/>
      <c r="G1143" s="159"/>
      <c r="H1143" s="159"/>
      <c r="I1143" s="159"/>
      <c r="J1143" s="159"/>
      <c r="K1143" s="159"/>
      <c r="L1143" s="159"/>
      <c r="M1143" s="159"/>
      <c r="N1143" s="159"/>
      <c r="O1143" s="159"/>
      <c r="P1143" s="159"/>
      <c r="Q1143" s="159"/>
      <c r="R1143" s="159"/>
      <c r="S1143" s="159"/>
      <c r="T1143" s="159"/>
      <c r="U1143" s="159"/>
      <c r="V1143" s="159"/>
      <c r="W1143" s="159"/>
      <c r="X1143" s="159"/>
      <c r="Y1143" s="159"/>
      <c r="Z1143" s="159"/>
      <c r="AA1143" s="159"/>
      <c r="AB1143" s="159"/>
      <c r="AC1143" s="159"/>
      <c r="AD1143" s="159"/>
      <c r="AE1143" s="159"/>
    </row>
    <row r="1144">
      <c r="A1144" s="159"/>
      <c r="B1144" s="159"/>
      <c r="C1144" s="159"/>
      <c r="D1144" s="159"/>
      <c r="E1144" s="159"/>
      <c r="F1144" s="159"/>
      <c r="G1144" s="159"/>
      <c r="H1144" s="159"/>
      <c r="I1144" s="159"/>
      <c r="J1144" s="159"/>
      <c r="K1144" s="159"/>
      <c r="L1144" s="159"/>
      <c r="M1144" s="159"/>
      <c r="N1144" s="159"/>
      <c r="O1144" s="159"/>
      <c r="P1144" s="159"/>
      <c r="Q1144" s="159"/>
      <c r="R1144" s="159"/>
      <c r="S1144" s="159"/>
      <c r="T1144" s="159"/>
      <c r="U1144" s="159"/>
      <c r="V1144" s="159"/>
      <c r="W1144" s="159"/>
      <c r="X1144" s="159"/>
      <c r="Y1144" s="159"/>
      <c r="Z1144" s="159"/>
      <c r="AA1144" s="159"/>
      <c r="AB1144" s="159"/>
      <c r="AC1144" s="159"/>
      <c r="AD1144" s="159"/>
      <c r="AE1144" s="159"/>
    </row>
    <row r="1145">
      <c r="A1145" s="159"/>
      <c r="B1145" s="159"/>
      <c r="C1145" s="159"/>
      <c r="D1145" s="159"/>
      <c r="E1145" s="159"/>
      <c r="F1145" s="159"/>
      <c r="G1145" s="159"/>
      <c r="H1145" s="159"/>
      <c r="I1145" s="159"/>
      <c r="J1145" s="159"/>
      <c r="K1145" s="159"/>
      <c r="L1145" s="159"/>
      <c r="M1145" s="159"/>
      <c r="N1145" s="159"/>
      <c r="O1145" s="159"/>
      <c r="P1145" s="159"/>
      <c r="Q1145" s="159"/>
      <c r="R1145" s="159"/>
      <c r="S1145" s="159"/>
      <c r="T1145" s="159"/>
      <c r="U1145" s="159"/>
      <c r="V1145" s="159"/>
      <c r="W1145" s="159"/>
      <c r="X1145" s="159"/>
      <c r="Y1145" s="159"/>
      <c r="Z1145" s="159"/>
      <c r="AA1145" s="159"/>
      <c r="AB1145" s="159"/>
      <c r="AC1145" s="159"/>
      <c r="AD1145" s="159"/>
      <c r="AE1145" s="159"/>
    </row>
    <row r="1146">
      <c r="A1146" s="159"/>
      <c r="B1146" s="159"/>
      <c r="C1146" s="159"/>
      <c r="D1146" s="159"/>
      <c r="E1146" s="159"/>
      <c r="F1146" s="159"/>
      <c r="G1146" s="159"/>
      <c r="H1146" s="159"/>
      <c r="I1146" s="159"/>
      <c r="J1146" s="159"/>
      <c r="K1146" s="159"/>
      <c r="L1146" s="159"/>
      <c r="M1146" s="159"/>
      <c r="N1146" s="159"/>
      <c r="O1146" s="159"/>
      <c r="P1146" s="159"/>
      <c r="Q1146" s="159"/>
      <c r="R1146" s="159"/>
      <c r="S1146" s="159"/>
      <c r="T1146" s="159"/>
      <c r="U1146" s="159"/>
      <c r="V1146" s="159"/>
      <c r="W1146" s="159"/>
      <c r="X1146" s="159"/>
      <c r="Y1146" s="159"/>
      <c r="Z1146" s="159"/>
      <c r="AA1146" s="159"/>
      <c r="AB1146" s="159"/>
      <c r="AC1146" s="159"/>
      <c r="AD1146" s="159"/>
      <c r="AE1146" s="159"/>
    </row>
    <row r="1147">
      <c r="A1147" s="159"/>
      <c r="B1147" s="159"/>
      <c r="C1147" s="159"/>
      <c r="D1147" s="159"/>
      <c r="E1147" s="159"/>
      <c r="F1147" s="159"/>
      <c r="G1147" s="159"/>
      <c r="H1147" s="159"/>
      <c r="I1147" s="159"/>
      <c r="J1147" s="159"/>
      <c r="K1147" s="159"/>
      <c r="L1147" s="159"/>
      <c r="M1147" s="159"/>
      <c r="N1147" s="159"/>
      <c r="O1147" s="159"/>
      <c r="P1147" s="159"/>
      <c r="Q1147" s="159"/>
      <c r="R1147" s="159"/>
      <c r="S1147" s="159"/>
      <c r="T1147" s="159"/>
      <c r="U1147" s="159"/>
      <c r="V1147" s="159"/>
      <c r="W1147" s="159"/>
      <c r="X1147" s="159"/>
      <c r="Y1147" s="159"/>
      <c r="Z1147" s="159"/>
      <c r="AA1147" s="159"/>
      <c r="AB1147" s="159"/>
      <c r="AC1147" s="159"/>
      <c r="AD1147" s="159"/>
      <c r="AE1147" s="159"/>
    </row>
    <row r="1148">
      <c r="A1148" s="159"/>
      <c r="B1148" s="159"/>
      <c r="C1148" s="159"/>
      <c r="D1148" s="159"/>
      <c r="E1148" s="159"/>
      <c r="F1148" s="159"/>
      <c r="G1148" s="159"/>
      <c r="H1148" s="159"/>
      <c r="I1148" s="159"/>
      <c r="J1148" s="159"/>
      <c r="K1148" s="159"/>
      <c r="L1148" s="159"/>
      <c r="M1148" s="159"/>
      <c r="N1148" s="159"/>
      <c r="O1148" s="159"/>
      <c r="P1148" s="159"/>
      <c r="Q1148" s="159"/>
      <c r="R1148" s="159"/>
      <c r="S1148" s="159"/>
      <c r="T1148" s="159"/>
      <c r="U1148" s="159"/>
      <c r="V1148" s="159"/>
      <c r="W1148" s="159"/>
      <c r="X1148" s="159"/>
      <c r="Y1148" s="159"/>
      <c r="Z1148" s="159"/>
      <c r="AA1148" s="159"/>
      <c r="AB1148" s="159"/>
      <c r="AC1148" s="159"/>
      <c r="AD1148" s="159"/>
      <c r="AE1148" s="159"/>
    </row>
    <row r="1149">
      <c r="A1149" s="159"/>
      <c r="B1149" s="159"/>
      <c r="C1149" s="159"/>
      <c r="D1149" s="159"/>
      <c r="E1149" s="159"/>
      <c r="F1149" s="159"/>
      <c r="G1149" s="159"/>
      <c r="H1149" s="159"/>
      <c r="I1149" s="159"/>
      <c r="J1149" s="159"/>
      <c r="K1149" s="159"/>
      <c r="L1149" s="159"/>
      <c r="M1149" s="159"/>
      <c r="N1149" s="159"/>
      <c r="O1149" s="159"/>
      <c r="P1149" s="159"/>
      <c r="Q1149" s="159"/>
      <c r="R1149" s="159"/>
      <c r="S1149" s="159"/>
      <c r="T1149" s="159"/>
      <c r="U1149" s="159"/>
      <c r="V1149" s="159"/>
      <c r="W1149" s="159"/>
      <c r="X1149" s="159"/>
      <c r="Y1149" s="159"/>
      <c r="Z1149" s="159"/>
      <c r="AA1149" s="159"/>
      <c r="AB1149" s="159"/>
      <c r="AC1149" s="159"/>
      <c r="AD1149" s="159"/>
      <c r="AE1149" s="159"/>
    </row>
    <row r="1150">
      <c r="A1150" s="159"/>
      <c r="B1150" s="159"/>
      <c r="C1150" s="159"/>
      <c r="D1150" s="159"/>
      <c r="E1150" s="159"/>
      <c r="F1150" s="159"/>
      <c r="G1150" s="159"/>
      <c r="H1150" s="159"/>
      <c r="I1150" s="159"/>
      <c r="J1150" s="159"/>
      <c r="K1150" s="159"/>
      <c r="L1150" s="159"/>
      <c r="M1150" s="159"/>
      <c r="N1150" s="159"/>
      <c r="O1150" s="159"/>
      <c r="P1150" s="159"/>
      <c r="Q1150" s="159"/>
      <c r="R1150" s="159"/>
      <c r="S1150" s="159"/>
      <c r="T1150" s="159"/>
      <c r="U1150" s="159"/>
      <c r="V1150" s="159"/>
      <c r="W1150" s="159"/>
      <c r="X1150" s="159"/>
      <c r="Y1150" s="159"/>
      <c r="Z1150" s="159"/>
      <c r="AA1150" s="159"/>
      <c r="AB1150" s="159"/>
      <c r="AC1150" s="159"/>
      <c r="AD1150" s="159"/>
      <c r="AE1150" s="159"/>
    </row>
    <row r="1151">
      <c r="A1151" s="159"/>
      <c r="B1151" s="159"/>
      <c r="C1151" s="159"/>
      <c r="D1151" s="159"/>
      <c r="E1151" s="159"/>
      <c r="F1151" s="159"/>
      <c r="G1151" s="159"/>
      <c r="H1151" s="159"/>
      <c r="I1151" s="159"/>
      <c r="J1151" s="159"/>
      <c r="K1151" s="159"/>
      <c r="L1151" s="159"/>
      <c r="M1151" s="159"/>
      <c r="N1151" s="159"/>
      <c r="O1151" s="159"/>
      <c r="P1151" s="159"/>
      <c r="Q1151" s="159"/>
      <c r="R1151" s="159"/>
      <c r="S1151" s="159"/>
      <c r="T1151" s="159"/>
      <c r="U1151" s="159"/>
      <c r="V1151" s="159"/>
      <c r="W1151" s="159"/>
      <c r="X1151" s="159"/>
      <c r="Y1151" s="159"/>
      <c r="Z1151" s="159"/>
      <c r="AA1151" s="159"/>
      <c r="AB1151" s="159"/>
      <c r="AC1151" s="159"/>
      <c r="AD1151" s="159"/>
      <c r="AE1151" s="159"/>
    </row>
    <row r="1152">
      <c r="A1152" s="159"/>
      <c r="B1152" s="159"/>
      <c r="C1152" s="159"/>
      <c r="D1152" s="159"/>
      <c r="E1152" s="159"/>
      <c r="F1152" s="159"/>
      <c r="G1152" s="159"/>
      <c r="H1152" s="159"/>
      <c r="I1152" s="159"/>
      <c r="J1152" s="159"/>
      <c r="K1152" s="159"/>
      <c r="L1152" s="159"/>
      <c r="M1152" s="159"/>
      <c r="N1152" s="159"/>
      <c r="O1152" s="159"/>
      <c r="P1152" s="159"/>
      <c r="Q1152" s="159"/>
      <c r="R1152" s="159"/>
      <c r="S1152" s="159"/>
      <c r="T1152" s="159"/>
      <c r="U1152" s="159"/>
      <c r="V1152" s="159"/>
      <c r="W1152" s="159"/>
      <c r="X1152" s="159"/>
      <c r="Y1152" s="159"/>
      <c r="Z1152" s="159"/>
      <c r="AA1152" s="159"/>
      <c r="AB1152" s="159"/>
      <c r="AC1152" s="159"/>
      <c r="AD1152" s="159"/>
      <c r="AE1152" s="159"/>
    </row>
    <row r="1153">
      <c r="A1153" s="159"/>
      <c r="B1153" s="159"/>
      <c r="C1153" s="159"/>
      <c r="D1153" s="159"/>
      <c r="E1153" s="159"/>
      <c r="F1153" s="159"/>
      <c r="G1153" s="159"/>
      <c r="H1153" s="159"/>
      <c r="I1153" s="159"/>
      <c r="J1153" s="159"/>
      <c r="K1153" s="159"/>
      <c r="L1153" s="159"/>
      <c r="M1153" s="159"/>
      <c r="N1153" s="159"/>
      <c r="O1153" s="159"/>
      <c r="P1153" s="159"/>
      <c r="Q1153" s="159"/>
      <c r="R1153" s="159"/>
      <c r="S1153" s="159"/>
      <c r="T1153" s="159"/>
      <c r="U1153" s="159"/>
      <c r="V1153" s="159"/>
      <c r="W1153" s="159"/>
      <c r="X1153" s="159"/>
      <c r="Y1153" s="159"/>
      <c r="Z1153" s="159"/>
      <c r="AA1153" s="159"/>
      <c r="AB1153" s="159"/>
      <c r="AC1153" s="159"/>
      <c r="AD1153" s="159"/>
      <c r="AE1153" s="159"/>
    </row>
    <row r="1154">
      <c r="A1154" s="159"/>
      <c r="B1154" s="159"/>
      <c r="C1154" s="159"/>
      <c r="D1154" s="159"/>
      <c r="E1154" s="159"/>
      <c r="F1154" s="159"/>
      <c r="G1154" s="159"/>
      <c r="H1154" s="159"/>
      <c r="I1154" s="159"/>
      <c r="J1154" s="159"/>
      <c r="K1154" s="159"/>
      <c r="L1154" s="159"/>
      <c r="M1154" s="159"/>
      <c r="N1154" s="159"/>
      <c r="O1154" s="159"/>
      <c r="P1154" s="159"/>
      <c r="Q1154" s="159"/>
      <c r="R1154" s="159"/>
      <c r="S1154" s="159"/>
      <c r="T1154" s="159"/>
      <c r="U1154" s="159"/>
      <c r="V1154" s="159"/>
      <c r="W1154" s="159"/>
      <c r="X1154" s="159"/>
      <c r="Y1154" s="159"/>
      <c r="Z1154" s="159"/>
      <c r="AA1154" s="159"/>
      <c r="AB1154" s="159"/>
      <c r="AC1154" s="159"/>
      <c r="AD1154" s="159"/>
      <c r="AE1154" s="159"/>
    </row>
    <row r="1155">
      <c r="A1155" s="159"/>
      <c r="B1155" s="159"/>
      <c r="C1155" s="159"/>
      <c r="D1155" s="159"/>
      <c r="E1155" s="159"/>
      <c r="F1155" s="159"/>
      <c r="G1155" s="159"/>
      <c r="H1155" s="159"/>
      <c r="I1155" s="159"/>
      <c r="J1155" s="159"/>
      <c r="K1155" s="159"/>
      <c r="L1155" s="159"/>
      <c r="M1155" s="159"/>
      <c r="N1155" s="159"/>
      <c r="O1155" s="159"/>
      <c r="P1155" s="159"/>
      <c r="Q1155" s="159"/>
      <c r="R1155" s="159"/>
      <c r="S1155" s="159"/>
      <c r="T1155" s="159"/>
      <c r="U1155" s="159"/>
      <c r="V1155" s="159"/>
      <c r="W1155" s="159"/>
      <c r="X1155" s="159"/>
      <c r="Y1155" s="159"/>
      <c r="Z1155" s="159"/>
      <c r="AA1155" s="159"/>
      <c r="AB1155" s="159"/>
      <c r="AC1155" s="159"/>
      <c r="AD1155" s="159"/>
      <c r="AE1155" s="159"/>
    </row>
    <row r="1156">
      <c r="A1156" s="159"/>
      <c r="B1156" s="159"/>
      <c r="C1156" s="159"/>
      <c r="D1156" s="159"/>
      <c r="E1156" s="159"/>
      <c r="F1156" s="159"/>
      <c r="G1156" s="159"/>
      <c r="H1156" s="159"/>
      <c r="I1156" s="159"/>
      <c r="J1156" s="159"/>
      <c r="K1156" s="159"/>
      <c r="L1156" s="159"/>
      <c r="M1156" s="159"/>
      <c r="N1156" s="159"/>
      <c r="O1156" s="159"/>
      <c r="P1156" s="159"/>
      <c r="Q1156" s="159"/>
      <c r="R1156" s="159"/>
      <c r="S1156" s="159"/>
      <c r="T1156" s="159"/>
      <c r="U1156" s="159"/>
      <c r="V1156" s="159"/>
      <c r="W1156" s="159"/>
      <c r="X1156" s="159"/>
      <c r="Y1156" s="159"/>
      <c r="Z1156" s="159"/>
      <c r="AA1156" s="159"/>
      <c r="AB1156" s="159"/>
      <c r="AC1156" s="159"/>
      <c r="AD1156" s="159"/>
      <c r="AE1156" s="159"/>
    </row>
    <row r="1157">
      <c r="A1157" s="159"/>
      <c r="B1157" s="159"/>
      <c r="C1157" s="159"/>
      <c r="D1157" s="159"/>
      <c r="E1157" s="159"/>
      <c r="F1157" s="159"/>
      <c r="G1157" s="159"/>
      <c r="H1157" s="159"/>
      <c r="I1157" s="159"/>
      <c r="J1157" s="159"/>
      <c r="K1157" s="159"/>
      <c r="L1157" s="159"/>
      <c r="M1157" s="159"/>
      <c r="N1157" s="159"/>
      <c r="O1157" s="159"/>
      <c r="P1157" s="159"/>
      <c r="Q1157" s="159"/>
      <c r="R1157" s="159"/>
      <c r="S1157" s="159"/>
      <c r="T1157" s="159"/>
      <c r="U1157" s="159"/>
      <c r="V1157" s="159"/>
      <c r="W1157" s="159"/>
      <c r="X1157" s="159"/>
      <c r="Y1157" s="159"/>
      <c r="Z1157" s="159"/>
      <c r="AA1157" s="159"/>
      <c r="AB1157" s="159"/>
      <c r="AC1157" s="159"/>
      <c r="AD1157" s="159"/>
      <c r="AE1157" s="159"/>
    </row>
    <row r="1158">
      <c r="A1158" s="159"/>
      <c r="B1158" s="159"/>
      <c r="C1158" s="159"/>
      <c r="D1158" s="159"/>
      <c r="E1158" s="159"/>
      <c r="F1158" s="159"/>
      <c r="G1158" s="159"/>
      <c r="H1158" s="159"/>
      <c r="I1158" s="159"/>
      <c r="J1158" s="159"/>
      <c r="K1158" s="159"/>
      <c r="L1158" s="159"/>
      <c r="M1158" s="159"/>
      <c r="N1158" s="159"/>
      <c r="O1158" s="159"/>
      <c r="P1158" s="159"/>
      <c r="Q1158" s="159"/>
      <c r="R1158" s="159"/>
      <c r="S1158" s="159"/>
      <c r="T1158" s="159"/>
      <c r="U1158" s="159"/>
      <c r="V1158" s="159"/>
      <c r="W1158" s="159"/>
      <c r="X1158" s="159"/>
      <c r="Y1158" s="159"/>
      <c r="Z1158" s="159"/>
      <c r="AA1158" s="159"/>
      <c r="AB1158" s="159"/>
      <c r="AC1158" s="159"/>
      <c r="AD1158" s="159"/>
      <c r="AE1158" s="159"/>
    </row>
    <row r="1159">
      <c r="A1159" s="159"/>
      <c r="B1159" s="159"/>
      <c r="C1159" s="159"/>
      <c r="D1159" s="159"/>
      <c r="E1159" s="159"/>
      <c r="F1159" s="159"/>
      <c r="G1159" s="159"/>
      <c r="H1159" s="159"/>
      <c r="I1159" s="159"/>
      <c r="J1159" s="159"/>
      <c r="K1159" s="159"/>
      <c r="L1159" s="159"/>
      <c r="M1159" s="159"/>
      <c r="N1159" s="159"/>
      <c r="O1159" s="159"/>
      <c r="P1159" s="159"/>
      <c r="Q1159" s="159"/>
      <c r="R1159" s="159"/>
      <c r="S1159" s="159"/>
      <c r="T1159" s="159"/>
      <c r="U1159" s="159"/>
      <c r="V1159" s="159"/>
      <c r="W1159" s="159"/>
      <c r="X1159" s="159"/>
      <c r="Y1159" s="159"/>
      <c r="Z1159" s="159"/>
      <c r="AA1159" s="159"/>
      <c r="AB1159" s="159"/>
      <c r="AC1159" s="159"/>
      <c r="AD1159" s="159"/>
      <c r="AE1159" s="159"/>
    </row>
    <row r="1160">
      <c r="A1160" s="159"/>
      <c r="B1160" s="159"/>
      <c r="C1160" s="159"/>
      <c r="D1160" s="159"/>
      <c r="E1160" s="159"/>
      <c r="F1160" s="159"/>
      <c r="G1160" s="159"/>
      <c r="H1160" s="159"/>
      <c r="I1160" s="159"/>
      <c r="J1160" s="159"/>
      <c r="K1160" s="159"/>
      <c r="L1160" s="159"/>
      <c r="M1160" s="159"/>
      <c r="N1160" s="159"/>
      <c r="O1160" s="159"/>
      <c r="P1160" s="159"/>
      <c r="Q1160" s="159"/>
      <c r="R1160" s="159"/>
      <c r="S1160" s="159"/>
      <c r="T1160" s="159"/>
      <c r="U1160" s="159"/>
      <c r="V1160" s="159"/>
      <c r="W1160" s="159"/>
      <c r="X1160" s="159"/>
      <c r="Y1160" s="159"/>
      <c r="Z1160" s="159"/>
      <c r="AA1160" s="159"/>
      <c r="AB1160" s="159"/>
      <c r="AC1160" s="159"/>
      <c r="AD1160" s="159"/>
      <c r="AE1160" s="159"/>
    </row>
  </sheetData>
  <mergeCells count="26">
    <mergeCell ref="A1:F1"/>
    <mergeCell ref="H1:M1"/>
    <mergeCell ref="B14:E14"/>
    <mergeCell ref="A17:F17"/>
    <mergeCell ref="H17:M17"/>
    <mergeCell ref="O17:T17"/>
    <mergeCell ref="V17:AA17"/>
    <mergeCell ref="P34:V34"/>
    <mergeCell ref="W34:AC34"/>
    <mergeCell ref="I14:L14"/>
    <mergeCell ref="I30:L30"/>
    <mergeCell ref="P30:S30"/>
    <mergeCell ref="W30:Z30"/>
    <mergeCell ref="B31:E31"/>
    <mergeCell ref="A34:F34"/>
    <mergeCell ref="H34:N34"/>
    <mergeCell ref="B62:E62"/>
    <mergeCell ref="J62:M62"/>
    <mergeCell ref="Q62:T62"/>
    <mergeCell ref="B47:E47"/>
    <mergeCell ref="I47:L47"/>
    <mergeCell ref="Q47:T47"/>
    <mergeCell ref="X47:AA47"/>
    <mergeCell ref="A49:H49"/>
    <mergeCell ref="I49:O49"/>
    <mergeCell ref="P49:V49"/>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17.5"/>
    <col customWidth="1" min="3" max="3" width="23.5"/>
    <col customWidth="1" min="5" max="5" width="23.63"/>
  </cols>
  <sheetData>
    <row r="1">
      <c r="A1" s="222" t="s">
        <v>2395</v>
      </c>
      <c r="B1" s="3"/>
      <c r="C1" s="3"/>
      <c r="D1" s="3"/>
      <c r="E1" s="5"/>
    </row>
    <row r="2">
      <c r="A2" s="223" t="s">
        <v>4112</v>
      </c>
      <c r="B2" s="223" t="s">
        <v>4113</v>
      </c>
      <c r="C2" s="223" t="s">
        <v>4114</v>
      </c>
      <c r="D2" s="223" t="s">
        <v>253</v>
      </c>
      <c r="E2" s="223" t="s">
        <v>4115</v>
      </c>
    </row>
    <row r="3">
      <c r="A3" s="224">
        <v>1.0</v>
      </c>
      <c r="B3" s="224" t="s">
        <v>2478</v>
      </c>
      <c r="C3" s="224" t="s">
        <v>4117</v>
      </c>
      <c r="D3" s="224" t="s">
        <v>4118</v>
      </c>
      <c r="E3" s="224" t="s">
        <v>224</v>
      </c>
    </row>
    <row r="4">
      <c r="A4" s="224">
        <v>2.0</v>
      </c>
      <c r="B4" s="224" t="s">
        <v>4119</v>
      </c>
      <c r="C4" s="224" t="s">
        <v>4120</v>
      </c>
      <c r="D4" s="224" t="s">
        <v>4121</v>
      </c>
      <c r="E4" s="224" t="s">
        <v>4122</v>
      </c>
    </row>
    <row r="5">
      <c r="A5" s="224">
        <v>3.0</v>
      </c>
      <c r="B5" s="224" t="s">
        <v>4119</v>
      </c>
      <c r="C5" s="224" t="s">
        <v>4123</v>
      </c>
      <c r="D5" s="224" t="s">
        <v>4124</v>
      </c>
      <c r="E5" s="224" t="s">
        <v>4125</v>
      </c>
    </row>
    <row r="6">
      <c r="A6" s="224">
        <v>4.0</v>
      </c>
      <c r="B6" s="224" t="s">
        <v>4119</v>
      </c>
      <c r="C6" s="224" t="s">
        <v>4127</v>
      </c>
      <c r="D6" s="224" t="s">
        <v>4118</v>
      </c>
      <c r="E6" s="224" t="s">
        <v>4128</v>
      </c>
    </row>
    <row r="7">
      <c r="A7" s="224">
        <v>5.0</v>
      </c>
      <c r="B7" s="224" t="s">
        <v>4129</v>
      </c>
      <c r="C7" s="224" t="s">
        <v>4130</v>
      </c>
      <c r="D7" s="224" t="s">
        <v>4118</v>
      </c>
      <c r="E7" s="224" t="s">
        <v>4131</v>
      </c>
    </row>
    <row r="8">
      <c r="A8" s="224">
        <v>6.0</v>
      </c>
      <c r="B8" s="224" t="s">
        <v>2478</v>
      </c>
      <c r="C8" s="224" t="s">
        <v>4132</v>
      </c>
      <c r="D8" s="224" t="s">
        <v>4118</v>
      </c>
      <c r="E8" s="224" t="s">
        <v>224</v>
      </c>
    </row>
    <row r="9">
      <c r="A9" s="224">
        <v>7.0</v>
      </c>
      <c r="B9" s="224" t="s">
        <v>4129</v>
      </c>
      <c r="C9" s="224" t="s">
        <v>4134</v>
      </c>
      <c r="D9" s="224" t="s">
        <v>4118</v>
      </c>
      <c r="E9" s="224" t="s">
        <v>4131</v>
      </c>
    </row>
    <row r="10">
      <c r="A10" s="224">
        <v>8.0</v>
      </c>
      <c r="B10" s="224" t="s">
        <v>4135</v>
      </c>
      <c r="C10" s="224" t="s">
        <v>4136</v>
      </c>
      <c r="D10" s="224" t="s">
        <v>4137</v>
      </c>
      <c r="E10" s="224" t="s">
        <v>224</v>
      </c>
    </row>
    <row r="11">
      <c r="A11" s="224">
        <v>9.0</v>
      </c>
      <c r="B11" s="224" t="s">
        <v>4129</v>
      </c>
      <c r="C11" s="224" t="s">
        <v>4138</v>
      </c>
      <c r="D11" s="224" t="s">
        <v>4124</v>
      </c>
      <c r="E11" s="224" t="s">
        <v>4131</v>
      </c>
    </row>
    <row r="12">
      <c r="A12" s="224">
        <v>10.0</v>
      </c>
      <c r="B12" s="224" t="s">
        <v>4119</v>
      </c>
      <c r="C12" s="225" t="s">
        <v>4139</v>
      </c>
      <c r="D12" s="225" t="s">
        <v>4121</v>
      </c>
      <c r="E12" s="225" t="s">
        <v>4141</v>
      </c>
    </row>
    <row r="13">
      <c r="A13" s="224">
        <v>11.0</v>
      </c>
      <c r="B13" s="224" t="s">
        <v>4119</v>
      </c>
      <c r="C13" s="225" t="s">
        <v>4142</v>
      </c>
      <c r="D13" s="225" t="s">
        <v>4124</v>
      </c>
      <c r="E13" s="225" t="s">
        <v>4144</v>
      </c>
    </row>
    <row r="14">
      <c r="A14" s="224">
        <v>12.0</v>
      </c>
      <c r="B14" s="224" t="s">
        <v>4119</v>
      </c>
      <c r="C14" s="225" t="s">
        <v>4145</v>
      </c>
      <c r="D14" s="225" t="s">
        <v>4137</v>
      </c>
      <c r="E14" s="224" t="s">
        <v>4128</v>
      </c>
    </row>
    <row r="15">
      <c r="A15" s="224">
        <v>13.0</v>
      </c>
      <c r="B15" s="224" t="s">
        <v>4119</v>
      </c>
      <c r="C15" s="225" t="s">
        <v>4146</v>
      </c>
      <c r="D15" s="225" t="s">
        <v>4124</v>
      </c>
      <c r="E15" s="224" t="s">
        <v>4122</v>
      </c>
    </row>
    <row r="16">
      <c r="A16" s="224">
        <v>14.0</v>
      </c>
      <c r="B16" s="224" t="s">
        <v>4119</v>
      </c>
      <c r="C16" s="225" t="s">
        <v>4147</v>
      </c>
      <c r="D16" s="225" t="s">
        <v>4124</v>
      </c>
      <c r="E16" s="224" t="s">
        <v>4128</v>
      </c>
    </row>
    <row r="17">
      <c r="A17" s="224">
        <v>15.0</v>
      </c>
      <c r="B17" s="224" t="s">
        <v>4119</v>
      </c>
      <c r="C17" s="225" t="s">
        <v>4148</v>
      </c>
      <c r="D17" s="225" t="s">
        <v>4121</v>
      </c>
      <c r="E17" s="224" t="s">
        <v>4125</v>
      </c>
    </row>
    <row r="18">
      <c r="A18" s="224">
        <v>16.0</v>
      </c>
      <c r="B18" s="225" t="s">
        <v>4149</v>
      </c>
      <c r="C18" s="225" t="s">
        <v>573</v>
      </c>
      <c r="D18" s="225" t="s">
        <v>4150</v>
      </c>
      <c r="E18" s="225" t="s">
        <v>224</v>
      </c>
    </row>
    <row r="19">
      <c r="A19" s="224">
        <v>17.0</v>
      </c>
      <c r="B19" s="225" t="s">
        <v>4151</v>
      </c>
      <c r="C19" s="226" t="s">
        <v>4152</v>
      </c>
      <c r="D19" s="225" t="s">
        <v>4124</v>
      </c>
      <c r="E19" s="225" t="s">
        <v>224</v>
      </c>
    </row>
    <row r="20">
      <c r="A20" s="224">
        <v>18.0</v>
      </c>
      <c r="B20" s="225" t="s">
        <v>4151</v>
      </c>
      <c r="C20" s="226" t="s">
        <v>4154</v>
      </c>
      <c r="D20" s="225" t="s">
        <v>4124</v>
      </c>
      <c r="E20" s="225" t="s">
        <v>224</v>
      </c>
    </row>
    <row r="21">
      <c r="A21" s="224">
        <v>19.0</v>
      </c>
      <c r="B21" s="225" t="s">
        <v>4151</v>
      </c>
      <c r="C21" s="226" t="s">
        <v>4157</v>
      </c>
      <c r="D21" s="225" t="s">
        <v>4124</v>
      </c>
      <c r="E21" s="225" t="s">
        <v>224</v>
      </c>
    </row>
    <row r="22">
      <c r="A22" s="224">
        <v>20.0</v>
      </c>
      <c r="B22" s="225" t="s">
        <v>4151</v>
      </c>
      <c r="C22" s="226" t="s">
        <v>4158</v>
      </c>
      <c r="D22" s="225" t="s">
        <v>4124</v>
      </c>
      <c r="E22" s="225" t="s">
        <v>224</v>
      </c>
    </row>
    <row r="23">
      <c r="A23" s="224">
        <v>21.0</v>
      </c>
      <c r="B23" s="225" t="s">
        <v>4151</v>
      </c>
      <c r="C23" s="226" t="s">
        <v>339</v>
      </c>
      <c r="D23" s="225" t="s">
        <v>4137</v>
      </c>
      <c r="E23" s="225" t="s">
        <v>224</v>
      </c>
    </row>
    <row r="24">
      <c r="A24" s="224">
        <v>22.0</v>
      </c>
      <c r="B24" s="225" t="s">
        <v>4151</v>
      </c>
      <c r="C24" s="226" t="s">
        <v>4162</v>
      </c>
      <c r="D24" s="225" t="s">
        <v>4124</v>
      </c>
      <c r="E24" s="225" t="s">
        <v>224</v>
      </c>
    </row>
    <row r="25">
      <c r="A25" s="224">
        <v>23.0</v>
      </c>
      <c r="B25" s="225" t="s">
        <v>4151</v>
      </c>
      <c r="C25" s="226" t="s">
        <v>4166</v>
      </c>
      <c r="D25" s="225" t="s">
        <v>4124</v>
      </c>
      <c r="E25" s="225" t="s">
        <v>224</v>
      </c>
    </row>
    <row r="26">
      <c r="A26" s="224">
        <v>24.0</v>
      </c>
      <c r="B26" s="225" t="s">
        <v>4151</v>
      </c>
      <c r="C26" s="226" t="s">
        <v>4167</v>
      </c>
      <c r="D26" s="225" t="s">
        <v>4124</v>
      </c>
      <c r="E26" s="225" t="s">
        <v>224</v>
      </c>
    </row>
    <row r="27">
      <c r="A27" s="224">
        <v>25.0</v>
      </c>
      <c r="B27" s="225" t="s">
        <v>4151</v>
      </c>
      <c r="C27" s="226" t="s">
        <v>4168</v>
      </c>
      <c r="D27" s="225" t="s">
        <v>4124</v>
      </c>
      <c r="E27" s="225" t="s">
        <v>224</v>
      </c>
    </row>
    <row r="28">
      <c r="A28" s="224">
        <v>26.0</v>
      </c>
      <c r="B28" s="225" t="s">
        <v>4151</v>
      </c>
      <c r="C28" s="226" t="s">
        <v>4169</v>
      </c>
      <c r="D28" s="225" t="s">
        <v>4124</v>
      </c>
      <c r="E28" s="225" t="s">
        <v>224</v>
      </c>
    </row>
    <row r="29">
      <c r="A29" s="224">
        <v>27.0</v>
      </c>
      <c r="B29" s="225" t="s">
        <v>4170</v>
      </c>
      <c r="C29" s="225" t="s">
        <v>4171</v>
      </c>
      <c r="D29" s="225" t="s">
        <v>4124</v>
      </c>
      <c r="E29" s="225" t="s">
        <v>224</v>
      </c>
    </row>
    <row r="30">
      <c r="A30" s="224">
        <v>28.0</v>
      </c>
      <c r="B30" s="225" t="s">
        <v>4170</v>
      </c>
      <c r="C30" s="225" t="s">
        <v>4172</v>
      </c>
      <c r="D30" s="225" t="s">
        <v>4124</v>
      </c>
      <c r="E30" s="225" t="s">
        <v>224</v>
      </c>
    </row>
    <row r="31">
      <c r="A31" s="224">
        <v>29.0</v>
      </c>
      <c r="B31" s="225" t="s">
        <v>4170</v>
      </c>
      <c r="C31" s="225" t="s">
        <v>4173</v>
      </c>
      <c r="D31" s="225" t="s">
        <v>4124</v>
      </c>
      <c r="E31" s="225" t="s">
        <v>224</v>
      </c>
    </row>
    <row r="32">
      <c r="A32" s="224">
        <v>30.0</v>
      </c>
      <c r="B32" s="225" t="s">
        <v>4170</v>
      </c>
      <c r="C32" s="225" t="s">
        <v>4175</v>
      </c>
      <c r="D32" s="225" t="s">
        <v>4124</v>
      </c>
      <c r="E32" s="225" t="s">
        <v>224</v>
      </c>
    </row>
    <row r="33">
      <c r="A33" s="224">
        <v>31.0</v>
      </c>
      <c r="B33" s="225" t="s">
        <v>4177</v>
      </c>
      <c r="C33" s="225" t="s">
        <v>4178</v>
      </c>
      <c r="D33" s="225" t="s">
        <v>4124</v>
      </c>
      <c r="E33" s="225" t="s">
        <v>224</v>
      </c>
    </row>
    <row r="34">
      <c r="A34" s="224">
        <v>32.0</v>
      </c>
      <c r="B34" s="225" t="s">
        <v>4179</v>
      </c>
      <c r="C34" s="225" t="s">
        <v>4180</v>
      </c>
      <c r="D34" s="225" t="s">
        <v>4181</v>
      </c>
      <c r="E34" s="225" t="s">
        <v>224</v>
      </c>
    </row>
    <row r="35">
      <c r="A35" s="224">
        <v>33.0</v>
      </c>
      <c r="B35" s="225" t="s">
        <v>4182</v>
      </c>
      <c r="C35" s="226" t="s">
        <v>4183</v>
      </c>
      <c r="D35" s="225" t="s">
        <v>4121</v>
      </c>
      <c r="E35" s="225" t="s">
        <v>224</v>
      </c>
    </row>
    <row r="36">
      <c r="A36" s="224">
        <v>34.0</v>
      </c>
      <c r="B36" s="225" t="s">
        <v>4179</v>
      </c>
      <c r="C36" s="225" t="s">
        <v>4185</v>
      </c>
      <c r="D36" s="225" t="s">
        <v>4124</v>
      </c>
      <c r="E36" s="225" t="s">
        <v>224</v>
      </c>
    </row>
    <row r="37">
      <c r="A37" s="224">
        <v>35.0</v>
      </c>
      <c r="B37" s="225" t="s">
        <v>4179</v>
      </c>
      <c r="C37" s="225" t="s">
        <v>4187</v>
      </c>
      <c r="D37" s="225" t="s">
        <v>4124</v>
      </c>
      <c r="E37" s="225" t="s">
        <v>224</v>
      </c>
    </row>
    <row r="38">
      <c r="A38" s="224">
        <v>36.0</v>
      </c>
      <c r="B38" s="225" t="s">
        <v>2478</v>
      </c>
      <c r="C38" s="225" t="s">
        <v>4188</v>
      </c>
      <c r="D38" s="225" t="s">
        <v>4124</v>
      </c>
      <c r="E38" s="225" t="s">
        <v>224</v>
      </c>
    </row>
    <row r="39">
      <c r="A39" s="224">
        <v>37.0</v>
      </c>
      <c r="B39" s="225" t="s">
        <v>2478</v>
      </c>
      <c r="C39" s="225" t="s">
        <v>4190</v>
      </c>
      <c r="D39" s="225" t="s">
        <v>4124</v>
      </c>
      <c r="E39" s="225" t="s">
        <v>224</v>
      </c>
    </row>
    <row r="40">
      <c r="A40" s="224">
        <v>38.0</v>
      </c>
      <c r="B40" s="225" t="s">
        <v>4182</v>
      </c>
      <c r="C40" s="226" t="s">
        <v>4191</v>
      </c>
      <c r="D40" s="225" t="s">
        <v>4192</v>
      </c>
      <c r="E40" s="225" t="s">
        <v>224</v>
      </c>
    </row>
  </sheetData>
  <mergeCells count="1">
    <mergeCell ref="A1:E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31.13"/>
    <col customWidth="1" min="3" max="3" width="37.75"/>
    <col customWidth="1" min="4" max="4" width="53.13"/>
    <col customWidth="1" min="14" max="14" width="28.13"/>
    <col customWidth="1" min="15" max="15" width="25.0"/>
    <col customWidth="1" min="17" max="17" width="87.63"/>
    <col customWidth="1" min="18" max="18" width="82.75"/>
    <col customWidth="1" min="19" max="19" width="94.25"/>
    <col customWidth="1" min="20" max="20" width="51.0"/>
    <col customWidth="1" min="22" max="22" width="54.5"/>
    <col customWidth="1" min="23" max="23" width="39.75"/>
    <col customWidth="1" min="24" max="24" width="41.0"/>
    <col customWidth="1" min="25" max="25" width="21.25"/>
  </cols>
  <sheetData>
    <row r="1">
      <c r="A1" s="230" t="s">
        <v>4194</v>
      </c>
      <c r="B1" s="230" t="s">
        <v>4196</v>
      </c>
      <c r="C1" s="230" t="s">
        <v>2426</v>
      </c>
      <c r="D1" s="230" t="s">
        <v>4197</v>
      </c>
      <c r="E1" s="230" t="s">
        <v>4198</v>
      </c>
      <c r="F1" s="230" t="s">
        <v>4200</v>
      </c>
      <c r="G1" s="230" t="s">
        <v>4201</v>
      </c>
      <c r="H1" s="230" t="s">
        <v>4203</v>
      </c>
      <c r="I1" s="230" t="s">
        <v>4204</v>
      </c>
      <c r="J1" s="230" t="s">
        <v>4205</v>
      </c>
      <c r="K1" s="230" t="s">
        <v>253</v>
      </c>
      <c r="L1" s="230" t="s">
        <v>248</v>
      </c>
      <c r="M1" s="230" t="s">
        <v>4207</v>
      </c>
      <c r="N1" s="230" t="s">
        <v>4208</v>
      </c>
      <c r="O1" s="230" t="s">
        <v>4209</v>
      </c>
      <c r="P1" s="230" t="s">
        <v>4210</v>
      </c>
      <c r="Q1" s="230" t="s">
        <v>4211</v>
      </c>
      <c r="R1" s="230" t="s">
        <v>4212</v>
      </c>
      <c r="S1" s="230" t="s">
        <v>4213</v>
      </c>
      <c r="T1" s="230" t="s">
        <v>4214</v>
      </c>
      <c r="U1" s="230" t="s">
        <v>4215</v>
      </c>
      <c r="V1" s="230" t="s">
        <v>4216</v>
      </c>
      <c r="W1" s="230" t="s">
        <v>4217</v>
      </c>
      <c r="X1" s="230" t="s">
        <v>4218</v>
      </c>
      <c r="Y1" s="230" t="s">
        <v>4219</v>
      </c>
      <c r="Z1" s="231"/>
    </row>
    <row r="2">
      <c r="A2" s="232">
        <v>45478.026916689814</v>
      </c>
      <c r="B2" s="233" t="s">
        <v>4220</v>
      </c>
      <c r="C2" s="233" t="s">
        <v>2005</v>
      </c>
      <c r="D2" s="233" t="s">
        <v>4221</v>
      </c>
      <c r="E2" s="233">
        <v>9.294981607E9</v>
      </c>
      <c r="F2" s="233" t="s">
        <v>4222</v>
      </c>
      <c r="G2" s="234" t="s">
        <v>4223</v>
      </c>
      <c r="H2" s="233" t="s">
        <v>681</v>
      </c>
      <c r="I2" s="233" t="s">
        <v>3930</v>
      </c>
      <c r="J2" s="233" t="s">
        <v>346</v>
      </c>
      <c r="K2" s="233" t="s">
        <v>4228</v>
      </c>
      <c r="L2" s="233">
        <v>2.302220109011E12</v>
      </c>
      <c r="M2" s="233">
        <v>3.0</v>
      </c>
      <c r="N2" s="233" t="s">
        <v>4230</v>
      </c>
      <c r="O2" s="233" t="s">
        <v>4231</v>
      </c>
      <c r="P2" s="233" t="s">
        <v>4232</v>
      </c>
      <c r="Q2" s="233" t="s">
        <v>4235</v>
      </c>
      <c r="R2" s="233" t="s">
        <v>4238</v>
      </c>
      <c r="S2" s="233" t="s">
        <v>4239</v>
      </c>
      <c r="T2" s="234" t="s">
        <v>4240</v>
      </c>
      <c r="U2" s="233" t="s">
        <v>4241</v>
      </c>
      <c r="V2" s="233" t="s">
        <v>4242</v>
      </c>
      <c r="W2" s="234" t="s">
        <v>4243</v>
      </c>
      <c r="X2" s="233" t="s">
        <v>4244</v>
      </c>
      <c r="Y2" s="238"/>
      <c r="Z2" s="231"/>
    </row>
    <row r="3">
      <c r="A3" s="232">
        <v>45472.624401180554</v>
      </c>
      <c r="B3" s="233" t="s">
        <v>4245</v>
      </c>
      <c r="C3" s="233" t="s">
        <v>4246</v>
      </c>
      <c r="D3" s="233" t="s">
        <v>4247</v>
      </c>
      <c r="E3" s="233">
        <v>8.438732202E9</v>
      </c>
      <c r="F3" s="233" t="s">
        <v>4248</v>
      </c>
      <c r="G3" s="234" t="s">
        <v>4249</v>
      </c>
      <c r="H3" s="233" t="s">
        <v>681</v>
      </c>
      <c r="I3" s="233" t="s">
        <v>4250</v>
      </c>
      <c r="J3" s="233" t="s">
        <v>292</v>
      </c>
      <c r="K3" s="233" t="s">
        <v>4251</v>
      </c>
      <c r="L3" s="233">
        <v>7.1812102133E10</v>
      </c>
      <c r="M3" s="233">
        <v>3.0</v>
      </c>
      <c r="N3" s="233" t="s">
        <v>4252</v>
      </c>
      <c r="O3" s="233" t="s">
        <v>4253</v>
      </c>
      <c r="P3" s="233" t="s">
        <v>4254</v>
      </c>
      <c r="Q3" s="233" t="s">
        <v>4255</v>
      </c>
      <c r="R3" s="233" t="s">
        <v>4256</v>
      </c>
      <c r="S3" s="233" t="s">
        <v>4257</v>
      </c>
      <c r="T3" s="234" t="s">
        <v>4258</v>
      </c>
      <c r="U3" s="233" t="s">
        <v>4259</v>
      </c>
      <c r="V3" s="233" t="s">
        <v>4260</v>
      </c>
      <c r="W3" s="234" t="s">
        <v>4261</v>
      </c>
      <c r="X3" s="233" t="s">
        <v>4262</v>
      </c>
      <c r="Y3" s="238"/>
      <c r="Z3" s="231"/>
    </row>
    <row r="4">
      <c r="A4" s="240">
        <v>45473.54329819445</v>
      </c>
      <c r="B4" s="132" t="s">
        <v>4265</v>
      </c>
      <c r="C4" s="132" t="s">
        <v>4266</v>
      </c>
      <c r="D4" s="132" t="s">
        <v>4267</v>
      </c>
      <c r="E4" s="132">
        <v>9.940744073E9</v>
      </c>
      <c r="F4" s="132" t="s">
        <v>4268</v>
      </c>
      <c r="G4" s="133" t="s">
        <v>4269</v>
      </c>
      <c r="H4" s="132" t="s">
        <v>681</v>
      </c>
      <c r="I4" s="132" t="s">
        <v>4270</v>
      </c>
      <c r="J4" s="132" t="s">
        <v>4271</v>
      </c>
      <c r="K4" s="132" t="s">
        <v>4272</v>
      </c>
      <c r="L4" s="132" t="s">
        <v>4273</v>
      </c>
      <c r="M4" s="132">
        <v>1.0</v>
      </c>
      <c r="N4" s="132" t="s">
        <v>4266</v>
      </c>
      <c r="O4" s="132" t="s">
        <v>4274</v>
      </c>
      <c r="P4" s="132" t="s">
        <v>4275</v>
      </c>
      <c r="Q4" s="132" t="s">
        <v>4277</v>
      </c>
      <c r="R4" s="132" t="s">
        <v>4278</v>
      </c>
      <c r="S4" s="132" t="s">
        <v>4280</v>
      </c>
      <c r="T4" s="133" t="s">
        <v>4281</v>
      </c>
      <c r="U4" s="132" t="s">
        <v>4283</v>
      </c>
      <c r="V4" s="132" t="s">
        <v>4284</v>
      </c>
      <c r="W4" s="133" t="s">
        <v>4285</v>
      </c>
      <c r="X4" s="132" t="s">
        <v>4287</v>
      </c>
      <c r="Y4" s="241"/>
      <c r="Z4" s="231"/>
    </row>
    <row r="5">
      <c r="A5" s="240">
        <v>45475.02841515046</v>
      </c>
      <c r="B5" s="132" t="s">
        <v>4288</v>
      </c>
      <c r="C5" s="132" t="s">
        <v>4290</v>
      </c>
      <c r="D5" s="132" t="s">
        <v>4291</v>
      </c>
      <c r="E5" s="132">
        <v>8.838614068E9</v>
      </c>
      <c r="F5" s="132" t="s">
        <v>4292</v>
      </c>
      <c r="G5" s="133" t="s">
        <v>4293</v>
      </c>
      <c r="H5" s="132" t="s">
        <v>681</v>
      </c>
      <c r="I5" s="132" t="s">
        <v>4296</v>
      </c>
      <c r="J5" s="132" t="s">
        <v>346</v>
      </c>
      <c r="K5" s="132" t="s">
        <v>4272</v>
      </c>
      <c r="L5" s="132">
        <v>1.92211089E8</v>
      </c>
      <c r="M5" s="132">
        <v>3.0</v>
      </c>
      <c r="N5" s="132" t="s">
        <v>4298</v>
      </c>
      <c r="O5" s="132" t="s">
        <v>4299</v>
      </c>
      <c r="P5" s="132" t="s">
        <v>4300</v>
      </c>
      <c r="Q5" s="132" t="s">
        <v>4301</v>
      </c>
      <c r="R5" s="132" t="s">
        <v>4302</v>
      </c>
      <c r="S5" s="132" t="s">
        <v>4303</v>
      </c>
      <c r="T5" s="133" t="s">
        <v>4304</v>
      </c>
      <c r="U5" s="132" t="s">
        <v>4305</v>
      </c>
      <c r="V5" s="132" t="s">
        <v>4307</v>
      </c>
      <c r="W5" s="133" t="s">
        <v>4308</v>
      </c>
      <c r="X5" s="132" t="s">
        <v>4309</v>
      </c>
      <c r="Y5" s="241"/>
      <c r="Z5" s="231"/>
    </row>
    <row r="6">
      <c r="A6" s="232">
        <v>45475.832308321755</v>
      </c>
      <c r="B6" s="233" t="s">
        <v>4310</v>
      </c>
      <c r="C6" s="233" t="s">
        <v>4311</v>
      </c>
      <c r="D6" s="233" t="s">
        <v>4312</v>
      </c>
      <c r="E6" s="233">
        <v>8.076192363E9</v>
      </c>
      <c r="F6" s="233" t="s">
        <v>4313</v>
      </c>
      <c r="G6" s="234" t="s">
        <v>4314</v>
      </c>
      <c r="H6" s="233" t="s">
        <v>681</v>
      </c>
      <c r="I6" s="233" t="s">
        <v>4316</v>
      </c>
      <c r="J6" s="233" t="s">
        <v>4317</v>
      </c>
      <c r="K6" s="233" t="s">
        <v>4251</v>
      </c>
      <c r="L6" s="233">
        <v>2.101331520061E12</v>
      </c>
      <c r="M6" s="233">
        <v>2.0</v>
      </c>
      <c r="N6" s="233" t="s">
        <v>4318</v>
      </c>
      <c r="O6" s="233" t="s">
        <v>4319</v>
      </c>
      <c r="P6" s="233" t="s">
        <v>4320</v>
      </c>
      <c r="Q6" s="233" t="s">
        <v>4321</v>
      </c>
      <c r="R6" s="233" t="s">
        <v>4322</v>
      </c>
      <c r="S6" s="233" t="s">
        <v>4324</v>
      </c>
      <c r="T6" s="234" t="s">
        <v>4325</v>
      </c>
      <c r="U6" s="233" t="s">
        <v>4328</v>
      </c>
      <c r="V6" s="233" t="s">
        <v>4330</v>
      </c>
      <c r="W6" s="234" t="s">
        <v>4331</v>
      </c>
      <c r="X6" s="233" t="s">
        <v>4334</v>
      </c>
      <c r="Y6" s="238"/>
      <c r="Z6" s="231"/>
    </row>
    <row r="7">
      <c r="A7" s="240">
        <v>45475.92013817129</v>
      </c>
      <c r="B7" s="132" t="s">
        <v>4335</v>
      </c>
      <c r="C7" s="132" t="s">
        <v>4336</v>
      </c>
      <c r="D7" s="132" t="s">
        <v>4337</v>
      </c>
      <c r="E7" s="132" t="s">
        <v>4338</v>
      </c>
      <c r="F7" s="132" t="s">
        <v>4339</v>
      </c>
      <c r="G7" s="133" t="s">
        <v>4340</v>
      </c>
      <c r="H7" s="132" t="s">
        <v>681</v>
      </c>
      <c r="I7" s="132" t="s">
        <v>4343</v>
      </c>
      <c r="J7" s="132" t="s">
        <v>4344</v>
      </c>
      <c r="K7" s="132" t="s">
        <v>4272</v>
      </c>
      <c r="L7" s="132">
        <v>1.92224138E8</v>
      </c>
      <c r="M7" s="132">
        <v>3.0</v>
      </c>
      <c r="N7" s="132" t="s">
        <v>4345</v>
      </c>
      <c r="O7" s="132" t="s">
        <v>4346</v>
      </c>
      <c r="P7" s="132" t="s">
        <v>4347</v>
      </c>
      <c r="Q7" s="132" t="s">
        <v>4348</v>
      </c>
      <c r="R7" s="132" t="s">
        <v>4349</v>
      </c>
      <c r="S7" s="132" t="s">
        <v>4350</v>
      </c>
      <c r="T7" s="133" t="s">
        <v>4351</v>
      </c>
      <c r="U7" s="132">
        <v>1.0E7</v>
      </c>
      <c r="V7" s="132">
        <v>30000.0</v>
      </c>
      <c r="W7" s="133" t="s">
        <v>4354</v>
      </c>
      <c r="X7" s="132" t="s">
        <v>4309</v>
      </c>
      <c r="Y7" s="241"/>
      <c r="Z7" s="231"/>
    </row>
    <row r="8">
      <c r="A8" s="232">
        <v>45476.37322689815</v>
      </c>
      <c r="B8" s="233" t="s">
        <v>4356</v>
      </c>
      <c r="C8" s="233" t="s">
        <v>4357</v>
      </c>
      <c r="D8" s="233" t="s">
        <v>4358</v>
      </c>
      <c r="E8" s="233">
        <v>9.360181868E9</v>
      </c>
      <c r="F8" s="233" t="s">
        <v>4360</v>
      </c>
      <c r="G8" s="234" t="s">
        <v>4361</v>
      </c>
      <c r="H8" s="233" t="s">
        <v>681</v>
      </c>
      <c r="I8" s="233" t="s">
        <v>4362</v>
      </c>
      <c r="J8" s="233" t="s">
        <v>4363</v>
      </c>
      <c r="K8" s="233" t="s">
        <v>4251</v>
      </c>
      <c r="L8" s="233" t="s">
        <v>4364</v>
      </c>
      <c r="M8" s="233">
        <v>3.0</v>
      </c>
      <c r="N8" s="233" t="s">
        <v>4365</v>
      </c>
      <c r="O8" s="233" t="s">
        <v>4366</v>
      </c>
      <c r="P8" s="233" t="s">
        <v>4367</v>
      </c>
      <c r="Q8" s="233" t="s">
        <v>4368</v>
      </c>
      <c r="R8" s="233" t="s">
        <v>4369</v>
      </c>
      <c r="S8" s="233" t="s">
        <v>4370</v>
      </c>
      <c r="T8" s="234" t="s">
        <v>4371</v>
      </c>
      <c r="U8" s="233" t="s">
        <v>4372</v>
      </c>
      <c r="V8" s="233">
        <v>5000.0</v>
      </c>
      <c r="W8" s="234" t="s">
        <v>4374</v>
      </c>
      <c r="X8" s="233" t="s">
        <v>4377</v>
      </c>
      <c r="Y8" s="238"/>
      <c r="Z8" s="231"/>
    </row>
    <row r="9">
      <c r="A9" s="240">
        <v>45476.38436149305</v>
      </c>
      <c r="B9" s="132" t="s">
        <v>4378</v>
      </c>
      <c r="C9" s="132" t="s">
        <v>4378</v>
      </c>
      <c r="D9" s="132" t="s">
        <v>4379</v>
      </c>
      <c r="E9" s="132">
        <v>9.0</v>
      </c>
      <c r="F9" s="132" t="s">
        <v>4381</v>
      </c>
      <c r="G9" s="133" t="s">
        <v>4384</v>
      </c>
      <c r="H9" s="132" t="s">
        <v>4385</v>
      </c>
      <c r="I9" s="241"/>
      <c r="J9" s="132" t="s">
        <v>4388</v>
      </c>
      <c r="K9" s="241"/>
      <c r="L9" s="241"/>
      <c r="M9" s="132">
        <v>1.0</v>
      </c>
      <c r="N9" s="132" t="s">
        <v>4378</v>
      </c>
      <c r="O9" s="132" t="s">
        <v>4389</v>
      </c>
      <c r="P9" s="132" t="s">
        <v>4390</v>
      </c>
      <c r="Q9" s="132" t="s">
        <v>4391</v>
      </c>
      <c r="R9" s="132" t="s">
        <v>4392</v>
      </c>
      <c r="S9" s="132" t="s">
        <v>4393</v>
      </c>
      <c r="T9" s="133" t="s">
        <v>4394</v>
      </c>
      <c r="U9" s="132">
        <v>1.0</v>
      </c>
      <c r="V9" s="132">
        <v>1000000.0</v>
      </c>
      <c r="W9" s="133" t="s">
        <v>4395</v>
      </c>
      <c r="X9" s="132">
        <v>6.0</v>
      </c>
      <c r="Y9" s="241"/>
      <c r="Z9" s="231"/>
    </row>
    <row r="10">
      <c r="A10" s="240">
        <v>45477.051042384264</v>
      </c>
      <c r="B10" s="132" t="s">
        <v>4396</v>
      </c>
      <c r="C10" s="132" t="s">
        <v>4397</v>
      </c>
      <c r="D10" s="132" t="s">
        <v>4398</v>
      </c>
      <c r="E10" s="132">
        <v>7.339286876E9</v>
      </c>
      <c r="F10" s="132" t="s">
        <v>4399</v>
      </c>
      <c r="G10" s="133" t="s">
        <v>4400</v>
      </c>
      <c r="H10" s="132" t="s">
        <v>681</v>
      </c>
      <c r="I10" s="132" t="s">
        <v>4401</v>
      </c>
      <c r="J10" s="132" t="s">
        <v>346</v>
      </c>
      <c r="K10" s="132" t="s">
        <v>4272</v>
      </c>
      <c r="L10" s="132">
        <v>1.9221101E8</v>
      </c>
      <c r="M10" s="132">
        <v>2.0</v>
      </c>
      <c r="N10" s="132" t="s">
        <v>4402</v>
      </c>
      <c r="O10" s="132" t="s">
        <v>4403</v>
      </c>
      <c r="P10" s="132" t="s">
        <v>4404</v>
      </c>
      <c r="Q10" s="132" t="s">
        <v>4405</v>
      </c>
      <c r="R10" s="132" t="s">
        <v>4406</v>
      </c>
      <c r="S10" s="132" t="s">
        <v>4407</v>
      </c>
      <c r="T10" s="133" t="s">
        <v>4408</v>
      </c>
      <c r="U10" s="132" t="s">
        <v>4410</v>
      </c>
      <c r="V10" s="132" t="s">
        <v>4411</v>
      </c>
      <c r="W10" s="133" t="s">
        <v>4412</v>
      </c>
      <c r="X10" s="132" t="s">
        <v>4413</v>
      </c>
      <c r="Y10" s="241"/>
      <c r="Z10" s="231"/>
    </row>
    <row r="11">
      <c r="A11" s="232">
        <v>45477.825476342594</v>
      </c>
      <c r="B11" s="233" t="s">
        <v>4414</v>
      </c>
      <c r="C11" s="233" t="s">
        <v>4415</v>
      </c>
      <c r="D11" s="233" t="s">
        <v>4416</v>
      </c>
      <c r="E11" s="233">
        <v>7.985476486E9</v>
      </c>
      <c r="F11" s="233" t="s">
        <v>4417</v>
      </c>
      <c r="G11" s="234" t="s">
        <v>4418</v>
      </c>
      <c r="H11" s="233" t="s">
        <v>4385</v>
      </c>
      <c r="I11" s="238"/>
      <c r="J11" s="238"/>
      <c r="K11" s="238"/>
      <c r="L11" s="238"/>
      <c r="M11" s="233">
        <v>1.0</v>
      </c>
      <c r="N11" s="233" t="s">
        <v>4415</v>
      </c>
      <c r="O11" s="233" t="s">
        <v>4419</v>
      </c>
      <c r="P11" s="233" t="s">
        <v>4420</v>
      </c>
      <c r="Q11" s="233" t="s">
        <v>4421</v>
      </c>
      <c r="R11" s="233" t="s">
        <v>4422</v>
      </c>
      <c r="S11" s="233" t="s">
        <v>4423</v>
      </c>
      <c r="T11" s="234" t="s">
        <v>4424</v>
      </c>
      <c r="U11" s="233" t="s">
        <v>4425</v>
      </c>
      <c r="V11" s="233" t="s">
        <v>4426</v>
      </c>
      <c r="W11" s="234" t="s">
        <v>4427</v>
      </c>
      <c r="X11" s="233" t="s">
        <v>4428</v>
      </c>
      <c r="Y11" s="238"/>
      <c r="Z11" s="231"/>
    </row>
    <row r="12">
      <c r="A12" s="240">
        <v>45477.99882152778</v>
      </c>
      <c r="B12" s="132" t="s">
        <v>4429</v>
      </c>
      <c r="C12" s="132" t="s">
        <v>4430</v>
      </c>
      <c r="D12" s="132" t="s">
        <v>4431</v>
      </c>
      <c r="E12" s="132">
        <v>6.383904471E9</v>
      </c>
      <c r="F12" s="132" t="s">
        <v>4432</v>
      </c>
      <c r="G12" s="133" t="s">
        <v>4433</v>
      </c>
      <c r="H12" s="132" t="s">
        <v>681</v>
      </c>
      <c r="I12" s="132" t="s">
        <v>4436</v>
      </c>
      <c r="J12" s="132" t="s">
        <v>292</v>
      </c>
      <c r="K12" s="132" t="s">
        <v>4272</v>
      </c>
      <c r="L12" s="132">
        <v>7.181220204E10</v>
      </c>
      <c r="M12" s="132">
        <v>3.0</v>
      </c>
      <c r="N12" s="132" t="s">
        <v>4438</v>
      </c>
      <c r="O12" s="132" t="s">
        <v>4439</v>
      </c>
      <c r="P12" s="132" t="s">
        <v>4440</v>
      </c>
      <c r="Q12" s="132" t="s">
        <v>4441</v>
      </c>
      <c r="R12" s="132" t="s">
        <v>4442</v>
      </c>
      <c r="S12" s="132" t="s">
        <v>4443</v>
      </c>
      <c r="T12" s="133" t="s">
        <v>4444</v>
      </c>
      <c r="U12" s="132" t="s">
        <v>4447</v>
      </c>
      <c r="V12" s="132" t="s">
        <v>4448</v>
      </c>
      <c r="W12" s="133" t="s">
        <v>4449</v>
      </c>
      <c r="X12" s="132" t="s">
        <v>4452</v>
      </c>
      <c r="Y12" s="241"/>
      <c r="Z12" s="231"/>
    </row>
    <row r="13">
      <c r="A13" s="240">
        <v>45478.001440555556</v>
      </c>
      <c r="B13" s="132" t="s">
        <v>4453</v>
      </c>
      <c r="C13" s="132" t="s">
        <v>4454</v>
      </c>
      <c r="D13" s="132" t="s">
        <v>4455</v>
      </c>
      <c r="E13" s="132">
        <v>7.908629826E9</v>
      </c>
      <c r="F13" s="132" t="s">
        <v>4456</v>
      </c>
      <c r="G13" s="133" t="s">
        <v>4457</v>
      </c>
      <c r="H13" s="132" t="s">
        <v>681</v>
      </c>
      <c r="I13" s="132" t="s">
        <v>4459</v>
      </c>
      <c r="J13" s="132" t="s">
        <v>346</v>
      </c>
      <c r="K13" s="132" t="s">
        <v>4228</v>
      </c>
      <c r="L13" s="241"/>
      <c r="M13" s="132">
        <v>2.0</v>
      </c>
      <c r="N13" s="132" t="s">
        <v>4460</v>
      </c>
      <c r="O13" s="132" t="s">
        <v>4462</v>
      </c>
      <c r="P13" s="132" t="s">
        <v>4232</v>
      </c>
      <c r="Q13" s="132" t="s">
        <v>4463</v>
      </c>
      <c r="R13" s="132" t="s">
        <v>4465</v>
      </c>
      <c r="S13" s="132" t="s">
        <v>4466</v>
      </c>
      <c r="T13" s="133" t="s">
        <v>4467</v>
      </c>
      <c r="U13" s="132" t="s">
        <v>4468</v>
      </c>
      <c r="V13" s="132" t="s">
        <v>4469</v>
      </c>
      <c r="W13" s="133" t="s">
        <v>4470</v>
      </c>
      <c r="X13" s="132" t="s">
        <v>4471</v>
      </c>
      <c r="Y13" s="241"/>
      <c r="Z13" s="231"/>
    </row>
    <row r="14">
      <c r="A14" s="232">
        <v>45478.428109456014</v>
      </c>
      <c r="B14" s="233" t="s">
        <v>4472</v>
      </c>
      <c r="C14" s="233" t="s">
        <v>4473</v>
      </c>
      <c r="D14" s="233" t="s">
        <v>4474</v>
      </c>
      <c r="E14" s="249" t="s">
        <v>4475</v>
      </c>
      <c r="F14" s="233" t="s">
        <v>4476</v>
      </c>
      <c r="G14" s="234" t="s">
        <v>4477</v>
      </c>
      <c r="H14" s="233" t="s">
        <v>681</v>
      </c>
      <c r="I14" s="233" t="s">
        <v>4478</v>
      </c>
      <c r="J14" s="233" t="s">
        <v>346</v>
      </c>
      <c r="K14" s="233" t="s">
        <v>4251</v>
      </c>
      <c r="L14" s="233">
        <v>2.002220100108E12</v>
      </c>
      <c r="M14" s="233">
        <v>3.0</v>
      </c>
      <c r="N14" s="233" t="s">
        <v>4479</v>
      </c>
      <c r="O14" s="233" t="s">
        <v>4480</v>
      </c>
      <c r="P14" s="233" t="s">
        <v>4481</v>
      </c>
      <c r="Q14" s="233" t="s">
        <v>4482</v>
      </c>
      <c r="R14" s="233" t="s">
        <v>4483</v>
      </c>
      <c r="S14" s="233" t="s">
        <v>4484</v>
      </c>
      <c r="T14" s="234" t="s">
        <v>4485</v>
      </c>
      <c r="U14" s="233" t="s">
        <v>4486</v>
      </c>
      <c r="V14" s="233">
        <v>1500.0</v>
      </c>
      <c r="W14" s="234" t="s">
        <v>4487</v>
      </c>
      <c r="X14" s="233" t="s">
        <v>4488</v>
      </c>
      <c r="Y14" s="238"/>
      <c r="Z14" s="231"/>
    </row>
    <row r="15">
      <c r="A15" s="240">
        <v>45478.525543194446</v>
      </c>
      <c r="B15" s="132" t="s">
        <v>4489</v>
      </c>
      <c r="C15" s="132" t="s">
        <v>4490</v>
      </c>
      <c r="D15" s="132" t="s">
        <v>4337</v>
      </c>
      <c r="E15" s="132">
        <v>8.124913044E9</v>
      </c>
      <c r="F15" s="132" t="s">
        <v>4491</v>
      </c>
      <c r="G15" s="133" t="s">
        <v>4492</v>
      </c>
      <c r="H15" s="132" t="s">
        <v>681</v>
      </c>
      <c r="I15" s="132" t="s">
        <v>4493</v>
      </c>
      <c r="J15" s="132" t="s">
        <v>4344</v>
      </c>
      <c r="K15" s="132" t="s">
        <v>4272</v>
      </c>
      <c r="L15" s="132">
        <v>1.92224138E8</v>
      </c>
      <c r="M15" s="132">
        <v>3.0</v>
      </c>
      <c r="N15" s="132" t="s">
        <v>4494</v>
      </c>
      <c r="O15" s="132" t="s">
        <v>4495</v>
      </c>
      <c r="P15" s="132" t="s">
        <v>4496</v>
      </c>
      <c r="Q15" s="132" t="s">
        <v>4497</v>
      </c>
      <c r="R15" s="132" t="s">
        <v>4498</v>
      </c>
      <c r="S15" s="132" t="s">
        <v>4499</v>
      </c>
      <c r="T15" s="133" t="s">
        <v>4500</v>
      </c>
      <c r="U15" s="132" t="s">
        <v>4501</v>
      </c>
      <c r="V15" s="132" t="s">
        <v>4502</v>
      </c>
      <c r="W15" s="133" t="s">
        <v>4503</v>
      </c>
      <c r="X15" s="132" t="s">
        <v>4504</v>
      </c>
      <c r="Y15" s="241"/>
      <c r="Z15" s="231"/>
    </row>
    <row r="16">
      <c r="A16" s="232">
        <v>45478.52765059027</v>
      </c>
      <c r="B16" s="233" t="s">
        <v>4505</v>
      </c>
      <c r="C16" s="233" t="s">
        <v>4506</v>
      </c>
      <c r="D16" s="233" t="s">
        <v>4507</v>
      </c>
      <c r="E16" s="233">
        <v>8.318989276E9</v>
      </c>
      <c r="F16" s="233" t="s">
        <v>4508</v>
      </c>
      <c r="G16" s="234" t="s">
        <v>4509</v>
      </c>
      <c r="H16" s="233" t="s">
        <v>4385</v>
      </c>
      <c r="I16" s="238"/>
      <c r="J16" s="238"/>
      <c r="K16" s="238"/>
      <c r="L16" s="238"/>
      <c r="M16" s="233">
        <v>2.0</v>
      </c>
      <c r="N16" s="233" t="s">
        <v>4510</v>
      </c>
      <c r="O16" s="233" t="s">
        <v>4511</v>
      </c>
      <c r="P16" s="233" t="s">
        <v>4512</v>
      </c>
      <c r="Q16" s="233" t="s">
        <v>4513</v>
      </c>
      <c r="R16" s="233" t="s">
        <v>4514</v>
      </c>
      <c r="S16" s="233" t="s">
        <v>4515</v>
      </c>
      <c r="T16" s="234" t="s">
        <v>4516</v>
      </c>
      <c r="U16" s="233" t="s">
        <v>4517</v>
      </c>
      <c r="V16" s="233" t="s">
        <v>4518</v>
      </c>
      <c r="W16" s="234" t="s">
        <v>4519</v>
      </c>
      <c r="X16" s="233" t="s">
        <v>4520</v>
      </c>
      <c r="Y16" s="238"/>
      <c r="Z16" s="231"/>
    </row>
    <row r="17">
      <c r="A17" s="240">
        <v>45478.698151539356</v>
      </c>
      <c r="B17" s="132" t="s">
        <v>4521</v>
      </c>
      <c r="C17" s="132" t="s">
        <v>4522</v>
      </c>
      <c r="D17" s="132" t="s">
        <v>4523</v>
      </c>
      <c r="E17" s="132">
        <v>8.838946604E9</v>
      </c>
      <c r="F17" s="132" t="s">
        <v>4524</v>
      </c>
      <c r="G17" s="133" t="s">
        <v>4525</v>
      </c>
      <c r="H17" s="132" t="s">
        <v>681</v>
      </c>
      <c r="I17" s="132" t="s">
        <v>4436</v>
      </c>
      <c r="J17" s="132" t="s">
        <v>346</v>
      </c>
      <c r="K17" s="132" t="s">
        <v>4272</v>
      </c>
      <c r="L17" s="132">
        <v>7.181220124E10</v>
      </c>
      <c r="M17" s="132">
        <v>3.0</v>
      </c>
      <c r="N17" s="132" t="s">
        <v>4526</v>
      </c>
      <c r="O17" s="132" t="s">
        <v>4527</v>
      </c>
      <c r="P17" s="132" t="s">
        <v>4528</v>
      </c>
      <c r="Q17" s="132" t="s">
        <v>4529</v>
      </c>
      <c r="R17" s="132" t="s">
        <v>4530</v>
      </c>
      <c r="S17" s="132" t="s">
        <v>4531</v>
      </c>
      <c r="T17" s="133" t="s">
        <v>4532</v>
      </c>
      <c r="U17" s="132" t="s">
        <v>4533</v>
      </c>
      <c r="V17" s="132" t="s">
        <v>4534</v>
      </c>
      <c r="W17" s="133" t="s">
        <v>4535</v>
      </c>
      <c r="X17" s="132" t="s">
        <v>4536</v>
      </c>
      <c r="Y17" s="241"/>
      <c r="Z17" s="231"/>
    </row>
    <row r="18">
      <c r="A18" s="240">
        <v>45478.707085428236</v>
      </c>
      <c r="B18" s="132" t="s">
        <v>4537</v>
      </c>
      <c r="C18" s="132" t="s">
        <v>4538</v>
      </c>
      <c r="D18" s="132" t="s">
        <v>4539</v>
      </c>
      <c r="E18" s="132">
        <v>8.825702072E9</v>
      </c>
      <c r="F18" s="132" t="s">
        <v>4540</v>
      </c>
      <c r="G18" s="133" t="s">
        <v>4541</v>
      </c>
      <c r="H18" s="132" t="s">
        <v>681</v>
      </c>
      <c r="I18" s="132" t="s">
        <v>4542</v>
      </c>
      <c r="J18" s="132" t="s">
        <v>4543</v>
      </c>
      <c r="K18" s="132" t="s">
        <v>4272</v>
      </c>
      <c r="L18" s="132" t="s">
        <v>4544</v>
      </c>
      <c r="M18" s="132">
        <v>3.0</v>
      </c>
      <c r="N18" s="132" t="s">
        <v>4545</v>
      </c>
      <c r="O18" s="132" t="s">
        <v>4546</v>
      </c>
      <c r="P18" s="132" t="s">
        <v>4547</v>
      </c>
      <c r="Q18" s="132" t="s">
        <v>4548</v>
      </c>
      <c r="R18" s="132" t="s">
        <v>4549</v>
      </c>
      <c r="S18" s="132" t="s">
        <v>4550</v>
      </c>
      <c r="T18" s="133" t="s">
        <v>4551</v>
      </c>
      <c r="U18" s="132" t="s">
        <v>4552</v>
      </c>
      <c r="V18" s="132" t="s">
        <v>4553</v>
      </c>
      <c r="W18" s="133" t="s">
        <v>4554</v>
      </c>
      <c r="X18" s="132" t="s">
        <v>4555</v>
      </c>
      <c r="Y18" s="241"/>
      <c r="Z18" s="231"/>
    </row>
    <row r="19">
      <c r="A19" s="240">
        <v>45478.709725671295</v>
      </c>
      <c r="B19" s="132" t="s">
        <v>4556</v>
      </c>
      <c r="C19" s="132" t="s">
        <v>4557</v>
      </c>
      <c r="D19" s="132" t="s">
        <v>4558</v>
      </c>
      <c r="E19" s="132" t="s">
        <v>4559</v>
      </c>
      <c r="F19" s="132" t="s">
        <v>4560</v>
      </c>
      <c r="G19" s="133" t="s">
        <v>4561</v>
      </c>
      <c r="H19" s="132" t="s">
        <v>681</v>
      </c>
      <c r="I19" s="132" t="s">
        <v>4562</v>
      </c>
      <c r="J19" s="132" t="s">
        <v>346</v>
      </c>
      <c r="K19" s="132" t="s">
        <v>4272</v>
      </c>
      <c r="L19" s="132">
        <v>2201252.0</v>
      </c>
      <c r="M19" s="132">
        <v>3.0</v>
      </c>
      <c r="N19" s="132" t="s">
        <v>4563</v>
      </c>
      <c r="O19" s="132" t="s">
        <v>4564</v>
      </c>
      <c r="P19" s="132" t="s">
        <v>4565</v>
      </c>
      <c r="Q19" s="132" t="s">
        <v>4566</v>
      </c>
      <c r="R19" s="132" t="s">
        <v>4567</v>
      </c>
      <c r="S19" s="132" t="s">
        <v>4568</v>
      </c>
      <c r="T19" s="133" t="s">
        <v>4569</v>
      </c>
      <c r="U19" s="132" t="s">
        <v>4570</v>
      </c>
      <c r="V19" s="250">
        <v>10000.0</v>
      </c>
      <c r="W19" s="133" t="s">
        <v>4571</v>
      </c>
      <c r="X19" s="132" t="s">
        <v>4572</v>
      </c>
      <c r="Y19" s="241"/>
      <c r="Z19" s="231"/>
    </row>
    <row r="20">
      <c r="A20" s="240">
        <v>45478.88774951389</v>
      </c>
      <c r="B20" s="132" t="s">
        <v>4573</v>
      </c>
      <c r="C20" s="132" t="s">
        <v>4574</v>
      </c>
      <c r="D20" s="132" t="s">
        <v>4575</v>
      </c>
      <c r="E20" s="132">
        <v>8.190093482E9</v>
      </c>
      <c r="F20" s="132" t="s">
        <v>4576</v>
      </c>
      <c r="G20" s="133" t="s">
        <v>4577</v>
      </c>
      <c r="H20" s="132" t="s">
        <v>681</v>
      </c>
      <c r="I20" s="132" t="s">
        <v>4578</v>
      </c>
      <c r="J20" s="132" t="s">
        <v>4579</v>
      </c>
      <c r="K20" s="132" t="s">
        <v>4251</v>
      </c>
      <c r="L20" s="132">
        <v>1.72001077E8</v>
      </c>
      <c r="M20" s="132">
        <v>1.0</v>
      </c>
      <c r="N20" s="132" t="s">
        <v>4580</v>
      </c>
      <c r="O20" s="132" t="s">
        <v>4581</v>
      </c>
      <c r="P20" s="132" t="s">
        <v>4582</v>
      </c>
      <c r="Q20" s="132" t="s">
        <v>4583</v>
      </c>
      <c r="R20" s="132" t="s">
        <v>4584</v>
      </c>
      <c r="S20" s="132" t="s">
        <v>4585</v>
      </c>
      <c r="T20" s="133" t="s">
        <v>4586</v>
      </c>
      <c r="U20" s="132" t="s">
        <v>4587</v>
      </c>
      <c r="V20" s="132" t="s">
        <v>4588</v>
      </c>
      <c r="W20" s="133" t="s">
        <v>4589</v>
      </c>
      <c r="X20" s="132" t="s">
        <v>4590</v>
      </c>
      <c r="Y20" s="241"/>
      <c r="Z20" s="231"/>
    </row>
    <row r="21">
      <c r="A21" s="232">
        <v>45478.97310915509</v>
      </c>
      <c r="B21" s="233" t="s">
        <v>4591</v>
      </c>
      <c r="C21" s="233" t="s">
        <v>4592</v>
      </c>
      <c r="D21" s="233" t="s">
        <v>4593</v>
      </c>
      <c r="E21" s="233">
        <v>9.205418132E9</v>
      </c>
      <c r="F21" s="233" t="s">
        <v>4594</v>
      </c>
      <c r="G21" s="234" t="s">
        <v>4595</v>
      </c>
      <c r="H21" s="233" t="s">
        <v>681</v>
      </c>
      <c r="I21" s="233" t="s">
        <v>4596</v>
      </c>
      <c r="J21" s="233" t="s">
        <v>4597</v>
      </c>
      <c r="K21" s="233" t="s">
        <v>4598</v>
      </c>
      <c r="L21" s="233">
        <v>2.301330400036E12</v>
      </c>
      <c r="M21" s="233">
        <v>1.0</v>
      </c>
      <c r="N21" s="233" t="s">
        <v>4592</v>
      </c>
      <c r="O21" s="233" t="s">
        <v>4599</v>
      </c>
      <c r="P21" s="233" t="s">
        <v>4600</v>
      </c>
      <c r="Q21" s="233" t="s">
        <v>4601</v>
      </c>
      <c r="R21" s="233" t="s">
        <v>4602</v>
      </c>
      <c r="S21" s="233" t="s">
        <v>4603</v>
      </c>
      <c r="T21" s="234" t="s">
        <v>4604</v>
      </c>
      <c r="U21" s="233" t="s">
        <v>4605</v>
      </c>
      <c r="V21" s="233" t="s">
        <v>4606</v>
      </c>
      <c r="W21" s="234" t="s">
        <v>4607</v>
      </c>
      <c r="X21" s="233" t="s">
        <v>4608</v>
      </c>
      <c r="Y21" s="238"/>
      <c r="Z21" s="231"/>
    </row>
    <row r="22">
      <c r="A22" s="240">
        <v>45478.989100810184</v>
      </c>
      <c r="B22" s="132" t="s">
        <v>4609</v>
      </c>
      <c r="C22" s="132" t="s">
        <v>4610</v>
      </c>
      <c r="D22" s="132" t="s">
        <v>4611</v>
      </c>
      <c r="E22" s="132">
        <v>9.09252669E9</v>
      </c>
      <c r="F22" s="132" t="s">
        <v>4612</v>
      </c>
      <c r="G22" s="133" t="s">
        <v>4613</v>
      </c>
      <c r="H22" s="132" t="s">
        <v>681</v>
      </c>
      <c r="I22" s="132" t="s">
        <v>4614</v>
      </c>
      <c r="J22" s="132" t="s">
        <v>292</v>
      </c>
      <c r="K22" s="132" t="s">
        <v>4251</v>
      </c>
      <c r="L22" s="132">
        <v>7.1812102028E10</v>
      </c>
      <c r="M22" s="132">
        <v>3.0</v>
      </c>
      <c r="N22" s="132" t="s">
        <v>4615</v>
      </c>
      <c r="O22" s="132" t="s">
        <v>4616</v>
      </c>
      <c r="P22" s="132" t="s">
        <v>4617</v>
      </c>
      <c r="Q22" s="132" t="s">
        <v>4618</v>
      </c>
      <c r="R22" s="132" t="s">
        <v>4619</v>
      </c>
      <c r="S22" s="132" t="s">
        <v>4620</v>
      </c>
      <c r="T22" s="133" t="s">
        <v>4621</v>
      </c>
      <c r="U22" s="132" t="s">
        <v>4622</v>
      </c>
      <c r="V22" s="132" t="s">
        <v>4623</v>
      </c>
      <c r="W22" s="133" t="s">
        <v>4624</v>
      </c>
      <c r="X22" s="132" t="s">
        <v>4625</v>
      </c>
      <c r="Y22" s="241"/>
      <c r="Z22" s="231"/>
    </row>
    <row r="23">
      <c r="A23" s="232">
        <v>45479.02318347222</v>
      </c>
      <c r="B23" s="233" t="s">
        <v>4626</v>
      </c>
      <c r="C23" s="233" t="s">
        <v>4627</v>
      </c>
      <c r="D23" s="233" t="s">
        <v>4628</v>
      </c>
      <c r="E23" s="233">
        <v>8.076846925E9</v>
      </c>
      <c r="F23" s="233" t="s">
        <v>4629</v>
      </c>
      <c r="G23" s="234" t="s">
        <v>4630</v>
      </c>
      <c r="H23" s="233" t="s">
        <v>681</v>
      </c>
      <c r="I23" s="233" t="s">
        <v>4631</v>
      </c>
      <c r="J23" s="233" t="s">
        <v>346</v>
      </c>
      <c r="K23" s="233" t="s">
        <v>4251</v>
      </c>
      <c r="L23" s="233">
        <v>2.102220100155E12</v>
      </c>
      <c r="M23" s="233">
        <v>3.0</v>
      </c>
      <c r="N23" s="233" t="s">
        <v>4632</v>
      </c>
      <c r="O23" s="233" t="s">
        <v>4633</v>
      </c>
      <c r="P23" s="233" t="s">
        <v>4634</v>
      </c>
      <c r="Q23" s="233" t="s">
        <v>4635</v>
      </c>
      <c r="R23" s="233" t="s">
        <v>4636</v>
      </c>
      <c r="S23" s="233" t="s">
        <v>4637</v>
      </c>
      <c r="T23" s="234" t="s">
        <v>4638</v>
      </c>
      <c r="U23" s="233" t="s">
        <v>4639</v>
      </c>
      <c r="V23" s="233" t="s">
        <v>4640</v>
      </c>
      <c r="W23" s="234" t="s">
        <v>4641</v>
      </c>
      <c r="X23" s="233" t="s">
        <v>4642</v>
      </c>
      <c r="Y23" s="238"/>
      <c r="Z23" s="231"/>
    </row>
    <row r="24">
      <c r="A24" s="240">
        <v>45479.663442627316</v>
      </c>
      <c r="B24" s="132" t="s">
        <v>4643</v>
      </c>
      <c r="C24" s="132" t="s">
        <v>4644</v>
      </c>
      <c r="D24" s="132" t="s">
        <v>4645</v>
      </c>
      <c r="E24" s="132">
        <v>9.381556505E9</v>
      </c>
      <c r="F24" s="132" t="s">
        <v>4646</v>
      </c>
      <c r="G24" s="133" t="s">
        <v>4647</v>
      </c>
      <c r="H24" s="132" t="s">
        <v>681</v>
      </c>
      <c r="I24" s="132" t="s">
        <v>4648</v>
      </c>
      <c r="J24" s="132" t="s">
        <v>346</v>
      </c>
      <c r="K24" s="132" t="s">
        <v>4251</v>
      </c>
      <c r="L24" s="132">
        <v>1.92110395E8</v>
      </c>
      <c r="M24" s="132">
        <v>2.0</v>
      </c>
      <c r="N24" s="132" t="s">
        <v>4649</v>
      </c>
      <c r="O24" s="132" t="s">
        <v>4650</v>
      </c>
      <c r="P24" s="132" t="s">
        <v>4651</v>
      </c>
      <c r="Q24" s="132" t="s">
        <v>4652</v>
      </c>
      <c r="R24" s="132" t="s">
        <v>4653</v>
      </c>
      <c r="S24" s="132" t="s">
        <v>4654</v>
      </c>
      <c r="T24" s="133" t="s">
        <v>4655</v>
      </c>
      <c r="U24" s="132" t="s">
        <v>4656</v>
      </c>
      <c r="V24" s="132" t="s">
        <v>4657</v>
      </c>
      <c r="W24" s="133" t="s">
        <v>4658</v>
      </c>
      <c r="X24" s="132" t="s">
        <v>4659</v>
      </c>
      <c r="Y24" s="241"/>
      <c r="Z24" s="231"/>
    </row>
    <row r="25">
      <c r="A25" s="240">
        <v>45482.73090351852</v>
      </c>
      <c r="B25" s="132" t="s">
        <v>4660</v>
      </c>
      <c r="C25" s="132" t="s">
        <v>4661</v>
      </c>
      <c r="D25" s="132" t="s">
        <v>4662</v>
      </c>
      <c r="E25" s="132">
        <v>9.32216686E9</v>
      </c>
      <c r="F25" s="132" t="s">
        <v>4663</v>
      </c>
      <c r="G25" s="133" t="s">
        <v>4664</v>
      </c>
      <c r="H25" s="132" t="s">
        <v>681</v>
      </c>
      <c r="I25" s="132" t="s">
        <v>4665</v>
      </c>
      <c r="J25" s="132" t="s">
        <v>346</v>
      </c>
      <c r="K25" s="132" t="s">
        <v>4272</v>
      </c>
      <c r="L25" s="132">
        <v>2203079.0</v>
      </c>
      <c r="M25" s="132">
        <v>3.0</v>
      </c>
      <c r="N25" s="132" t="s">
        <v>4666</v>
      </c>
      <c r="O25" s="132" t="s">
        <v>4667</v>
      </c>
      <c r="P25" s="132" t="s">
        <v>4668</v>
      </c>
      <c r="Q25" s="132" t="s">
        <v>4669</v>
      </c>
      <c r="R25" s="132" t="s">
        <v>4670</v>
      </c>
      <c r="S25" s="132" t="s">
        <v>4671</v>
      </c>
      <c r="T25" s="133" t="s">
        <v>4672</v>
      </c>
      <c r="U25" s="132" t="s">
        <v>4673</v>
      </c>
      <c r="V25" s="132" t="s">
        <v>4674</v>
      </c>
      <c r="W25" s="133" t="s">
        <v>4675</v>
      </c>
      <c r="X25" s="132" t="s">
        <v>4309</v>
      </c>
      <c r="Y25" s="241"/>
      <c r="Z25" s="231"/>
    </row>
    <row r="26">
      <c r="A26" s="232">
        <v>45489.495907696764</v>
      </c>
      <c r="B26" s="233" t="s">
        <v>4676</v>
      </c>
      <c r="C26" s="233" t="s">
        <v>4676</v>
      </c>
      <c r="D26" s="233" t="s">
        <v>4677</v>
      </c>
      <c r="E26" s="233">
        <v>9.971753838E9</v>
      </c>
      <c r="F26" s="233" t="s">
        <v>4678</v>
      </c>
      <c r="G26" s="234" t="s">
        <v>4679</v>
      </c>
      <c r="H26" s="233" t="s">
        <v>4385</v>
      </c>
      <c r="I26" s="233" t="s">
        <v>4680</v>
      </c>
      <c r="J26" s="233" t="s">
        <v>4385</v>
      </c>
      <c r="K26" s="238"/>
      <c r="L26" s="238"/>
      <c r="M26" s="233">
        <v>2.0</v>
      </c>
      <c r="N26" s="233" t="s">
        <v>4681</v>
      </c>
      <c r="O26" s="233" t="s">
        <v>4682</v>
      </c>
      <c r="P26" s="233" t="s">
        <v>4683</v>
      </c>
      <c r="Q26" s="233" t="s">
        <v>4684</v>
      </c>
      <c r="R26" s="233" t="s">
        <v>4685</v>
      </c>
      <c r="S26" s="233" t="s">
        <v>4686</v>
      </c>
      <c r="T26" s="234" t="s">
        <v>4687</v>
      </c>
      <c r="U26" s="233" t="s">
        <v>4688</v>
      </c>
      <c r="V26" s="233" t="s">
        <v>4689</v>
      </c>
      <c r="W26" s="234" t="s">
        <v>4690</v>
      </c>
      <c r="X26" s="233" t="s">
        <v>4691</v>
      </c>
      <c r="Y26" s="233" t="s">
        <v>4692</v>
      </c>
      <c r="Z26" s="231"/>
    </row>
    <row r="27">
      <c r="A27" s="232">
        <v>45491.46704564815</v>
      </c>
      <c r="B27" s="233" t="s">
        <v>4693</v>
      </c>
      <c r="C27" s="233" t="s">
        <v>4694</v>
      </c>
      <c r="D27" s="233" t="s">
        <v>2232</v>
      </c>
      <c r="E27" s="233">
        <v>7.061393434E9</v>
      </c>
      <c r="F27" s="233" t="s">
        <v>4695</v>
      </c>
      <c r="G27" s="234" t="s">
        <v>4696</v>
      </c>
      <c r="H27" s="233" t="s">
        <v>681</v>
      </c>
      <c r="I27" s="233" t="s">
        <v>4697</v>
      </c>
      <c r="J27" s="233" t="s">
        <v>4597</v>
      </c>
      <c r="K27" s="233" t="s">
        <v>4598</v>
      </c>
      <c r="L27" s="238"/>
      <c r="M27" s="233">
        <v>3.0</v>
      </c>
      <c r="N27" s="233" t="s">
        <v>4698</v>
      </c>
      <c r="O27" s="233" t="s">
        <v>4699</v>
      </c>
      <c r="P27" s="233" t="s">
        <v>4700</v>
      </c>
      <c r="Q27" s="233" t="s">
        <v>4701</v>
      </c>
      <c r="R27" s="233" t="s">
        <v>4702</v>
      </c>
      <c r="S27" s="233" t="s">
        <v>4703</v>
      </c>
      <c r="T27" s="234" t="s">
        <v>4704</v>
      </c>
      <c r="U27" s="233" t="s">
        <v>4702</v>
      </c>
      <c r="V27" s="233" t="s">
        <v>4705</v>
      </c>
      <c r="W27" s="234" t="s">
        <v>4706</v>
      </c>
      <c r="X27" s="233">
        <v>6.0</v>
      </c>
      <c r="Y27" s="233" t="s">
        <v>4692</v>
      </c>
      <c r="Z27" s="231"/>
    </row>
    <row r="28">
      <c r="A28" s="232">
        <v>45496.48548440972</v>
      </c>
      <c r="B28" s="233" t="s">
        <v>4707</v>
      </c>
      <c r="C28" s="233" t="s">
        <v>4708</v>
      </c>
      <c r="D28" s="233" t="s">
        <v>4709</v>
      </c>
      <c r="E28" s="233">
        <v>9.999939102E9</v>
      </c>
      <c r="F28" s="233" t="s">
        <v>4710</v>
      </c>
      <c r="G28" s="234" t="s">
        <v>4711</v>
      </c>
      <c r="H28" s="233" t="s">
        <v>4385</v>
      </c>
      <c r="I28" s="233" t="s">
        <v>4712</v>
      </c>
      <c r="J28" s="233" t="s">
        <v>4713</v>
      </c>
      <c r="K28" s="238"/>
      <c r="L28" s="238"/>
      <c r="M28" s="233">
        <v>1.0</v>
      </c>
      <c r="N28" s="233" t="s">
        <v>4708</v>
      </c>
      <c r="O28" s="233" t="s">
        <v>4707</v>
      </c>
      <c r="P28" s="233" t="s">
        <v>4714</v>
      </c>
      <c r="Q28" s="233" t="s">
        <v>4715</v>
      </c>
      <c r="R28" s="233" t="s">
        <v>4716</v>
      </c>
      <c r="S28" s="233" t="s">
        <v>4717</v>
      </c>
      <c r="T28" s="234" t="s">
        <v>4718</v>
      </c>
      <c r="U28" s="233" t="s">
        <v>4719</v>
      </c>
      <c r="V28" s="233" t="s">
        <v>4720</v>
      </c>
      <c r="W28" s="234" t="s">
        <v>4721</v>
      </c>
      <c r="X28" s="233">
        <v>4.0</v>
      </c>
      <c r="Y28" s="233" t="s">
        <v>4692</v>
      </c>
      <c r="Z28" s="231"/>
    </row>
    <row r="29">
      <c r="A29" s="232">
        <v>45496.88913481482</v>
      </c>
      <c r="B29" s="233" t="s">
        <v>4722</v>
      </c>
      <c r="C29" s="233" t="s">
        <v>4723</v>
      </c>
      <c r="D29" s="233" t="s">
        <v>4724</v>
      </c>
      <c r="E29" s="233">
        <v>8.287378168E9</v>
      </c>
      <c r="F29" s="233" t="s">
        <v>4725</v>
      </c>
      <c r="G29" s="234" t="s">
        <v>4726</v>
      </c>
      <c r="H29" s="233" t="s">
        <v>681</v>
      </c>
      <c r="I29" s="233" t="s">
        <v>4727</v>
      </c>
      <c r="J29" s="233" t="s">
        <v>4344</v>
      </c>
      <c r="K29" s="233" t="s">
        <v>4228</v>
      </c>
      <c r="L29" s="233">
        <v>2.207861540004E12</v>
      </c>
      <c r="M29" s="233">
        <v>3.0</v>
      </c>
      <c r="N29" s="233" t="s">
        <v>4728</v>
      </c>
      <c r="O29" s="233" t="s">
        <v>4729</v>
      </c>
      <c r="P29" s="233" t="s">
        <v>4730</v>
      </c>
      <c r="Q29" s="233" t="s">
        <v>4731</v>
      </c>
      <c r="R29" s="233" t="s">
        <v>4732</v>
      </c>
      <c r="S29" s="233" t="s">
        <v>4733</v>
      </c>
      <c r="T29" s="234" t="s">
        <v>4734</v>
      </c>
      <c r="U29" s="233" t="s">
        <v>4735</v>
      </c>
      <c r="V29" s="251">
        <v>75000.0</v>
      </c>
      <c r="W29" s="234" t="s">
        <v>4736</v>
      </c>
      <c r="X29" s="233" t="s">
        <v>4737</v>
      </c>
      <c r="Y29" s="233" t="s">
        <v>4692</v>
      </c>
      <c r="Z29" s="231"/>
    </row>
    <row r="30">
      <c r="A30" s="252">
        <v>45497.36379667824</v>
      </c>
      <c r="B30" s="253" t="s">
        <v>4738</v>
      </c>
      <c r="C30" s="253" t="s">
        <v>4739</v>
      </c>
      <c r="D30" s="253" t="s">
        <v>4740</v>
      </c>
      <c r="E30" s="253">
        <v>7.838409199E9</v>
      </c>
      <c r="F30" s="253" t="s">
        <v>4741</v>
      </c>
      <c r="G30" s="254" t="s">
        <v>4742</v>
      </c>
      <c r="H30" s="253" t="s">
        <v>4385</v>
      </c>
      <c r="I30" s="253">
        <v>0.0</v>
      </c>
      <c r="J30" s="255"/>
      <c r="K30" s="255"/>
      <c r="L30" s="255"/>
      <c r="M30" s="253">
        <v>2.0</v>
      </c>
      <c r="N30" s="253" t="s">
        <v>4743</v>
      </c>
      <c r="O30" s="253" t="s">
        <v>4744</v>
      </c>
      <c r="P30" s="253" t="s">
        <v>4745</v>
      </c>
      <c r="Q30" s="253" t="s">
        <v>4746</v>
      </c>
      <c r="R30" s="253" t="s">
        <v>4747</v>
      </c>
      <c r="S30" s="253" t="s">
        <v>4748</v>
      </c>
      <c r="T30" s="254" t="s">
        <v>4749</v>
      </c>
      <c r="U30" s="253" t="s">
        <v>4750</v>
      </c>
      <c r="V30" s="253" t="s">
        <v>4751</v>
      </c>
      <c r="W30" s="254" t="s">
        <v>4752</v>
      </c>
      <c r="X30" s="253" t="s">
        <v>4309</v>
      </c>
      <c r="Y30" s="253" t="s">
        <v>4692</v>
      </c>
      <c r="Z30" s="231"/>
    </row>
    <row r="31">
      <c r="A31" s="232">
        <v>45497.36698614583</v>
      </c>
      <c r="B31" s="233" t="s">
        <v>4453</v>
      </c>
      <c r="C31" s="233" t="s">
        <v>4739</v>
      </c>
      <c r="D31" s="233" t="s">
        <v>4740</v>
      </c>
      <c r="E31" s="233">
        <v>7.838409199E9</v>
      </c>
      <c r="F31" s="233" t="s">
        <v>4741</v>
      </c>
      <c r="G31" s="234" t="s">
        <v>4753</v>
      </c>
      <c r="H31" s="233" t="s">
        <v>4385</v>
      </c>
      <c r="I31" s="233">
        <v>0.0</v>
      </c>
      <c r="J31" s="238"/>
      <c r="K31" s="238"/>
      <c r="L31" s="238"/>
      <c r="M31" s="233">
        <v>2.0</v>
      </c>
      <c r="N31" s="233" t="s">
        <v>4743</v>
      </c>
      <c r="O31" s="233" t="s">
        <v>4744</v>
      </c>
      <c r="P31" s="233" t="s">
        <v>4745</v>
      </c>
      <c r="Q31" s="233" t="s">
        <v>4754</v>
      </c>
      <c r="R31" s="233" t="s">
        <v>4755</v>
      </c>
      <c r="S31" s="233" t="s">
        <v>4756</v>
      </c>
      <c r="T31" s="234" t="s">
        <v>4757</v>
      </c>
      <c r="U31" s="233" t="s">
        <v>4758</v>
      </c>
      <c r="V31" s="233" t="s">
        <v>4759</v>
      </c>
      <c r="W31" s="234" t="s">
        <v>4760</v>
      </c>
      <c r="X31" s="233" t="s">
        <v>4309</v>
      </c>
      <c r="Y31" s="233" t="s">
        <v>4692</v>
      </c>
      <c r="Z31" s="231"/>
    </row>
    <row r="32">
      <c r="A32" s="232">
        <v>45497.44231633102</v>
      </c>
      <c r="B32" s="233" t="s">
        <v>4761</v>
      </c>
      <c r="C32" s="233" t="s">
        <v>4761</v>
      </c>
      <c r="D32" s="233" t="s">
        <v>4762</v>
      </c>
      <c r="E32" s="233">
        <v>9.811985711E9</v>
      </c>
      <c r="F32" s="233" t="s">
        <v>4763</v>
      </c>
      <c r="G32" s="234" t="s">
        <v>4764</v>
      </c>
      <c r="H32" s="233" t="s">
        <v>681</v>
      </c>
      <c r="I32" s="233" t="s">
        <v>4765</v>
      </c>
      <c r="J32" s="233" t="s">
        <v>594</v>
      </c>
      <c r="K32" s="233" t="s">
        <v>4598</v>
      </c>
      <c r="L32" s="233">
        <v>2.301520700185E12</v>
      </c>
      <c r="M32" s="233">
        <v>3.0</v>
      </c>
      <c r="N32" s="233" t="s">
        <v>4766</v>
      </c>
      <c r="O32" s="233" t="s">
        <v>4767</v>
      </c>
      <c r="P32" s="233" t="s">
        <v>4481</v>
      </c>
      <c r="Q32" s="233" t="s">
        <v>4768</v>
      </c>
      <c r="R32" s="233" t="s">
        <v>4769</v>
      </c>
      <c r="S32" s="233" t="s">
        <v>4770</v>
      </c>
      <c r="T32" s="234" t="s">
        <v>4771</v>
      </c>
      <c r="U32" s="233" t="s">
        <v>4772</v>
      </c>
      <c r="V32" s="233" t="s">
        <v>4773</v>
      </c>
      <c r="W32" s="234" t="s">
        <v>4774</v>
      </c>
      <c r="X32" s="233" t="s">
        <v>4775</v>
      </c>
      <c r="Y32" s="233" t="s">
        <v>4692</v>
      </c>
      <c r="Z32" s="231"/>
    </row>
    <row r="33">
      <c r="A33" s="232">
        <v>45497.446796944445</v>
      </c>
      <c r="B33" s="233" t="s">
        <v>4776</v>
      </c>
      <c r="C33" s="233" t="s">
        <v>2218</v>
      </c>
      <c r="D33" s="233" t="s">
        <v>2220</v>
      </c>
      <c r="E33" s="233">
        <v>9.625531191E9</v>
      </c>
      <c r="F33" s="233" t="s">
        <v>4777</v>
      </c>
      <c r="G33" s="234" t="s">
        <v>4778</v>
      </c>
      <c r="H33" s="233" t="s">
        <v>681</v>
      </c>
      <c r="I33" s="233" t="s">
        <v>4779</v>
      </c>
      <c r="J33" s="233" t="s">
        <v>4271</v>
      </c>
      <c r="K33" s="233" t="s">
        <v>4228</v>
      </c>
      <c r="L33" s="233">
        <v>2.207861520044E12</v>
      </c>
      <c r="M33" s="233">
        <v>2.0</v>
      </c>
      <c r="N33" s="233" t="s">
        <v>4780</v>
      </c>
      <c r="O33" s="233" t="s">
        <v>4781</v>
      </c>
      <c r="P33" s="233" t="s">
        <v>4782</v>
      </c>
      <c r="Q33" s="233" t="s">
        <v>4783</v>
      </c>
      <c r="R33" s="233" t="s">
        <v>4784</v>
      </c>
      <c r="S33" s="233" t="s">
        <v>4785</v>
      </c>
      <c r="T33" s="234" t="s">
        <v>4786</v>
      </c>
      <c r="U33" s="233" t="s">
        <v>4787</v>
      </c>
      <c r="V33" s="233" t="s">
        <v>4788</v>
      </c>
      <c r="W33" s="234" t="s">
        <v>4789</v>
      </c>
      <c r="X33" s="233" t="s">
        <v>4790</v>
      </c>
      <c r="Y33" s="233" t="s">
        <v>4692</v>
      </c>
      <c r="Z33" s="231"/>
    </row>
    <row r="34">
      <c r="A34" s="240">
        <v>45497.46137725694</v>
      </c>
      <c r="B34" s="132" t="s">
        <v>4791</v>
      </c>
      <c r="C34" s="132" t="s">
        <v>4792</v>
      </c>
      <c r="D34" s="132" t="s">
        <v>4793</v>
      </c>
      <c r="E34" s="132">
        <v>9.71707029E9</v>
      </c>
      <c r="F34" s="132" t="s">
        <v>4794</v>
      </c>
      <c r="G34" s="133" t="s">
        <v>4795</v>
      </c>
      <c r="H34" s="132" t="s">
        <v>681</v>
      </c>
      <c r="I34" s="132" t="s">
        <v>4796</v>
      </c>
      <c r="J34" s="132" t="s">
        <v>4271</v>
      </c>
      <c r="K34" s="132" t="s">
        <v>4228</v>
      </c>
      <c r="L34" s="132">
        <v>2.207861520009E12</v>
      </c>
      <c r="M34" s="132">
        <v>2.0</v>
      </c>
      <c r="N34" s="132" t="s">
        <v>4723</v>
      </c>
      <c r="O34" s="132" t="s">
        <v>4797</v>
      </c>
      <c r="P34" s="132" t="s">
        <v>4798</v>
      </c>
      <c r="Q34" s="132" t="s">
        <v>4799</v>
      </c>
      <c r="R34" s="132" t="s">
        <v>4800</v>
      </c>
      <c r="S34" s="132" t="s">
        <v>4801</v>
      </c>
      <c r="T34" s="133" t="s">
        <v>4802</v>
      </c>
      <c r="U34" s="132" t="s">
        <v>4803</v>
      </c>
      <c r="V34" s="132" t="s">
        <v>4804</v>
      </c>
      <c r="W34" s="133" t="s">
        <v>4805</v>
      </c>
      <c r="X34" s="132" t="s">
        <v>4806</v>
      </c>
      <c r="Y34" s="132" t="s">
        <v>4692</v>
      </c>
      <c r="Z34" s="231"/>
    </row>
    <row r="35">
      <c r="A35" s="240">
        <v>45497.68310736111</v>
      </c>
      <c r="B35" s="132" t="s">
        <v>4807</v>
      </c>
      <c r="C35" s="132" t="s">
        <v>4808</v>
      </c>
      <c r="D35" s="132" t="s">
        <v>4809</v>
      </c>
      <c r="E35" s="132">
        <v>9.487810577E9</v>
      </c>
      <c r="F35" s="132" t="s">
        <v>4810</v>
      </c>
      <c r="G35" s="133" t="s">
        <v>4811</v>
      </c>
      <c r="H35" s="132" t="s">
        <v>681</v>
      </c>
      <c r="I35" s="132" t="s">
        <v>4812</v>
      </c>
      <c r="J35" s="132" t="s">
        <v>4344</v>
      </c>
      <c r="K35" s="132" t="s">
        <v>4228</v>
      </c>
      <c r="L35" s="241"/>
      <c r="M35" s="132">
        <v>3.0</v>
      </c>
      <c r="N35" s="132" t="s">
        <v>4813</v>
      </c>
      <c r="O35" s="132" t="s">
        <v>4814</v>
      </c>
      <c r="P35" s="132" t="s">
        <v>4815</v>
      </c>
      <c r="Q35" s="132" t="s">
        <v>4816</v>
      </c>
      <c r="R35" s="132" t="s">
        <v>4817</v>
      </c>
      <c r="S35" s="132" t="s">
        <v>4818</v>
      </c>
      <c r="T35" s="133" t="s">
        <v>4819</v>
      </c>
      <c r="U35" s="132" t="s">
        <v>4820</v>
      </c>
      <c r="V35" s="132" t="s">
        <v>4821</v>
      </c>
      <c r="W35" s="133" t="s">
        <v>4822</v>
      </c>
      <c r="X35" s="132" t="s">
        <v>4823</v>
      </c>
      <c r="Y35" s="132" t="s">
        <v>4692</v>
      </c>
      <c r="Z35" s="231"/>
    </row>
    <row r="36">
      <c r="A36" s="240">
        <v>45497.90667861111</v>
      </c>
      <c r="B36" s="132" t="s">
        <v>4824</v>
      </c>
      <c r="C36" s="132" t="s">
        <v>4825</v>
      </c>
      <c r="D36" s="132" t="s">
        <v>4826</v>
      </c>
      <c r="E36" s="132">
        <v>7.200766186E9</v>
      </c>
      <c r="F36" s="132" t="s">
        <v>4827</v>
      </c>
      <c r="G36" s="133" t="s">
        <v>4828</v>
      </c>
      <c r="H36" s="132" t="s">
        <v>681</v>
      </c>
      <c r="I36" s="132" t="s">
        <v>4829</v>
      </c>
      <c r="J36" s="132" t="s">
        <v>4830</v>
      </c>
      <c r="K36" s="132" t="s">
        <v>4272</v>
      </c>
      <c r="L36" s="132">
        <v>4.11722205037E11</v>
      </c>
      <c r="M36" s="132">
        <v>3.0</v>
      </c>
      <c r="N36" s="132" t="s">
        <v>4831</v>
      </c>
      <c r="O36" s="132" t="s">
        <v>4832</v>
      </c>
      <c r="P36" s="132" t="s">
        <v>4833</v>
      </c>
      <c r="Q36" s="132" t="s">
        <v>4834</v>
      </c>
      <c r="R36" s="132" t="s">
        <v>4835</v>
      </c>
      <c r="S36" s="132" t="s">
        <v>4836</v>
      </c>
      <c r="T36" s="133" t="s">
        <v>4837</v>
      </c>
      <c r="U36" s="132" t="s">
        <v>4838</v>
      </c>
      <c r="V36" s="132" t="s">
        <v>4839</v>
      </c>
      <c r="W36" s="133" t="s">
        <v>4841</v>
      </c>
      <c r="X36" s="132" t="s">
        <v>4842</v>
      </c>
      <c r="Y36" s="132" t="s">
        <v>4692</v>
      </c>
      <c r="Z36" s="231"/>
    </row>
    <row r="37">
      <c r="A37" s="240">
        <v>45497.92540988426</v>
      </c>
      <c r="B37" s="132" t="s">
        <v>4846</v>
      </c>
      <c r="C37" s="132" t="s">
        <v>4847</v>
      </c>
      <c r="D37" s="132" t="s">
        <v>4850</v>
      </c>
      <c r="E37" s="132">
        <v>9.176775477E9</v>
      </c>
      <c r="F37" s="132" t="s">
        <v>4852</v>
      </c>
      <c r="G37" s="133" t="s">
        <v>4854</v>
      </c>
      <c r="H37" s="132" t="s">
        <v>681</v>
      </c>
      <c r="I37" s="132" t="s">
        <v>4863</v>
      </c>
      <c r="J37" s="132" t="s">
        <v>4830</v>
      </c>
      <c r="K37" s="132" t="s">
        <v>4272</v>
      </c>
      <c r="L37" s="132">
        <v>4.11722205015E11</v>
      </c>
      <c r="M37" s="132">
        <v>1.0</v>
      </c>
      <c r="N37" s="132" t="s">
        <v>4864</v>
      </c>
      <c r="O37" s="132" t="s">
        <v>4865</v>
      </c>
      <c r="P37" s="132" t="s">
        <v>862</v>
      </c>
      <c r="Q37" s="132" t="s">
        <v>4866</v>
      </c>
      <c r="R37" s="132" t="s">
        <v>4867</v>
      </c>
      <c r="S37" s="132" t="s">
        <v>4868</v>
      </c>
      <c r="T37" s="133" t="s">
        <v>4869</v>
      </c>
      <c r="U37" s="132" t="s">
        <v>4870</v>
      </c>
      <c r="V37" s="132" t="s">
        <v>4871</v>
      </c>
      <c r="W37" s="133" t="s">
        <v>4872</v>
      </c>
      <c r="X37" s="132" t="s">
        <v>4873</v>
      </c>
      <c r="Y37" s="132" t="s">
        <v>4692</v>
      </c>
      <c r="Z37" s="231"/>
    </row>
    <row r="38">
      <c r="A38" s="232">
        <v>45498.09659151621</v>
      </c>
      <c r="B38" s="233" t="s">
        <v>4874</v>
      </c>
      <c r="C38" s="233" t="s">
        <v>4874</v>
      </c>
      <c r="D38" s="233" t="s">
        <v>4875</v>
      </c>
      <c r="E38" s="233">
        <v>9.161275231E9</v>
      </c>
      <c r="F38" s="233" t="s">
        <v>4876</v>
      </c>
      <c r="G38" s="234" t="s">
        <v>4877</v>
      </c>
      <c r="H38" s="233" t="s">
        <v>681</v>
      </c>
      <c r="I38" s="233" t="s">
        <v>4878</v>
      </c>
      <c r="J38" s="233" t="s">
        <v>4879</v>
      </c>
      <c r="K38" s="233" t="s">
        <v>4228</v>
      </c>
      <c r="L38" s="238"/>
      <c r="M38" s="233">
        <v>1.0</v>
      </c>
      <c r="N38" s="233" t="s">
        <v>4874</v>
      </c>
      <c r="O38" s="233" t="s">
        <v>4880</v>
      </c>
      <c r="P38" s="233" t="s">
        <v>4881</v>
      </c>
      <c r="Q38" s="233" t="s">
        <v>4882</v>
      </c>
      <c r="R38" s="233" t="s">
        <v>4883</v>
      </c>
      <c r="S38" s="233" t="s">
        <v>4884</v>
      </c>
      <c r="T38" s="234" t="s">
        <v>4885</v>
      </c>
      <c r="U38" s="233" t="s">
        <v>4886</v>
      </c>
      <c r="V38" s="233" t="s">
        <v>4887</v>
      </c>
      <c r="W38" s="234" t="s">
        <v>4888</v>
      </c>
      <c r="X38" s="233" t="s">
        <v>4889</v>
      </c>
      <c r="Y38" s="233" t="s">
        <v>4692</v>
      </c>
      <c r="Z38" s="231"/>
    </row>
    <row r="39">
      <c r="A39" s="240">
        <v>45498.522924375</v>
      </c>
      <c r="B39" s="132" t="s">
        <v>4890</v>
      </c>
      <c r="C39" s="132" t="s">
        <v>4891</v>
      </c>
      <c r="D39" s="132" t="s">
        <v>4892</v>
      </c>
      <c r="E39" s="132">
        <v>6.393444944E9</v>
      </c>
      <c r="F39" s="132" t="s">
        <v>4893</v>
      </c>
      <c r="G39" s="133" t="s">
        <v>4894</v>
      </c>
      <c r="H39" s="132" t="s">
        <v>681</v>
      </c>
      <c r="I39" s="132" t="s">
        <v>4895</v>
      </c>
      <c r="J39" s="132" t="s">
        <v>346</v>
      </c>
      <c r="K39" s="132" t="s">
        <v>4228</v>
      </c>
      <c r="L39" s="132">
        <v>2.207860142E9</v>
      </c>
      <c r="M39" s="132">
        <v>1.0</v>
      </c>
      <c r="N39" s="132" t="s">
        <v>4896</v>
      </c>
      <c r="O39" s="132" t="s">
        <v>4890</v>
      </c>
      <c r="P39" s="132" t="s">
        <v>477</v>
      </c>
      <c r="Q39" s="132" t="s">
        <v>4897</v>
      </c>
      <c r="R39" s="132" t="s">
        <v>4898</v>
      </c>
      <c r="S39" s="132" t="s">
        <v>4899</v>
      </c>
      <c r="T39" s="133" t="s">
        <v>4900</v>
      </c>
      <c r="U39" s="132" t="s">
        <v>4904</v>
      </c>
      <c r="V39" s="132" t="s">
        <v>4906</v>
      </c>
      <c r="W39" s="133" t="s">
        <v>4907</v>
      </c>
      <c r="X39" s="132" t="s">
        <v>4916</v>
      </c>
      <c r="Y39" s="132" t="s">
        <v>4692</v>
      </c>
      <c r="Z39" s="231"/>
    </row>
    <row r="40">
      <c r="A40" s="232">
        <v>45498.62799891204</v>
      </c>
      <c r="B40" s="233" t="s">
        <v>4857</v>
      </c>
      <c r="C40" s="233" t="s">
        <v>4858</v>
      </c>
      <c r="D40" s="233" t="s">
        <v>4920</v>
      </c>
      <c r="E40" s="233">
        <v>6.396832726E9</v>
      </c>
      <c r="F40" s="233" t="s">
        <v>4923</v>
      </c>
      <c r="G40" s="234" t="s">
        <v>4924</v>
      </c>
      <c r="H40" s="233" t="s">
        <v>681</v>
      </c>
      <c r="I40" s="233" t="s">
        <v>4859</v>
      </c>
      <c r="J40" s="233" t="s">
        <v>346</v>
      </c>
      <c r="K40" s="233" t="s">
        <v>4272</v>
      </c>
      <c r="L40" s="233">
        <v>2.20120101017E11</v>
      </c>
      <c r="M40" s="233">
        <v>2.0</v>
      </c>
      <c r="N40" s="233" t="s">
        <v>4932</v>
      </c>
      <c r="O40" s="233" t="s">
        <v>4933</v>
      </c>
      <c r="P40" s="233" t="s">
        <v>4934</v>
      </c>
      <c r="Q40" s="233" t="s">
        <v>4937</v>
      </c>
      <c r="R40" s="233" t="s">
        <v>4938</v>
      </c>
      <c r="S40" s="233" t="s">
        <v>4939</v>
      </c>
      <c r="T40" s="234" t="s">
        <v>4941</v>
      </c>
      <c r="U40" s="233" t="s">
        <v>4947</v>
      </c>
      <c r="V40" s="233" t="s">
        <v>4948</v>
      </c>
      <c r="W40" s="234" t="s">
        <v>4950</v>
      </c>
      <c r="X40" s="233" t="s">
        <v>4954</v>
      </c>
      <c r="Y40" s="233" t="s">
        <v>4692</v>
      </c>
      <c r="Z40" s="231"/>
    </row>
    <row r="41">
      <c r="A41" s="232">
        <v>45498.751727662035</v>
      </c>
      <c r="B41" s="233" t="s">
        <v>4860</v>
      </c>
      <c r="C41" s="233" t="s">
        <v>4861</v>
      </c>
      <c r="D41" s="233" t="s">
        <v>4957</v>
      </c>
      <c r="E41" s="233">
        <v>9.454144272E9</v>
      </c>
      <c r="F41" s="233" t="s">
        <v>4958</v>
      </c>
      <c r="G41" s="234" t="s">
        <v>4960</v>
      </c>
      <c r="H41" s="233" t="s">
        <v>681</v>
      </c>
      <c r="I41" s="233" t="s">
        <v>4862</v>
      </c>
      <c r="J41" s="233" t="s">
        <v>346</v>
      </c>
      <c r="K41" s="233" t="s">
        <v>4228</v>
      </c>
      <c r="L41" s="233">
        <v>2.300520100154E12</v>
      </c>
      <c r="M41" s="233">
        <v>2.0</v>
      </c>
      <c r="N41" s="233" t="s">
        <v>4966</v>
      </c>
      <c r="O41" s="233" t="s">
        <v>4967</v>
      </c>
      <c r="P41" s="233" t="s">
        <v>4969</v>
      </c>
      <c r="Q41" s="233" t="s">
        <v>4970</v>
      </c>
      <c r="R41" s="233" t="s">
        <v>4971</v>
      </c>
      <c r="S41" s="233" t="s">
        <v>4973</v>
      </c>
      <c r="T41" s="234" t="s">
        <v>4974</v>
      </c>
      <c r="U41" s="233" t="s">
        <v>4978</v>
      </c>
      <c r="V41" s="233" t="s">
        <v>4979</v>
      </c>
      <c r="W41" s="234" t="s">
        <v>4980</v>
      </c>
      <c r="X41" s="233" t="s">
        <v>4985</v>
      </c>
      <c r="Y41" s="233" t="s">
        <v>4692</v>
      </c>
      <c r="Z41" s="231"/>
    </row>
    <row r="42">
      <c r="A42" s="232">
        <v>45498.88247427084</v>
      </c>
      <c r="B42" s="233" t="s">
        <v>4986</v>
      </c>
      <c r="C42" s="233" t="s">
        <v>4988</v>
      </c>
      <c r="D42" s="233" t="s">
        <v>4989</v>
      </c>
      <c r="E42" s="233">
        <v>6.381522082E9</v>
      </c>
      <c r="F42" s="233" t="s">
        <v>4991</v>
      </c>
      <c r="G42" s="234" t="s">
        <v>4992</v>
      </c>
      <c r="H42" s="233" t="s">
        <v>681</v>
      </c>
      <c r="I42" s="233" t="s">
        <v>4993</v>
      </c>
      <c r="J42" s="233" t="s">
        <v>4994</v>
      </c>
      <c r="K42" s="233" t="s">
        <v>4272</v>
      </c>
      <c r="L42" s="233">
        <v>4.11722205056E11</v>
      </c>
      <c r="M42" s="233">
        <v>2.0</v>
      </c>
      <c r="N42" s="233" t="s">
        <v>4995</v>
      </c>
      <c r="O42" s="233" t="s">
        <v>4996</v>
      </c>
      <c r="P42" s="233" t="s">
        <v>4997</v>
      </c>
      <c r="Q42" s="233" t="s">
        <v>4998</v>
      </c>
      <c r="R42" s="251">
        <v>800000.0</v>
      </c>
      <c r="S42" s="233" t="s">
        <v>4999</v>
      </c>
      <c r="T42" s="234" t="s">
        <v>5000</v>
      </c>
      <c r="U42" s="233" t="s">
        <v>5001</v>
      </c>
      <c r="V42" s="251">
        <v>80000.0</v>
      </c>
      <c r="W42" s="234" t="s">
        <v>5002</v>
      </c>
      <c r="X42" s="233" t="s">
        <v>5003</v>
      </c>
      <c r="Y42" s="233" t="s">
        <v>4692</v>
      </c>
      <c r="Z42" s="231"/>
    </row>
    <row r="43">
      <c r="A43" s="240">
        <v>45498.91795973379</v>
      </c>
      <c r="B43" s="132" t="s">
        <v>5004</v>
      </c>
      <c r="C43" s="132" t="s">
        <v>5005</v>
      </c>
      <c r="D43" s="132" t="s">
        <v>5006</v>
      </c>
      <c r="E43" s="132">
        <v>9.443348472E9</v>
      </c>
      <c r="F43" s="132" t="s">
        <v>5007</v>
      </c>
      <c r="G43" s="133" t="s">
        <v>5008</v>
      </c>
      <c r="H43" s="132" t="s">
        <v>681</v>
      </c>
      <c r="I43" s="132" t="s">
        <v>4614</v>
      </c>
      <c r="J43" s="132" t="s">
        <v>5009</v>
      </c>
      <c r="K43" s="132" t="s">
        <v>4272</v>
      </c>
      <c r="L43" s="132">
        <v>7.1812206022E10</v>
      </c>
      <c r="M43" s="132">
        <v>2.0</v>
      </c>
      <c r="N43" s="132" t="s">
        <v>5010</v>
      </c>
      <c r="O43" s="132" t="s">
        <v>5011</v>
      </c>
      <c r="P43" s="132" t="s">
        <v>5012</v>
      </c>
      <c r="Q43" s="132" t="s">
        <v>5013</v>
      </c>
      <c r="R43" s="132" t="s">
        <v>5014</v>
      </c>
      <c r="S43" s="132" t="s">
        <v>5015</v>
      </c>
      <c r="T43" s="133" t="s">
        <v>5016</v>
      </c>
      <c r="U43" s="132" t="s">
        <v>5017</v>
      </c>
      <c r="V43" s="132" t="s">
        <v>5018</v>
      </c>
      <c r="W43" s="133" t="s">
        <v>5019</v>
      </c>
      <c r="X43" s="132" t="s">
        <v>5020</v>
      </c>
      <c r="Y43" s="132" t="s">
        <v>4692</v>
      </c>
      <c r="Z43" s="231"/>
    </row>
    <row r="44">
      <c r="A44" s="232">
        <v>45498.94447555556</v>
      </c>
      <c r="B44" s="233" t="s">
        <v>4848</v>
      </c>
      <c r="C44" s="233" t="s">
        <v>4849</v>
      </c>
      <c r="D44" s="233" t="s">
        <v>5021</v>
      </c>
      <c r="E44" s="233">
        <v>9.894414899E9</v>
      </c>
      <c r="F44" s="233" t="s">
        <v>5023</v>
      </c>
      <c r="G44" s="234" t="s">
        <v>5024</v>
      </c>
      <c r="H44" s="233" t="s">
        <v>681</v>
      </c>
      <c r="I44" s="233" t="s">
        <v>4851</v>
      </c>
      <c r="J44" s="233" t="s">
        <v>292</v>
      </c>
      <c r="K44" s="233" t="s">
        <v>4251</v>
      </c>
      <c r="L44" s="233">
        <v>8.11721106064E11</v>
      </c>
      <c r="M44" s="233">
        <v>3.0</v>
      </c>
      <c r="N44" s="233" t="s">
        <v>5030</v>
      </c>
      <c r="O44" s="233" t="s">
        <v>5032</v>
      </c>
      <c r="P44" s="233" t="s">
        <v>5033</v>
      </c>
      <c r="Q44" s="233" t="s">
        <v>5037</v>
      </c>
      <c r="R44" s="233" t="s">
        <v>5039</v>
      </c>
      <c r="S44" s="233" t="s">
        <v>5046</v>
      </c>
      <c r="T44" s="234" t="s">
        <v>5049</v>
      </c>
      <c r="U44" s="233" t="s">
        <v>5063</v>
      </c>
      <c r="V44" s="233" t="s">
        <v>5064</v>
      </c>
      <c r="W44" s="234" t="s">
        <v>5066</v>
      </c>
      <c r="X44" s="233" t="s">
        <v>5073</v>
      </c>
      <c r="Y44" s="233" t="s">
        <v>4692</v>
      </c>
      <c r="Z44" s="231"/>
    </row>
    <row r="45">
      <c r="A45" s="240">
        <v>45498.954916331015</v>
      </c>
      <c r="B45" s="132" t="s">
        <v>5078</v>
      </c>
      <c r="C45" s="132" t="s">
        <v>5080</v>
      </c>
      <c r="D45" s="132" t="s">
        <v>5084</v>
      </c>
      <c r="E45" s="132">
        <v>9.944519933E9</v>
      </c>
      <c r="F45" s="132" t="s">
        <v>5086</v>
      </c>
      <c r="G45" s="133" t="s">
        <v>5088</v>
      </c>
      <c r="H45" s="132" t="s">
        <v>681</v>
      </c>
      <c r="I45" s="132" t="s">
        <v>5100</v>
      </c>
      <c r="J45" s="132" t="s">
        <v>5101</v>
      </c>
      <c r="K45" s="132" t="s">
        <v>4251</v>
      </c>
      <c r="L45" s="132">
        <v>4.11721205055E11</v>
      </c>
      <c r="M45" s="132">
        <v>3.0</v>
      </c>
      <c r="N45" s="132" t="s">
        <v>5107</v>
      </c>
      <c r="O45" s="132" t="s">
        <v>5109</v>
      </c>
      <c r="P45" s="132" t="s">
        <v>5111</v>
      </c>
      <c r="Q45" s="132" t="s">
        <v>5114</v>
      </c>
      <c r="R45" s="132" t="s">
        <v>5115</v>
      </c>
      <c r="S45" s="132" t="s">
        <v>5115</v>
      </c>
      <c r="T45" s="133" t="s">
        <v>5117</v>
      </c>
      <c r="U45" s="132" t="s">
        <v>5127</v>
      </c>
      <c r="V45" s="132" t="s">
        <v>5129</v>
      </c>
      <c r="W45" s="133" t="s">
        <v>5131</v>
      </c>
      <c r="X45" s="132" t="s">
        <v>4659</v>
      </c>
      <c r="Y45" s="132" t="s">
        <v>4692</v>
      </c>
      <c r="Z45" s="231"/>
    </row>
    <row r="46">
      <c r="A46" s="232">
        <v>45498.966078680554</v>
      </c>
      <c r="B46" s="233" t="s">
        <v>4853</v>
      </c>
      <c r="C46" s="233" t="s">
        <v>4855</v>
      </c>
      <c r="D46" s="233" t="s">
        <v>5147</v>
      </c>
      <c r="E46" s="233">
        <v>7.397010451E9</v>
      </c>
      <c r="F46" s="233" t="s">
        <v>5149</v>
      </c>
      <c r="G46" s="234" t="s">
        <v>5151</v>
      </c>
      <c r="H46" s="233" t="s">
        <v>681</v>
      </c>
      <c r="I46" s="233" t="s">
        <v>4856</v>
      </c>
      <c r="J46" s="233" t="s">
        <v>292</v>
      </c>
      <c r="K46" s="233" t="s">
        <v>4251</v>
      </c>
      <c r="L46" s="233">
        <v>8.11721106005E11</v>
      </c>
      <c r="M46" s="233">
        <v>3.0</v>
      </c>
      <c r="N46" s="233" t="s">
        <v>5153</v>
      </c>
      <c r="O46" s="233" t="s">
        <v>5154</v>
      </c>
      <c r="P46" s="233" t="s">
        <v>5155</v>
      </c>
      <c r="Q46" s="233" t="s">
        <v>5156</v>
      </c>
      <c r="R46" s="233" t="s">
        <v>5157</v>
      </c>
      <c r="S46" s="233" t="s">
        <v>5158</v>
      </c>
      <c r="T46" s="234" t="s">
        <v>5159</v>
      </c>
      <c r="U46" s="233" t="s">
        <v>5160</v>
      </c>
      <c r="V46" s="233" t="s">
        <v>5161</v>
      </c>
      <c r="W46" s="234" t="s">
        <v>5162</v>
      </c>
      <c r="X46" s="233" t="s">
        <v>5163</v>
      </c>
      <c r="Y46" s="233" t="s">
        <v>4692</v>
      </c>
      <c r="Z46" s="231"/>
    </row>
    <row r="47">
      <c r="A47" s="240">
        <v>45498.97002341435</v>
      </c>
      <c r="B47" s="132" t="s">
        <v>5164</v>
      </c>
      <c r="C47" s="132" t="s">
        <v>5165</v>
      </c>
      <c r="D47" s="132" t="s">
        <v>5006</v>
      </c>
      <c r="E47" s="132">
        <v>9.443348472E9</v>
      </c>
      <c r="F47" s="132" t="s">
        <v>5166</v>
      </c>
      <c r="G47" s="133" t="s">
        <v>5167</v>
      </c>
      <c r="H47" s="132" t="s">
        <v>681</v>
      </c>
      <c r="I47" s="132" t="s">
        <v>4436</v>
      </c>
      <c r="J47" s="132" t="s">
        <v>5168</v>
      </c>
      <c r="K47" s="132" t="s">
        <v>4272</v>
      </c>
      <c r="L47" s="132">
        <v>7.1812206022E10</v>
      </c>
      <c r="M47" s="132">
        <v>2.0</v>
      </c>
      <c r="N47" s="132" t="s">
        <v>5169</v>
      </c>
      <c r="O47" s="132" t="s">
        <v>5170</v>
      </c>
      <c r="P47" s="132" t="s">
        <v>5171</v>
      </c>
      <c r="Q47" s="132" t="s">
        <v>5172</v>
      </c>
      <c r="R47" s="132" t="s">
        <v>5173</v>
      </c>
      <c r="S47" s="132" t="s">
        <v>5174</v>
      </c>
      <c r="T47" s="133" t="s">
        <v>5175</v>
      </c>
      <c r="U47" s="132" t="s">
        <v>5176</v>
      </c>
      <c r="V47" s="132" t="s">
        <v>5177</v>
      </c>
      <c r="W47" s="133" t="s">
        <v>5178</v>
      </c>
      <c r="X47" s="132" t="s">
        <v>5020</v>
      </c>
      <c r="Y47" s="132" t="s">
        <v>4692</v>
      </c>
      <c r="Z47" s="231"/>
    </row>
    <row r="48">
      <c r="A48" s="240">
        <v>45498.98400842593</v>
      </c>
      <c r="B48" s="132" t="s">
        <v>5179</v>
      </c>
      <c r="C48" s="132" t="s">
        <v>5180</v>
      </c>
      <c r="D48" s="132" t="s">
        <v>5181</v>
      </c>
      <c r="E48" s="267" t="s">
        <v>5182</v>
      </c>
      <c r="F48" s="132" t="s">
        <v>5183</v>
      </c>
      <c r="G48" s="133" t="s">
        <v>5184</v>
      </c>
      <c r="H48" s="132" t="s">
        <v>681</v>
      </c>
      <c r="I48" s="132" t="s">
        <v>5186</v>
      </c>
      <c r="J48" s="132" t="s">
        <v>4344</v>
      </c>
      <c r="K48" s="132" t="s">
        <v>4272</v>
      </c>
      <c r="L48" s="132" t="s">
        <v>5187</v>
      </c>
      <c r="M48" s="132">
        <v>3.0</v>
      </c>
      <c r="N48" s="132" t="s">
        <v>5188</v>
      </c>
      <c r="O48" s="132" t="s">
        <v>5189</v>
      </c>
      <c r="P48" s="132" t="s">
        <v>5190</v>
      </c>
      <c r="Q48" s="132" t="s">
        <v>5191</v>
      </c>
      <c r="R48" s="132" t="s">
        <v>5192</v>
      </c>
      <c r="S48" s="132" t="s">
        <v>5193</v>
      </c>
      <c r="T48" s="133" t="s">
        <v>5194</v>
      </c>
      <c r="U48" s="132" t="s">
        <v>5198</v>
      </c>
      <c r="V48" s="132" t="s">
        <v>5199</v>
      </c>
      <c r="W48" s="133" t="s">
        <v>5200</v>
      </c>
      <c r="X48" s="132" t="s">
        <v>5201</v>
      </c>
      <c r="Y48" s="132" t="s">
        <v>4692</v>
      </c>
      <c r="Z48" s="231"/>
    </row>
    <row r="49">
      <c r="A49" s="232">
        <v>45498.99907662037</v>
      </c>
      <c r="B49" s="233" t="s">
        <v>5202</v>
      </c>
      <c r="C49" s="233" t="s">
        <v>5203</v>
      </c>
      <c r="D49" s="233" t="s">
        <v>5204</v>
      </c>
      <c r="E49" s="233">
        <v>6.202505334E9</v>
      </c>
      <c r="F49" s="233" t="s">
        <v>5205</v>
      </c>
      <c r="G49" s="234" t="s">
        <v>5206</v>
      </c>
      <c r="H49" s="233" t="s">
        <v>681</v>
      </c>
      <c r="I49" s="233" t="s">
        <v>5208</v>
      </c>
      <c r="J49" s="233" t="s">
        <v>346</v>
      </c>
      <c r="K49" s="233" t="s">
        <v>4228</v>
      </c>
      <c r="L49" s="233" t="s">
        <v>5209</v>
      </c>
      <c r="M49" s="233">
        <v>1.0</v>
      </c>
      <c r="N49" s="233" t="s">
        <v>5203</v>
      </c>
      <c r="O49" s="233" t="s">
        <v>5210</v>
      </c>
      <c r="P49" s="233" t="s">
        <v>5211</v>
      </c>
      <c r="Q49" s="233" t="s">
        <v>5212</v>
      </c>
      <c r="R49" s="233" t="s">
        <v>5213</v>
      </c>
      <c r="S49" s="233" t="s">
        <v>5214</v>
      </c>
      <c r="T49" s="234" t="s">
        <v>5215</v>
      </c>
      <c r="U49" s="233" t="s">
        <v>5217</v>
      </c>
      <c r="V49" s="233" t="s">
        <v>5218</v>
      </c>
      <c r="W49" s="234" t="s">
        <v>5219</v>
      </c>
      <c r="X49" s="233" t="s">
        <v>5220</v>
      </c>
      <c r="Y49" s="233" t="s">
        <v>4692</v>
      </c>
      <c r="Z49" s="231"/>
    </row>
    <row r="50">
      <c r="A50" s="232">
        <v>45498.999884861114</v>
      </c>
      <c r="B50" s="233" t="s">
        <v>5221</v>
      </c>
      <c r="C50" s="233" t="s">
        <v>5222</v>
      </c>
      <c r="D50" s="233" t="s">
        <v>5224</v>
      </c>
      <c r="E50" s="233">
        <v>9.943032216E9</v>
      </c>
      <c r="F50" s="233" t="s">
        <v>5225</v>
      </c>
      <c r="G50" s="234" t="s">
        <v>5226</v>
      </c>
      <c r="H50" s="233" t="s">
        <v>681</v>
      </c>
      <c r="I50" s="238"/>
      <c r="J50" s="233" t="s">
        <v>292</v>
      </c>
      <c r="K50" s="233" t="s">
        <v>4272</v>
      </c>
      <c r="L50" s="238"/>
      <c r="M50" s="233">
        <v>3.0</v>
      </c>
      <c r="N50" s="233" t="s">
        <v>5227</v>
      </c>
      <c r="O50" s="233" t="s">
        <v>5228</v>
      </c>
      <c r="P50" s="233" t="s">
        <v>5229</v>
      </c>
      <c r="Q50" s="233" t="s">
        <v>5230</v>
      </c>
      <c r="R50" s="233" t="s">
        <v>5231</v>
      </c>
      <c r="S50" s="233" t="s">
        <v>5232</v>
      </c>
      <c r="T50" s="234" t="s">
        <v>5233</v>
      </c>
      <c r="U50" s="233" t="s">
        <v>5234</v>
      </c>
      <c r="V50" s="233" t="s">
        <v>5235</v>
      </c>
      <c r="W50" s="234" t="s">
        <v>5236</v>
      </c>
      <c r="X50" s="233" t="s">
        <v>5237</v>
      </c>
      <c r="Y50" s="233" t="s">
        <v>4692</v>
      </c>
      <c r="Z50" s="231"/>
    </row>
    <row r="51">
      <c r="A51" s="232">
        <v>45499.058997002314</v>
      </c>
      <c r="B51" s="233" t="s">
        <v>5238</v>
      </c>
      <c r="C51" s="233" t="s">
        <v>5239</v>
      </c>
      <c r="D51" s="233" t="s">
        <v>5240</v>
      </c>
      <c r="E51" s="233">
        <v>6.306645524E9</v>
      </c>
      <c r="F51" s="233" t="s">
        <v>5241</v>
      </c>
      <c r="G51" s="234" t="s">
        <v>5242</v>
      </c>
      <c r="H51" s="233" t="s">
        <v>681</v>
      </c>
      <c r="I51" s="233" t="s">
        <v>5243</v>
      </c>
      <c r="J51" s="233" t="s">
        <v>594</v>
      </c>
      <c r="K51" s="233" t="s">
        <v>4598</v>
      </c>
      <c r="L51" s="233">
        <v>2.301520700043E12</v>
      </c>
      <c r="M51" s="233">
        <v>1.0</v>
      </c>
      <c r="N51" s="233" t="s">
        <v>5245</v>
      </c>
      <c r="O51" s="233" t="s">
        <v>5246</v>
      </c>
      <c r="P51" s="233" t="s">
        <v>5247</v>
      </c>
      <c r="Q51" s="233" t="s">
        <v>5248</v>
      </c>
      <c r="R51" s="233" t="s">
        <v>5249</v>
      </c>
      <c r="S51" s="233" t="s">
        <v>5250</v>
      </c>
      <c r="T51" s="234" t="s">
        <v>5251</v>
      </c>
      <c r="U51" s="233" t="s">
        <v>5252</v>
      </c>
      <c r="V51" s="233" t="s">
        <v>5253</v>
      </c>
      <c r="W51" s="234" t="s">
        <v>5254</v>
      </c>
      <c r="X51" s="233" t="s">
        <v>5256</v>
      </c>
      <c r="Y51" s="233" t="s">
        <v>4692</v>
      </c>
      <c r="Z51" s="231"/>
    </row>
    <row r="52">
      <c r="A52" s="232">
        <v>45499.16812207176</v>
      </c>
      <c r="B52" s="233" t="s">
        <v>5257</v>
      </c>
      <c r="C52" s="233" t="s">
        <v>5258</v>
      </c>
      <c r="D52" s="233" t="s">
        <v>5259</v>
      </c>
      <c r="E52" s="233">
        <v>6.263612431E9</v>
      </c>
      <c r="F52" s="233" t="s">
        <v>5260</v>
      </c>
      <c r="G52" s="234" t="s">
        <v>5261</v>
      </c>
      <c r="H52" s="233" t="s">
        <v>681</v>
      </c>
      <c r="I52" s="233" t="s">
        <v>5263</v>
      </c>
      <c r="J52" s="233" t="s">
        <v>4388</v>
      </c>
      <c r="K52" s="233" t="s">
        <v>4228</v>
      </c>
      <c r="L52" s="233">
        <v>2.30992010412E11</v>
      </c>
      <c r="M52" s="233">
        <v>2.0</v>
      </c>
      <c r="N52" s="233" t="s">
        <v>5267</v>
      </c>
      <c r="O52" s="233" t="s">
        <v>5257</v>
      </c>
      <c r="P52" s="233" t="s">
        <v>5268</v>
      </c>
      <c r="Q52" s="233" t="s">
        <v>5269</v>
      </c>
      <c r="R52" s="233" t="s">
        <v>5271</v>
      </c>
      <c r="S52" s="233" t="s">
        <v>5272</v>
      </c>
      <c r="T52" s="234" t="s">
        <v>5273</v>
      </c>
      <c r="U52" s="233" t="s">
        <v>5278</v>
      </c>
      <c r="V52" s="233" t="s">
        <v>5279</v>
      </c>
      <c r="W52" s="234" t="s">
        <v>5280</v>
      </c>
      <c r="X52" s="233" t="s">
        <v>5284</v>
      </c>
      <c r="Y52" s="233" t="s">
        <v>4692</v>
      </c>
      <c r="Z52" s="231"/>
    </row>
    <row r="53">
      <c r="A53" s="232">
        <v>45499.36205083333</v>
      </c>
      <c r="B53" s="233" t="s">
        <v>5288</v>
      </c>
      <c r="C53" s="233" t="s">
        <v>5290</v>
      </c>
      <c r="D53" s="233" t="s">
        <v>5291</v>
      </c>
      <c r="E53" s="233">
        <v>9.7110155E9</v>
      </c>
      <c r="F53" s="233" t="s">
        <v>5292</v>
      </c>
      <c r="G53" s="234" t="s">
        <v>5293</v>
      </c>
      <c r="H53" s="233" t="s">
        <v>4385</v>
      </c>
      <c r="I53" s="233" t="s">
        <v>5298</v>
      </c>
      <c r="J53" s="238"/>
      <c r="K53" s="238"/>
      <c r="L53" s="238"/>
      <c r="M53" s="233">
        <v>3.0</v>
      </c>
      <c r="N53" s="233" t="s">
        <v>5301</v>
      </c>
      <c r="O53" s="233" t="s">
        <v>5302</v>
      </c>
      <c r="P53" s="233" t="s">
        <v>5303</v>
      </c>
      <c r="Q53" s="233" t="s">
        <v>5304</v>
      </c>
      <c r="R53" s="233" t="s">
        <v>5305</v>
      </c>
      <c r="S53" s="233" t="s">
        <v>5306</v>
      </c>
      <c r="T53" s="234" t="s">
        <v>5307</v>
      </c>
      <c r="U53" s="233" t="s">
        <v>5313</v>
      </c>
      <c r="V53" s="233" t="s">
        <v>5314</v>
      </c>
      <c r="W53" s="234" t="s">
        <v>5315</v>
      </c>
      <c r="X53" s="233" t="s">
        <v>4309</v>
      </c>
      <c r="Y53" s="233" t="s">
        <v>4692</v>
      </c>
      <c r="Z53" s="231"/>
    </row>
    <row r="54">
      <c r="A54" s="232">
        <v>45499.50603336806</v>
      </c>
      <c r="B54" s="233" t="s">
        <v>4843</v>
      </c>
      <c r="C54" s="233" t="s">
        <v>4844</v>
      </c>
      <c r="D54" s="233" t="s">
        <v>5320</v>
      </c>
      <c r="E54" s="233">
        <v>6.382936924E9</v>
      </c>
      <c r="F54" s="233" t="s">
        <v>5321</v>
      </c>
      <c r="G54" s="234" t="s">
        <v>5322</v>
      </c>
      <c r="H54" s="233" t="s">
        <v>681</v>
      </c>
      <c r="I54" s="233" t="s">
        <v>4845</v>
      </c>
      <c r="J54" s="233" t="s">
        <v>5327</v>
      </c>
      <c r="K54" s="233" t="s">
        <v>4272</v>
      </c>
      <c r="L54" s="233" t="s">
        <v>5329</v>
      </c>
      <c r="M54" s="233">
        <v>1.0</v>
      </c>
      <c r="N54" s="233" t="s">
        <v>5330</v>
      </c>
      <c r="O54" s="233" t="s">
        <v>5331</v>
      </c>
      <c r="P54" s="233" t="s">
        <v>5332</v>
      </c>
      <c r="Q54" s="233" t="s">
        <v>5333</v>
      </c>
      <c r="R54" s="233" t="s">
        <v>5336</v>
      </c>
      <c r="S54" s="233" t="s">
        <v>5337</v>
      </c>
      <c r="T54" s="234" t="s">
        <v>5338</v>
      </c>
      <c r="U54" s="233" t="s">
        <v>5344</v>
      </c>
      <c r="V54" s="233" t="s">
        <v>5345</v>
      </c>
      <c r="W54" s="234" t="s">
        <v>5346</v>
      </c>
      <c r="X54" s="233" t="s">
        <v>4608</v>
      </c>
      <c r="Y54" s="233" t="s">
        <v>4692</v>
      </c>
      <c r="Z54" s="231"/>
    </row>
    <row r="55">
      <c r="A55" s="232">
        <v>45499.88626082176</v>
      </c>
      <c r="B55" s="233" t="s">
        <v>5353</v>
      </c>
      <c r="C55" s="233" t="s">
        <v>5354</v>
      </c>
      <c r="D55" s="233" t="s">
        <v>5355</v>
      </c>
      <c r="E55" s="233">
        <v>9.69353731E9</v>
      </c>
      <c r="F55" s="233" t="s">
        <v>5357</v>
      </c>
      <c r="G55" s="234" t="s">
        <v>5358</v>
      </c>
      <c r="H55" s="233" t="s">
        <v>681</v>
      </c>
      <c r="I55" s="233" t="s">
        <v>5363</v>
      </c>
      <c r="J55" s="233" t="s">
        <v>346</v>
      </c>
      <c r="K55" s="233" t="s">
        <v>4598</v>
      </c>
      <c r="L55" s="233">
        <v>2.302220100141E12</v>
      </c>
      <c r="M55" s="233">
        <v>2.0</v>
      </c>
      <c r="N55" s="233" t="s">
        <v>5365</v>
      </c>
      <c r="O55" s="233" t="s">
        <v>5366</v>
      </c>
      <c r="P55" s="233" t="s">
        <v>5367</v>
      </c>
      <c r="Q55" s="233" t="s">
        <v>5368</v>
      </c>
      <c r="R55" s="233" t="s">
        <v>5369</v>
      </c>
      <c r="S55" s="233" t="s">
        <v>5370</v>
      </c>
      <c r="T55" s="234" t="s">
        <v>5371</v>
      </c>
      <c r="U55" s="233" t="s">
        <v>5372</v>
      </c>
      <c r="V55" s="233" t="s">
        <v>5373</v>
      </c>
      <c r="W55" s="234" t="s">
        <v>5374</v>
      </c>
      <c r="X55" s="233" t="s">
        <v>5375</v>
      </c>
      <c r="Y55" s="233" t="s">
        <v>4692</v>
      </c>
      <c r="Z55" s="231"/>
    </row>
    <row r="56">
      <c r="A56" s="232">
        <v>45499.95856668982</v>
      </c>
      <c r="B56" s="233" t="s">
        <v>5376</v>
      </c>
      <c r="C56" s="233" t="s">
        <v>5377</v>
      </c>
      <c r="D56" s="233" t="s">
        <v>5378</v>
      </c>
      <c r="E56" s="233">
        <v>9.670017735E9</v>
      </c>
      <c r="F56" s="233" t="s">
        <v>5379</v>
      </c>
      <c r="G56" s="234" t="s">
        <v>5380</v>
      </c>
      <c r="H56" s="233" t="s">
        <v>681</v>
      </c>
      <c r="I56" s="233" t="s">
        <v>5382</v>
      </c>
      <c r="J56" s="233" t="s">
        <v>4271</v>
      </c>
      <c r="K56" s="233" t="s">
        <v>4228</v>
      </c>
      <c r="L56" s="233">
        <v>2.207861520009E12</v>
      </c>
      <c r="M56" s="233">
        <v>1.0</v>
      </c>
      <c r="N56" s="233" t="s">
        <v>5383</v>
      </c>
      <c r="O56" s="233" t="s">
        <v>5384</v>
      </c>
      <c r="P56" s="233" t="s">
        <v>5385</v>
      </c>
      <c r="Q56" s="233" t="s">
        <v>5387</v>
      </c>
      <c r="R56" s="233" t="s">
        <v>5388</v>
      </c>
      <c r="S56" s="233" t="s">
        <v>5389</v>
      </c>
      <c r="T56" s="234" t="s">
        <v>5390</v>
      </c>
      <c r="U56" s="233" t="s">
        <v>5393</v>
      </c>
      <c r="V56" s="233" t="s">
        <v>5394</v>
      </c>
      <c r="W56" s="234" t="s">
        <v>5395</v>
      </c>
      <c r="X56" s="233" t="s">
        <v>5405</v>
      </c>
      <c r="Y56" s="233" t="s">
        <v>4692</v>
      </c>
      <c r="Z56" s="231"/>
    </row>
    <row r="57">
      <c r="A57" s="233" t="s">
        <v>5407</v>
      </c>
      <c r="B57" s="233" t="s">
        <v>5408</v>
      </c>
      <c r="C57" s="233" t="s">
        <v>5409</v>
      </c>
      <c r="D57" s="233" t="s">
        <v>5411</v>
      </c>
      <c r="E57" s="233">
        <f>91-7827479788</f>
        <v>-7827479697</v>
      </c>
      <c r="F57" s="233" t="s">
        <v>5419</v>
      </c>
      <c r="G57" s="234" t="s">
        <v>5420</v>
      </c>
      <c r="H57" s="233" t="s">
        <v>4385</v>
      </c>
      <c r="I57" s="233" t="s">
        <v>5427</v>
      </c>
      <c r="J57" s="238"/>
      <c r="K57" s="238"/>
      <c r="L57" s="238"/>
      <c r="M57" s="233">
        <v>1.0</v>
      </c>
      <c r="N57" s="233" t="s">
        <v>5409</v>
      </c>
      <c r="O57" s="233" t="s">
        <v>5431</v>
      </c>
      <c r="P57" s="233" t="s">
        <v>5433</v>
      </c>
      <c r="Q57" s="233" t="s">
        <v>5435</v>
      </c>
      <c r="R57" s="233" t="s">
        <v>5437</v>
      </c>
      <c r="S57" s="233" t="s">
        <v>5440</v>
      </c>
      <c r="T57" s="234" t="s">
        <v>5442</v>
      </c>
      <c r="U57" s="233" t="s">
        <v>5448</v>
      </c>
      <c r="V57" s="233" t="s">
        <v>5452</v>
      </c>
      <c r="W57" s="234" t="s">
        <v>5453</v>
      </c>
      <c r="X57" s="233" t="s">
        <v>5461</v>
      </c>
      <c r="Y57" s="233" t="s">
        <v>4692</v>
      </c>
      <c r="Z57" s="231"/>
    </row>
    <row r="58">
      <c r="A58" s="233" t="s">
        <v>5463</v>
      </c>
      <c r="B58" s="233" t="s">
        <v>5464</v>
      </c>
      <c r="C58" s="233" t="s">
        <v>5465</v>
      </c>
      <c r="D58" s="233" t="s">
        <v>5467</v>
      </c>
      <c r="E58" s="233">
        <v>8.528266558E9</v>
      </c>
      <c r="F58" s="233" t="s">
        <v>5470</v>
      </c>
      <c r="G58" s="234" t="s">
        <v>5471</v>
      </c>
      <c r="H58" s="233" t="s">
        <v>681</v>
      </c>
      <c r="I58" s="233" t="s">
        <v>5476</v>
      </c>
      <c r="J58" s="233" t="s">
        <v>4271</v>
      </c>
      <c r="K58" s="233" t="s">
        <v>4251</v>
      </c>
      <c r="L58" s="233">
        <v>2.101921530066E12</v>
      </c>
      <c r="M58" s="233">
        <v>2.0</v>
      </c>
      <c r="N58" s="233" t="s">
        <v>5477</v>
      </c>
      <c r="O58" s="233" t="s">
        <v>5479</v>
      </c>
      <c r="P58" s="233" t="s">
        <v>5480</v>
      </c>
      <c r="Q58" s="233" t="s">
        <v>5481</v>
      </c>
      <c r="R58" s="233" t="s">
        <v>5482</v>
      </c>
      <c r="S58" s="233" t="s">
        <v>5483</v>
      </c>
      <c r="T58" s="234" t="s">
        <v>5484</v>
      </c>
      <c r="U58" s="233" t="s">
        <v>5485</v>
      </c>
      <c r="V58" s="233" t="s">
        <v>5486</v>
      </c>
      <c r="W58" s="234" t="s">
        <v>5487</v>
      </c>
      <c r="X58" s="233" t="s">
        <v>5461</v>
      </c>
      <c r="Y58" s="233" t="s">
        <v>4692</v>
      </c>
      <c r="Z58" s="231"/>
    </row>
    <row r="59">
      <c r="A59" s="233" t="s">
        <v>5488</v>
      </c>
      <c r="B59" s="233" t="s">
        <v>5489</v>
      </c>
      <c r="C59" s="233" t="s">
        <v>5490</v>
      </c>
      <c r="D59" s="233" t="s">
        <v>1970</v>
      </c>
      <c r="E59" s="233">
        <v>7.654025369E9</v>
      </c>
      <c r="F59" s="233" t="s">
        <v>5491</v>
      </c>
      <c r="G59" s="234" t="s">
        <v>5492</v>
      </c>
      <c r="H59" s="233" t="s">
        <v>681</v>
      </c>
      <c r="I59" s="233" t="s">
        <v>5494</v>
      </c>
      <c r="J59" s="233" t="s">
        <v>4271</v>
      </c>
      <c r="K59" s="233" t="s">
        <v>4251</v>
      </c>
      <c r="L59" s="233">
        <v>2.202221649007E12</v>
      </c>
      <c r="M59" s="233">
        <v>3.0</v>
      </c>
      <c r="N59" s="233" t="s">
        <v>5495</v>
      </c>
      <c r="O59" s="233" t="s">
        <v>5496</v>
      </c>
      <c r="P59" s="233" t="s">
        <v>5497</v>
      </c>
      <c r="Q59" s="233" t="s">
        <v>5498</v>
      </c>
      <c r="R59" s="233" t="s">
        <v>5499</v>
      </c>
      <c r="S59" s="233" t="s">
        <v>5500</v>
      </c>
      <c r="T59" s="234" t="s">
        <v>5501</v>
      </c>
      <c r="U59" s="233" t="s">
        <v>5503</v>
      </c>
      <c r="V59" s="233" t="s">
        <v>5504</v>
      </c>
      <c r="W59" s="234" t="s">
        <v>5505</v>
      </c>
      <c r="X59" s="233" t="s">
        <v>4309</v>
      </c>
      <c r="Y59" s="233" t="s">
        <v>4692</v>
      </c>
      <c r="Z59" s="231"/>
    </row>
    <row r="60">
      <c r="A60" s="231"/>
      <c r="B60" s="231"/>
      <c r="C60" s="231"/>
      <c r="D60" s="231"/>
      <c r="E60" s="231"/>
      <c r="F60" s="231"/>
      <c r="G60" s="231"/>
      <c r="H60" s="231"/>
      <c r="I60" s="231"/>
      <c r="J60" s="231"/>
      <c r="K60" s="231"/>
      <c r="L60" s="231"/>
      <c r="M60" s="231"/>
      <c r="N60" s="231"/>
      <c r="O60" s="231"/>
      <c r="P60" s="231"/>
      <c r="Q60" s="231"/>
      <c r="R60" s="231"/>
      <c r="S60" s="231"/>
      <c r="T60" s="231"/>
      <c r="U60" s="231"/>
      <c r="V60" s="231"/>
      <c r="W60" s="231"/>
      <c r="X60" s="231"/>
      <c r="Y60" s="231"/>
      <c r="Z60" s="231"/>
    </row>
    <row r="61">
      <c r="A61" s="231"/>
      <c r="B61" s="231"/>
      <c r="C61" s="231"/>
      <c r="D61" s="231"/>
      <c r="E61" s="231"/>
      <c r="F61" s="231"/>
      <c r="G61" s="231"/>
      <c r="H61" s="231"/>
      <c r="I61" s="231"/>
      <c r="J61" s="231"/>
      <c r="K61" s="231"/>
      <c r="L61" s="231"/>
      <c r="M61" s="231"/>
      <c r="N61" s="231"/>
      <c r="O61" s="231"/>
      <c r="P61" s="231"/>
      <c r="Q61" s="231"/>
      <c r="R61" s="231"/>
      <c r="S61" s="231"/>
      <c r="T61" s="231"/>
      <c r="U61" s="231"/>
      <c r="V61" s="231"/>
      <c r="W61" s="231"/>
      <c r="X61" s="231"/>
      <c r="Y61" s="231"/>
      <c r="Z61" s="231"/>
    </row>
    <row r="62">
      <c r="A62" s="231"/>
      <c r="B62" s="231"/>
      <c r="C62" s="231"/>
      <c r="D62" s="231"/>
      <c r="E62" s="231"/>
      <c r="F62" s="231"/>
      <c r="G62" s="231"/>
      <c r="H62" s="231"/>
      <c r="I62" s="231"/>
      <c r="J62" s="231"/>
      <c r="K62" s="231"/>
      <c r="L62" s="231"/>
      <c r="M62" s="231"/>
      <c r="N62" s="231"/>
      <c r="O62" s="231"/>
      <c r="P62" s="231"/>
      <c r="Q62" s="231"/>
      <c r="R62" s="231"/>
      <c r="S62" s="231"/>
      <c r="T62" s="231"/>
      <c r="U62" s="231"/>
      <c r="V62" s="231"/>
      <c r="W62" s="231"/>
      <c r="X62" s="231"/>
      <c r="Y62" s="231"/>
      <c r="Z62" s="231"/>
    </row>
    <row r="63">
      <c r="A63" s="231"/>
      <c r="B63" s="231"/>
      <c r="C63" s="231"/>
      <c r="D63" s="231"/>
      <c r="E63" s="231"/>
      <c r="F63" s="231"/>
      <c r="G63" s="231"/>
      <c r="H63" s="231"/>
      <c r="I63" s="231"/>
      <c r="J63" s="231"/>
      <c r="K63" s="231"/>
      <c r="L63" s="231"/>
      <c r="M63" s="231"/>
      <c r="N63" s="231"/>
      <c r="O63" s="231"/>
      <c r="P63" s="231"/>
      <c r="Q63" s="231"/>
      <c r="R63" s="231"/>
      <c r="S63" s="231"/>
      <c r="T63" s="231"/>
      <c r="U63" s="231"/>
      <c r="V63" s="231"/>
      <c r="W63" s="231"/>
      <c r="X63" s="231"/>
      <c r="Y63" s="231"/>
      <c r="Z63" s="231"/>
    </row>
    <row r="64">
      <c r="A64" s="231"/>
      <c r="B64" s="231"/>
      <c r="C64" s="231"/>
      <c r="D64" s="231"/>
      <c r="E64" s="231"/>
      <c r="F64" s="231"/>
      <c r="G64" s="231"/>
      <c r="H64" s="231"/>
      <c r="I64" s="231"/>
      <c r="J64" s="231"/>
      <c r="K64" s="231"/>
      <c r="L64" s="231"/>
      <c r="M64" s="231"/>
      <c r="N64" s="231"/>
      <c r="O64" s="231"/>
      <c r="P64" s="231"/>
      <c r="Q64" s="231"/>
      <c r="R64" s="231"/>
      <c r="S64" s="231"/>
      <c r="T64" s="231"/>
      <c r="U64" s="231"/>
      <c r="V64" s="231"/>
      <c r="W64" s="231"/>
      <c r="X64" s="231"/>
      <c r="Y64" s="231"/>
      <c r="Z64" s="231"/>
    </row>
    <row r="65">
      <c r="A65" s="231"/>
      <c r="B65" s="231"/>
      <c r="C65" s="231"/>
      <c r="D65" s="231"/>
      <c r="E65" s="231"/>
      <c r="F65" s="231"/>
      <c r="G65" s="231"/>
      <c r="H65" s="231"/>
      <c r="I65" s="231"/>
      <c r="J65" s="231"/>
      <c r="K65" s="231"/>
      <c r="L65" s="231"/>
      <c r="M65" s="231"/>
      <c r="N65" s="231"/>
      <c r="O65" s="231"/>
      <c r="P65" s="231"/>
      <c r="Q65" s="231"/>
      <c r="R65" s="231"/>
      <c r="S65" s="231"/>
      <c r="T65" s="231"/>
      <c r="U65" s="231"/>
      <c r="V65" s="231"/>
      <c r="W65" s="231"/>
      <c r="X65" s="231"/>
      <c r="Y65" s="231"/>
      <c r="Z65" s="231"/>
    </row>
    <row r="66">
      <c r="A66" s="231"/>
      <c r="B66" s="231"/>
      <c r="C66" s="231"/>
      <c r="D66" s="231"/>
      <c r="E66" s="231"/>
      <c r="F66" s="231"/>
      <c r="G66" s="231"/>
      <c r="H66" s="231"/>
      <c r="I66" s="231"/>
      <c r="J66" s="231"/>
      <c r="K66" s="231"/>
      <c r="L66" s="231"/>
      <c r="M66" s="231"/>
      <c r="N66" s="231"/>
      <c r="O66" s="231"/>
      <c r="P66" s="231"/>
      <c r="Q66" s="231"/>
      <c r="R66" s="231"/>
      <c r="S66" s="231"/>
      <c r="T66" s="231"/>
      <c r="U66" s="231"/>
      <c r="V66" s="231"/>
      <c r="W66" s="231"/>
      <c r="X66" s="231"/>
      <c r="Y66" s="231"/>
      <c r="Z66" s="231"/>
    </row>
    <row r="67">
      <c r="A67" s="231"/>
      <c r="B67" s="231"/>
      <c r="C67" s="231"/>
      <c r="D67" s="231"/>
      <c r="E67" s="231"/>
      <c r="F67" s="231"/>
      <c r="G67" s="231"/>
      <c r="H67" s="231"/>
      <c r="I67" s="231"/>
      <c r="J67" s="231"/>
      <c r="K67" s="231"/>
      <c r="L67" s="231"/>
      <c r="M67" s="231"/>
      <c r="N67" s="231"/>
      <c r="O67" s="231"/>
      <c r="P67" s="231"/>
      <c r="Q67" s="231"/>
      <c r="R67" s="231"/>
      <c r="S67" s="231"/>
      <c r="T67" s="231"/>
      <c r="U67" s="231"/>
      <c r="V67" s="231"/>
      <c r="W67" s="231"/>
      <c r="X67" s="231"/>
      <c r="Y67" s="231"/>
      <c r="Z67" s="231"/>
    </row>
    <row r="68">
      <c r="A68" s="231"/>
      <c r="B68" s="231"/>
      <c r="C68" s="231"/>
      <c r="D68" s="231"/>
      <c r="E68" s="231"/>
      <c r="F68" s="231"/>
      <c r="G68" s="231"/>
      <c r="H68" s="231"/>
      <c r="I68" s="231"/>
      <c r="J68" s="231"/>
      <c r="K68" s="231"/>
      <c r="L68" s="231"/>
      <c r="M68" s="231"/>
      <c r="N68" s="231"/>
      <c r="O68" s="231"/>
      <c r="P68" s="231"/>
      <c r="Q68" s="231"/>
      <c r="R68" s="231"/>
      <c r="S68" s="231"/>
      <c r="T68" s="231"/>
      <c r="U68" s="231"/>
      <c r="V68" s="231"/>
      <c r="W68" s="231"/>
      <c r="X68" s="231"/>
      <c r="Y68" s="231"/>
      <c r="Z68" s="231"/>
    </row>
    <row r="69">
      <c r="A69" s="231"/>
      <c r="B69" s="231"/>
      <c r="C69" s="231"/>
      <c r="D69" s="231"/>
      <c r="E69" s="231"/>
      <c r="F69" s="231"/>
      <c r="G69" s="231"/>
      <c r="H69" s="231"/>
      <c r="I69" s="231"/>
      <c r="J69" s="231"/>
      <c r="K69" s="231"/>
      <c r="L69" s="231"/>
      <c r="M69" s="231"/>
      <c r="N69" s="231"/>
      <c r="O69" s="231"/>
      <c r="P69" s="231"/>
      <c r="Q69" s="231"/>
      <c r="R69" s="231"/>
      <c r="S69" s="231"/>
      <c r="T69" s="231"/>
      <c r="U69" s="231"/>
      <c r="V69" s="231"/>
      <c r="W69" s="231"/>
      <c r="X69" s="231"/>
      <c r="Y69" s="231"/>
      <c r="Z69" s="231"/>
    </row>
    <row r="70">
      <c r="A70" s="231"/>
      <c r="B70" s="231"/>
      <c r="C70" s="231"/>
      <c r="D70" s="231"/>
      <c r="E70" s="231"/>
      <c r="F70" s="231"/>
      <c r="G70" s="231"/>
      <c r="H70" s="231"/>
      <c r="I70" s="231"/>
      <c r="J70" s="231"/>
      <c r="K70" s="231"/>
      <c r="L70" s="231"/>
      <c r="M70" s="231"/>
      <c r="N70" s="231"/>
      <c r="O70" s="231"/>
      <c r="P70" s="231"/>
      <c r="Q70" s="231"/>
      <c r="R70" s="231"/>
      <c r="S70" s="231"/>
      <c r="T70" s="231"/>
      <c r="U70" s="231"/>
      <c r="V70" s="231"/>
      <c r="W70" s="231"/>
      <c r="X70" s="231"/>
      <c r="Y70" s="231"/>
      <c r="Z70" s="231"/>
    </row>
    <row r="71">
      <c r="A71" s="231"/>
      <c r="B71" s="231"/>
      <c r="C71" s="231"/>
      <c r="D71" s="231"/>
      <c r="E71" s="231"/>
      <c r="F71" s="231"/>
      <c r="G71" s="231"/>
      <c r="H71" s="231"/>
      <c r="I71" s="231"/>
      <c r="J71" s="231"/>
      <c r="K71" s="231"/>
      <c r="L71" s="231"/>
      <c r="M71" s="231"/>
      <c r="N71" s="231"/>
      <c r="O71" s="231"/>
      <c r="P71" s="231"/>
      <c r="Q71" s="231"/>
      <c r="R71" s="231"/>
      <c r="S71" s="231"/>
      <c r="T71" s="231"/>
      <c r="U71" s="231"/>
      <c r="V71" s="231"/>
      <c r="W71" s="231"/>
      <c r="X71" s="231"/>
      <c r="Y71" s="231"/>
      <c r="Z71" s="231"/>
    </row>
    <row r="72">
      <c r="A72" s="231"/>
      <c r="B72" s="231"/>
      <c r="C72" s="231"/>
      <c r="D72" s="231"/>
      <c r="E72" s="231"/>
      <c r="F72" s="231"/>
      <c r="G72" s="231"/>
      <c r="H72" s="231"/>
      <c r="I72" s="231"/>
      <c r="J72" s="231"/>
      <c r="K72" s="231"/>
      <c r="L72" s="231"/>
      <c r="M72" s="231"/>
      <c r="N72" s="231"/>
      <c r="O72" s="231"/>
      <c r="P72" s="231"/>
      <c r="Q72" s="231"/>
      <c r="R72" s="231"/>
      <c r="S72" s="231"/>
      <c r="T72" s="231"/>
      <c r="U72" s="231"/>
      <c r="V72" s="231"/>
      <c r="W72" s="231"/>
      <c r="X72" s="231"/>
      <c r="Y72" s="231"/>
      <c r="Z72" s="231"/>
    </row>
    <row r="73">
      <c r="A73" s="231"/>
      <c r="B73" s="231"/>
      <c r="C73" s="231"/>
      <c r="D73" s="231"/>
      <c r="E73" s="231"/>
      <c r="F73" s="231"/>
      <c r="G73" s="231"/>
      <c r="H73" s="231"/>
      <c r="I73" s="231"/>
      <c r="J73" s="231"/>
      <c r="K73" s="231"/>
      <c r="L73" s="231"/>
      <c r="M73" s="231"/>
      <c r="N73" s="231"/>
      <c r="O73" s="231"/>
      <c r="P73" s="231"/>
      <c r="Q73" s="231"/>
      <c r="R73" s="231"/>
      <c r="S73" s="231"/>
      <c r="T73" s="231"/>
      <c r="U73" s="231"/>
      <c r="V73" s="231"/>
      <c r="W73" s="231"/>
      <c r="X73" s="231"/>
      <c r="Y73" s="231"/>
      <c r="Z73" s="231"/>
    </row>
    <row r="74">
      <c r="A74" s="231"/>
      <c r="B74" s="231"/>
      <c r="C74" s="231"/>
      <c r="D74" s="231"/>
      <c r="E74" s="231"/>
      <c r="F74" s="231"/>
      <c r="G74" s="231"/>
      <c r="H74" s="231"/>
      <c r="I74" s="231"/>
      <c r="J74" s="231"/>
      <c r="K74" s="231"/>
      <c r="L74" s="231"/>
      <c r="M74" s="231"/>
      <c r="N74" s="231"/>
      <c r="O74" s="231"/>
      <c r="P74" s="231"/>
      <c r="Q74" s="231"/>
      <c r="R74" s="231"/>
      <c r="S74" s="231"/>
      <c r="T74" s="231"/>
      <c r="U74" s="231"/>
      <c r="V74" s="231"/>
      <c r="W74" s="231"/>
      <c r="X74" s="231"/>
      <c r="Y74" s="231"/>
      <c r="Z74" s="231"/>
    </row>
    <row r="75">
      <c r="A75" s="231"/>
      <c r="B75" s="231"/>
      <c r="C75" s="231"/>
      <c r="D75" s="231"/>
      <c r="E75" s="231"/>
      <c r="F75" s="231"/>
      <c r="G75" s="231"/>
      <c r="H75" s="231"/>
      <c r="I75" s="231"/>
      <c r="J75" s="231"/>
      <c r="K75" s="231"/>
      <c r="L75" s="231"/>
      <c r="M75" s="231"/>
      <c r="N75" s="231"/>
      <c r="O75" s="231"/>
      <c r="P75" s="231"/>
      <c r="Q75" s="231"/>
      <c r="R75" s="231"/>
      <c r="S75" s="231"/>
      <c r="T75" s="231"/>
      <c r="U75" s="231"/>
      <c r="V75" s="231"/>
      <c r="W75" s="231"/>
      <c r="X75" s="231"/>
      <c r="Y75" s="231"/>
      <c r="Z75" s="231"/>
    </row>
    <row r="76">
      <c r="A76" s="231"/>
      <c r="B76" s="231"/>
      <c r="C76" s="231"/>
      <c r="D76" s="231"/>
      <c r="E76" s="231"/>
      <c r="F76" s="231"/>
      <c r="G76" s="231"/>
      <c r="H76" s="231"/>
      <c r="I76" s="231"/>
      <c r="J76" s="231"/>
      <c r="K76" s="231"/>
      <c r="L76" s="231"/>
      <c r="M76" s="231"/>
      <c r="N76" s="231"/>
      <c r="O76" s="231"/>
      <c r="P76" s="231"/>
      <c r="Q76" s="231"/>
      <c r="R76" s="231"/>
      <c r="S76" s="231"/>
      <c r="T76" s="231"/>
      <c r="U76" s="231"/>
      <c r="V76" s="231"/>
      <c r="W76" s="231"/>
      <c r="X76" s="231"/>
      <c r="Y76" s="231"/>
      <c r="Z76" s="231"/>
    </row>
    <row r="77">
      <c r="A77" s="231"/>
      <c r="B77" s="231"/>
      <c r="C77" s="231"/>
      <c r="D77" s="231"/>
      <c r="E77" s="231"/>
      <c r="F77" s="231"/>
      <c r="G77" s="231"/>
      <c r="H77" s="231"/>
      <c r="I77" s="231"/>
      <c r="J77" s="231"/>
      <c r="K77" s="231"/>
      <c r="L77" s="231"/>
      <c r="M77" s="231"/>
      <c r="N77" s="231"/>
      <c r="O77" s="231"/>
      <c r="P77" s="231"/>
      <c r="Q77" s="231"/>
      <c r="R77" s="231"/>
      <c r="S77" s="231"/>
      <c r="T77" s="231"/>
      <c r="U77" s="231"/>
      <c r="V77" s="231"/>
      <c r="W77" s="231"/>
      <c r="X77" s="231"/>
      <c r="Y77" s="231"/>
      <c r="Z77" s="231"/>
    </row>
    <row r="78">
      <c r="A78" s="231"/>
      <c r="B78" s="231"/>
      <c r="C78" s="231"/>
      <c r="D78" s="231"/>
      <c r="E78" s="231"/>
      <c r="F78" s="231"/>
      <c r="G78" s="231"/>
      <c r="H78" s="231"/>
      <c r="I78" s="231"/>
      <c r="J78" s="231"/>
      <c r="K78" s="231"/>
      <c r="L78" s="231"/>
      <c r="M78" s="231"/>
      <c r="N78" s="231"/>
      <c r="O78" s="231"/>
      <c r="P78" s="231"/>
      <c r="Q78" s="231"/>
      <c r="R78" s="231"/>
      <c r="S78" s="231"/>
      <c r="T78" s="231"/>
      <c r="U78" s="231"/>
      <c r="V78" s="231"/>
      <c r="W78" s="231"/>
      <c r="X78" s="231"/>
      <c r="Y78" s="231"/>
      <c r="Z78" s="231"/>
    </row>
    <row r="79">
      <c r="A79" s="231"/>
      <c r="B79" s="231"/>
      <c r="C79" s="231"/>
      <c r="D79" s="231"/>
      <c r="E79" s="231"/>
      <c r="F79" s="231"/>
      <c r="G79" s="231"/>
      <c r="H79" s="231"/>
      <c r="I79" s="231"/>
      <c r="J79" s="231"/>
      <c r="K79" s="231"/>
      <c r="L79" s="231"/>
      <c r="M79" s="231"/>
      <c r="N79" s="231"/>
      <c r="O79" s="231"/>
      <c r="P79" s="231"/>
      <c r="Q79" s="231"/>
      <c r="R79" s="231"/>
      <c r="S79" s="231"/>
      <c r="T79" s="231"/>
      <c r="U79" s="231"/>
      <c r="V79" s="231"/>
      <c r="W79" s="231"/>
      <c r="X79" s="231"/>
      <c r="Y79" s="231"/>
      <c r="Z79" s="231"/>
    </row>
    <row r="80">
      <c r="A80" s="231"/>
      <c r="B80" s="231"/>
      <c r="C80" s="231"/>
      <c r="D80" s="231"/>
      <c r="E80" s="231"/>
      <c r="F80" s="231"/>
      <c r="G80" s="231"/>
      <c r="H80" s="231"/>
      <c r="I80" s="231"/>
      <c r="J80" s="231"/>
      <c r="K80" s="231"/>
      <c r="L80" s="231"/>
      <c r="M80" s="231"/>
      <c r="N80" s="231"/>
      <c r="O80" s="231"/>
      <c r="P80" s="231"/>
      <c r="Q80" s="231"/>
      <c r="R80" s="231"/>
      <c r="S80" s="231"/>
      <c r="T80" s="231"/>
      <c r="U80" s="231"/>
      <c r="V80" s="231"/>
      <c r="W80" s="231"/>
      <c r="X80" s="231"/>
      <c r="Y80" s="231"/>
      <c r="Z80" s="231"/>
    </row>
    <row r="81">
      <c r="A81" s="231"/>
      <c r="B81" s="231"/>
      <c r="C81" s="231"/>
      <c r="D81" s="231"/>
      <c r="E81" s="231"/>
      <c r="F81" s="231"/>
      <c r="G81" s="231"/>
      <c r="H81" s="231"/>
      <c r="I81" s="231"/>
      <c r="J81" s="231"/>
      <c r="K81" s="231"/>
      <c r="L81" s="231"/>
      <c r="M81" s="231"/>
      <c r="N81" s="231"/>
      <c r="O81" s="231"/>
      <c r="P81" s="231"/>
      <c r="Q81" s="231"/>
      <c r="R81" s="231"/>
      <c r="S81" s="231"/>
      <c r="T81" s="231"/>
      <c r="U81" s="231"/>
      <c r="V81" s="231"/>
      <c r="W81" s="231"/>
      <c r="X81" s="231"/>
      <c r="Y81" s="231"/>
      <c r="Z81" s="231"/>
    </row>
    <row r="82">
      <c r="A82" s="231"/>
      <c r="B82" s="231"/>
      <c r="C82" s="231"/>
      <c r="D82" s="231"/>
      <c r="E82" s="231"/>
      <c r="F82" s="231"/>
      <c r="G82" s="231"/>
      <c r="H82" s="231"/>
      <c r="I82" s="231"/>
      <c r="J82" s="231"/>
      <c r="K82" s="231"/>
      <c r="L82" s="231"/>
      <c r="M82" s="231"/>
      <c r="N82" s="231"/>
      <c r="O82" s="231"/>
      <c r="P82" s="231"/>
      <c r="Q82" s="231"/>
      <c r="R82" s="231"/>
      <c r="S82" s="231"/>
      <c r="T82" s="231"/>
      <c r="U82" s="231"/>
      <c r="V82" s="231"/>
      <c r="W82" s="231"/>
      <c r="X82" s="231"/>
      <c r="Y82" s="231"/>
      <c r="Z82" s="231"/>
    </row>
    <row r="83">
      <c r="A83" s="231"/>
      <c r="B83" s="231"/>
      <c r="C83" s="231"/>
      <c r="D83" s="231"/>
      <c r="E83" s="231"/>
      <c r="F83" s="231"/>
      <c r="G83" s="231"/>
      <c r="H83" s="231"/>
      <c r="I83" s="231"/>
      <c r="J83" s="231"/>
      <c r="K83" s="231"/>
      <c r="L83" s="231"/>
      <c r="M83" s="231"/>
      <c r="N83" s="231"/>
      <c r="O83" s="231"/>
      <c r="P83" s="231"/>
      <c r="Q83" s="231"/>
      <c r="R83" s="231"/>
      <c r="S83" s="231"/>
      <c r="T83" s="231"/>
      <c r="U83" s="231"/>
      <c r="V83" s="231"/>
      <c r="W83" s="231"/>
      <c r="X83" s="231"/>
      <c r="Y83" s="231"/>
      <c r="Z83" s="231"/>
    </row>
    <row r="84">
      <c r="A84" s="231"/>
      <c r="B84" s="231"/>
      <c r="C84" s="231"/>
      <c r="D84" s="231"/>
      <c r="E84" s="231"/>
      <c r="F84" s="231"/>
      <c r="G84" s="231"/>
      <c r="H84" s="231"/>
      <c r="I84" s="231"/>
      <c r="J84" s="231"/>
      <c r="K84" s="231"/>
      <c r="L84" s="231"/>
      <c r="M84" s="231"/>
      <c r="N84" s="231"/>
      <c r="O84" s="231"/>
      <c r="P84" s="231"/>
      <c r="Q84" s="231"/>
      <c r="R84" s="231"/>
      <c r="S84" s="231"/>
      <c r="T84" s="231"/>
      <c r="U84" s="231"/>
      <c r="V84" s="231"/>
      <c r="W84" s="231"/>
      <c r="X84" s="231"/>
      <c r="Y84" s="231"/>
      <c r="Z84" s="231"/>
    </row>
    <row r="85">
      <c r="A85" s="231"/>
      <c r="B85" s="231"/>
      <c r="C85" s="231"/>
      <c r="D85" s="231"/>
      <c r="E85" s="231"/>
      <c r="F85" s="231"/>
      <c r="G85" s="231"/>
      <c r="H85" s="231"/>
      <c r="I85" s="231"/>
      <c r="J85" s="231"/>
      <c r="K85" s="231"/>
      <c r="L85" s="231"/>
      <c r="M85" s="231"/>
      <c r="N85" s="231"/>
      <c r="O85" s="231"/>
      <c r="P85" s="231"/>
      <c r="Q85" s="231"/>
      <c r="R85" s="231"/>
      <c r="S85" s="231"/>
      <c r="T85" s="231"/>
      <c r="U85" s="231"/>
      <c r="V85" s="231"/>
      <c r="W85" s="231"/>
      <c r="X85" s="231"/>
      <c r="Y85" s="231"/>
      <c r="Z85" s="231"/>
    </row>
    <row r="86">
      <c r="A86" s="231"/>
      <c r="B86" s="231"/>
      <c r="C86" s="231"/>
      <c r="D86" s="231"/>
      <c r="E86" s="231"/>
      <c r="F86" s="231"/>
      <c r="G86" s="231"/>
      <c r="H86" s="231"/>
      <c r="I86" s="231"/>
      <c r="J86" s="231"/>
      <c r="K86" s="231"/>
      <c r="L86" s="231"/>
      <c r="M86" s="231"/>
      <c r="N86" s="231"/>
      <c r="O86" s="231"/>
      <c r="P86" s="231"/>
      <c r="Q86" s="231"/>
      <c r="R86" s="231"/>
      <c r="S86" s="231"/>
      <c r="T86" s="231"/>
      <c r="U86" s="231"/>
      <c r="V86" s="231"/>
      <c r="W86" s="231"/>
      <c r="X86" s="231"/>
      <c r="Y86" s="231"/>
      <c r="Z86" s="231"/>
    </row>
    <row r="87">
      <c r="A87" s="231"/>
      <c r="B87" s="231"/>
      <c r="C87" s="231"/>
      <c r="D87" s="231"/>
      <c r="E87" s="231"/>
      <c r="F87" s="231"/>
      <c r="G87" s="231"/>
      <c r="H87" s="231"/>
      <c r="I87" s="231"/>
      <c r="J87" s="231"/>
      <c r="K87" s="231"/>
      <c r="L87" s="231"/>
      <c r="M87" s="231"/>
      <c r="N87" s="231"/>
      <c r="O87" s="231"/>
      <c r="P87" s="231"/>
      <c r="Q87" s="231"/>
      <c r="R87" s="231"/>
      <c r="S87" s="231"/>
      <c r="T87" s="231"/>
      <c r="U87" s="231"/>
      <c r="V87" s="231"/>
      <c r="W87" s="231"/>
      <c r="X87" s="231"/>
      <c r="Y87" s="231"/>
      <c r="Z87" s="231"/>
    </row>
    <row r="88">
      <c r="A88" s="231"/>
      <c r="B88" s="231"/>
      <c r="C88" s="231"/>
      <c r="D88" s="231"/>
      <c r="E88" s="231"/>
      <c r="F88" s="231"/>
      <c r="G88" s="231"/>
      <c r="H88" s="231"/>
      <c r="I88" s="231"/>
      <c r="J88" s="231"/>
      <c r="K88" s="231"/>
      <c r="L88" s="231"/>
      <c r="M88" s="231"/>
      <c r="N88" s="231"/>
      <c r="O88" s="231"/>
      <c r="P88" s="231"/>
      <c r="Q88" s="231"/>
      <c r="R88" s="231"/>
      <c r="S88" s="231"/>
      <c r="T88" s="231"/>
      <c r="U88" s="231"/>
      <c r="V88" s="231"/>
      <c r="W88" s="231"/>
      <c r="X88" s="231"/>
      <c r="Y88" s="231"/>
      <c r="Z88" s="231"/>
    </row>
    <row r="89">
      <c r="A89" s="231"/>
      <c r="B89" s="231"/>
      <c r="C89" s="231"/>
      <c r="D89" s="231"/>
      <c r="E89" s="231"/>
      <c r="F89" s="231"/>
      <c r="G89" s="231"/>
      <c r="H89" s="231"/>
      <c r="I89" s="231"/>
      <c r="J89" s="231"/>
      <c r="K89" s="231"/>
      <c r="L89" s="231"/>
      <c r="M89" s="231"/>
      <c r="N89" s="231"/>
      <c r="O89" s="231"/>
      <c r="P89" s="231"/>
      <c r="Q89" s="231"/>
      <c r="R89" s="231"/>
      <c r="S89" s="231"/>
      <c r="T89" s="231"/>
      <c r="U89" s="231"/>
      <c r="V89" s="231"/>
      <c r="W89" s="231"/>
      <c r="X89" s="231"/>
      <c r="Y89" s="231"/>
      <c r="Z89" s="231"/>
    </row>
    <row r="90">
      <c r="A90" s="231"/>
      <c r="B90" s="231"/>
      <c r="C90" s="231"/>
      <c r="D90" s="231"/>
      <c r="E90" s="231"/>
      <c r="F90" s="231"/>
      <c r="G90" s="231"/>
      <c r="H90" s="231"/>
      <c r="I90" s="231"/>
      <c r="J90" s="231"/>
      <c r="K90" s="231"/>
      <c r="L90" s="231"/>
      <c r="M90" s="231"/>
      <c r="N90" s="231"/>
      <c r="O90" s="231"/>
      <c r="P90" s="231"/>
      <c r="Q90" s="231"/>
      <c r="R90" s="231"/>
      <c r="S90" s="231"/>
      <c r="T90" s="231"/>
      <c r="U90" s="231"/>
      <c r="V90" s="231"/>
      <c r="W90" s="231"/>
      <c r="X90" s="231"/>
      <c r="Y90" s="231"/>
      <c r="Z90" s="231"/>
    </row>
    <row r="91">
      <c r="A91" s="231"/>
      <c r="B91" s="231"/>
      <c r="C91" s="231"/>
      <c r="D91" s="231"/>
      <c r="E91" s="231"/>
      <c r="F91" s="231"/>
      <c r="G91" s="231"/>
      <c r="H91" s="231"/>
      <c r="I91" s="231"/>
      <c r="J91" s="231"/>
      <c r="K91" s="231"/>
      <c r="L91" s="231"/>
      <c r="M91" s="231"/>
      <c r="N91" s="231"/>
      <c r="O91" s="231"/>
      <c r="P91" s="231"/>
      <c r="Q91" s="231"/>
      <c r="R91" s="231"/>
      <c r="S91" s="231"/>
      <c r="T91" s="231"/>
      <c r="U91" s="231"/>
      <c r="V91" s="231"/>
      <c r="W91" s="231"/>
      <c r="X91" s="231"/>
      <c r="Y91" s="231"/>
      <c r="Z91" s="231"/>
    </row>
    <row r="92">
      <c r="A92" s="231"/>
      <c r="B92" s="231"/>
      <c r="C92" s="231"/>
      <c r="D92" s="231"/>
      <c r="E92" s="231"/>
      <c r="F92" s="231"/>
      <c r="G92" s="231"/>
      <c r="H92" s="231"/>
      <c r="I92" s="231"/>
      <c r="J92" s="231"/>
      <c r="K92" s="231"/>
      <c r="L92" s="231"/>
      <c r="M92" s="231"/>
      <c r="N92" s="231"/>
      <c r="O92" s="231"/>
      <c r="P92" s="231"/>
      <c r="Q92" s="231"/>
      <c r="R92" s="231"/>
      <c r="S92" s="231"/>
      <c r="T92" s="231"/>
      <c r="U92" s="231"/>
      <c r="V92" s="231"/>
      <c r="W92" s="231"/>
      <c r="X92" s="231"/>
      <c r="Y92" s="231"/>
      <c r="Z92" s="231"/>
    </row>
    <row r="93">
      <c r="A93" s="231"/>
      <c r="B93" s="231"/>
      <c r="C93" s="231"/>
      <c r="D93" s="231"/>
      <c r="E93" s="231"/>
      <c r="F93" s="231"/>
      <c r="G93" s="231"/>
      <c r="H93" s="231"/>
      <c r="I93" s="231"/>
      <c r="J93" s="231"/>
      <c r="K93" s="231"/>
      <c r="L93" s="231"/>
      <c r="M93" s="231"/>
      <c r="N93" s="231"/>
      <c r="O93" s="231"/>
      <c r="P93" s="231"/>
      <c r="Q93" s="231"/>
      <c r="R93" s="231"/>
      <c r="S93" s="231"/>
      <c r="T93" s="231"/>
      <c r="U93" s="231"/>
      <c r="V93" s="231"/>
      <c r="W93" s="231"/>
      <c r="X93" s="231"/>
      <c r="Y93" s="231"/>
      <c r="Z93" s="231"/>
    </row>
    <row r="94">
      <c r="A94" s="231"/>
      <c r="B94" s="231"/>
      <c r="C94" s="231"/>
      <c r="D94" s="231"/>
      <c r="E94" s="231"/>
      <c r="F94" s="231"/>
      <c r="G94" s="231"/>
      <c r="H94" s="231"/>
      <c r="I94" s="231"/>
      <c r="J94" s="231"/>
      <c r="K94" s="231"/>
      <c r="L94" s="231"/>
      <c r="M94" s="231"/>
      <c r="N94" s="231"/>
      <c r="O94" s="231"/>
      <c r="P94" s="231"/>
      <c r="Q94" s="231"/>
      <c r="R94" s="231"/>
      <c r="S94" s="231"/>
      <c r="T94" s="231"/>
      <c r="U94" s="231"/>
      <c r="V94" s="231"/>
      <c r="W94" s="231"/>
      <c r="X94" s="231"/>
      <c r="Y94" s="231"/>
      <c r="Z94" s="231"/>
    </row>
    <row r="95">
      <c r="A95" s="231"/>
      <c r="B95" s="231"/>
      <c r="C95" s="231"/>
      <c r="D95" s="231"/>
      <c r="E95" s="231"/>
      <c r="F95" s="231"/>
      <c r="G95" s="231"/>
      <c r="H95" s="231"/>
      <c r="I95" s="231"/>
      <c r="J95" s="231"/>
      <c r="K95" s="231"/>
      <c r="L95" s="231"/>
      <c r="M95" s="231"/>
      <c r="N95" s="231"/>
      <c r="O95" s="231"/>
      <c r="P95" s="231"/>
      <c r="Q95" s="231"/>
      <c r="R95" s="231"/>
      <c r="S95" s="231"/>
      <c r="T95" s="231"/>
      <c r="U95" s="231"/>
      <c r="V95" s="231"/>
      <c r="W95" s="231"/>
      <c r="X95" s="231"/>
      <c r="Y95" s="231"/>
      <c r="Z95" s="231"/>
    </row>
    <row r="96">
      <c r="A96" s="231"/>
      <c r="B96" s="231"/>
      <c r="C96" s="231"/>
      <c r="D96" s="231"/>
      <c r="E96" s="231"/>
      <c r="F96" s="231"/>
      <c r="G96" s="231"/>
      <c r="H96" s="231"/>
      <c r="I96" s="231"/>
      <c r="J96" s="231"/>
      <c r="K96" s="231"/>
      <c r="L96" s="231"/>
      <c r="M96" s="231"/>
      <c r="N96" s="231"/>
      <c r="O96" s="231"/>
      <c r="P96" s="231"/>
      <c r="Q96" s="231"/>
      <c r="R96" s="231"/>
      <c r="S96" s="231"/>
      <c r="T96" s="231"/>
      <c r="U96" s="231"/>
      <c r="V96" s="231"/>
      <c r="W96" s="231"/>
      <c r="X96" s="231"/>
      <c r="Y96" s="231"/>
      <c r="Z96" s="231"/>
    </row>
    <row r="97">
      <c r="A97" s="231"/>
      <c r="B97" s="231"/>
      <c r="C97" s="231"/>
      <c r="D97" s="231"/>
      <c r="E97" s="231"/>
      <c r="F97" s="231"/>
      <c r="G97" s="231"/>
      <c r="H97" s="231"/>
      <c r="I97" s="231"/>
      <c r="J97" s="231"/>
      <c r="K97" s="231"/>
      <c r="L97" s="231"/>
      <c r="M97" s="231"/>
      <c r="N97" s="231"/>
      <c r="O97" s="231"/>
      <c r="P97" s="231"/>
      <c r="Q97" s="231"/>
      <c r="R97" s="231"/>
      <c r="S97" s="231"/>
      <c r="T97" s="231"/>
      <c r="U97" s="231"/>
      <c r="V97" s="231"/>
      <c r="W97" s="231"/>
      <c r="X97" s="231"/>
      <c r="Y97" s="231"/>
      <c r="Z97" s="231"/>
    </row>
    <row r="98">
      <c r="A98" s="231"/>
      <c r="B98" s="231"/>
      <c r="C98" s="231"/>
      <c r="D98" s="231"/>
      <c r="E98" s="231"/>
      <c r="F98" s="231"/>
      <c r="G98" s="231"/>
      <c r="H98" s="231"/>
      <c r="I98" s="231"/>
      <c r="J98" s="231"/>
      <c r="K98" s="231"/>
      <c r="L98" s="231"/>
      <c r="M98" s="231"/>
      <c r="N98" s="231"/>
      <c r="O98" s="231"/>
      <c r="P98" s="231"/>
      <c r="Q98" s="231"/>
      <c r="R98" s="231"/>
      <c r="S98" s="231"/>
      <c r="T98" s="231"/>
      <c r="U98" s="231"/>
      <c r="V98" s="231"/>
      <c r="W98" s="231"/>
      <c r="X98" s="231"/>
      <c r="Y98" s="231"/>
      <c r="Z98" s="231"/>
    </row>
    <row r="99">
      <c r="A99" s="231"/>
      <c r="B99" s="231"/>
      <c r="C99" s="231"/>
      <c r="D99" s="231"/>
      <c r="E99" s="231"/>
      <c r="F99" s="231"/>
      <c r="G99" s="231"/>
      <c r="H99" s="231"/>
      <c r="I99" s="231"/>
      <c r="J99" s="231"/>
      <c r="K99" s="231"/>
      <c r="L99" s="231"/>
      <c r="M99" s="231"/>
      <c r="N99" s="231"/>
      <c r="O99" s="231"/>
      <c r="P99" s="231"/>
      <c r="Q99" s="231"/>
      <c r="R99" s="231"/>
      <c r="S99" s="231"/>
      <c r="T99" s="231"/>
      <c r="U99" s="231"/>
      <c r="V99" s="231"/>
      <c r="W99" s="231"/>
      <c r="X99" s="231"/>
      <c r="Y99" s="231"/>
      <c r="Z99" s="231"/>
    </row>
    <row r="100">
      <c r="A100" s="231"/>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1"/>
      <c r="X100" s="231"/>
      <c r="Y100" s="231"/>
      <c r="Z100" s="231"/>
    </row>
    <row r="101">
      <c r="A101" s="231"/>
      <c r="B101" s="231"/>
      <c r="C101" s="231"/>
      <c r="D101" s="231"/>
      <c r="E101" s="231"/>
      <c r="F101" s="231"/>
      <c r="G101" s="231"/>
      <c r="H101" s="231"/>
      <c r="I101" s="231"/>
      <c r="J101" s="231"/>
      <c r="K101" s="231"/>
      <c r="L101" s="231"/>
      <c r="M101" s="231"/>
      <c r="N101" s="231"/>
      <c r="O101" s="231"/>
      <c r="P101" s="231"/>
      <c r="Q101" s="231"/>
      <c r="R101" s="231"/>
      <c r="S101" s="231"/>
      <c r="T101" s="231"/>
      <c r="U101" s="231"/>
      <c r="V101" s="231"/>
      <c r="W101" s="231"/>
      <c r="X101" s="231"/>
      <c r="Y101" s="231"/>
      <c r="Z101" s="231"/>
    </row>
    <row r="102">
      <c r="A102" s="231"/>
      <c r="B102" s="231"/>
      <c r="C102" s="231"/>
      <c r="D102" s="231"/>
      <c r="E102" s="231"/>
      <c r="F102" s="231"/>
      <c r="G102" s="231"/>
      <c r="H102" s="231"/>
      <c r="I102" s="231"/>
      <c r="J102" s="231"/>
      <c r="K102" s="231"/>
      <c r="L102" s="231"/>
      <c r="M102" s="231"/>
      <c r="N102" s="231"/>
      <c r="O102" s="231"/>
      <c r="P102" s="231"/>
      <c r="Q102" s="231"/>
      <c r="R102" s="231"/>
      <c r="S102" s="231"/>
      <c r="T102" s="231"/>
      <c r="U102" s="231"/>
      <c r="V102" s="231"/>
      <c r="W102" s="231"/>
      <c r="X102" s="231"/>
      <c r="Y102" s="231"/>
      <c r="Z102" s="231"/>
    </row>
    <row r="103">
      <c r="A103" s="231"/>
      <c r="B103" s="231"/>
      <c r="C103" s="231"/>
      <c r="D103" s="231"/>
      <c r="E103" s="231"/>
      <c r="F103" s="231"/>
      <c r="G103" s="231"/>
      <c r="H103" s="231"/>
      <c r="I103" s="231"/>
      <c r="J103" s="231"/>
      <c r="K103" s="231"/>
      <c r="L103" s="231"/>
      <c r="M103" s="231"/>
      <c r="N103" s="231"/>
      <c r="O103" s="231"/>
      <c r="P103" s="231"/>
      <c r="Q103" s="231"/>
      <c r="R103" s="231"/>
      <c r="S103" s="231"/>
      <c r="T103" s="231"/>
      <c r="U103" s="231"/>
      <c r="V103" s="231"/>
      <c r="W103" s="231"/>
      <c r="X103" s="231"/>
      <c r="Y103" s="231"/>
      <c r="Z103" s="231"/>
    </row>
    <row r="104">
      <c r="A104" s="231"/>
      <c r="B104" s="231"/>
      <c r="C104" s="231"/>
      <c r="D104" s="231"/>
      <c r="E104" s="231"/>
      <c r="F104" s="231"/>
      <c r="G104" s="231"/>
      <c r="H104" s="231"/>
      <c r="I104" s="231"/>
      <c r="J104" s="231"/>
      <c r="K104" s="231"/>
      <c r="L104" s="231"/>
      <c r="M104" s="231"/>
      <c r="N104" s="231"/>
      <c r="O104" s="231"/>
      <c r="P104" s="231"/>
      <c r="Q104" s="231"/>
      <c r="R104" s="231"/>
      <c r="S104" s="231"/>
      <c r="T104" s="231"/>
      <c r="U104" s="231"/>
      <c r="V104" s="231"/>
      <c r="W104" s="231"/>
      <c r="X104" s="231"/>
      <c r="Y104" s="231"/>
      <c r="Z104" s="231"/>
    </row>
    <row r="105">
      <c r="A105" s="231"/>
      <c r="B105" s="231"/>
      <c r="C105" s="231"/>
      <c r="D105" s="231"/>
      <c r="E105" s="231"/>
      <c r="F105" s="231"/>
      <c r="G105" s="231"/>
      <c r="H105" s="231"/>
      <c r="I105" s="231"/>
      <c r="J105" s="231"/>
      <c r="K105" s="231"/>
      <c r="L105" s="231"/>
      <c r="M105" s="231"/>
      <c r="N105" s="231"/>
      <c r="O105" s="231"/>
      <c r="P105" s="231"/>
      <c r="Q105" s="231"/>
      <c r="R105" s="231"/>
      <c r="S105" s="231"/>
      <c r="T105" s="231"/>
      <c r="U105" s="231"/>
      <c r="V105" s="231"/>
      <c r="W105" s="231"/>
      <c r="X105" s="231"/>
      <c r="Y105" s="231"/>
      <c r="Z105" s="231"/>
    </row>
    <row r="106">
      <c r="A106" s="231"/>
      <c r="B106" s="231"/>
      <c r="C106" s="231"/>
      <c r="D106" s="231"/>
      <c r="E106" s="231"/>
      <c r="F106" s="231"/>
      <c r="G106" s="231"/>
      <c r="H106" s="231"/>
      <c r="I106" s="231"/>
      <c r="J106" s="231"/>
      <c r="K106" s="231"/>
      <c r="L106" s="231"/>
      <c r="M106" s="231"/>
      <c r="N106" s="231"/>
      <c r="O106" s="231"/>
      <c r="P106" s="231"/>
      <c r="Q106" s="231"/>
      <c r="R106" s="231"/>
      <c r="S106" s="231"/>
      <c r="T106" s="231"/>
      <c r="U106" s="231"/>
      <c r="V106" s="231"/>
      <c r="W106" s="231"/>
      <c r="X106" s="231"/>
      <c r="Y106" s="231"/>
      <c r="Z106" s="231"/>
    </row>
    <row r="107">
      <c r="A107" s="231"/>
      <c r="B107" s="231"/>
      <c r="C107" s="231"/>
      <c r="D107" s="231"/>
      <c r="E107" s="231"/>
      <c r="F107" s="231"/>
      <c r="G107" s="231"/>
      <c r="H107" s="231"/>
      <c r="I107" s="231"/>
      <c r="J107" s="231"/>
      <c r="K107" s="231"/>
      <c r="L107" s="231"/>
      <c r="M107" s="231"/>
      <c r="N107" s="231"/>
      <c r="O107" s="231"/>
      <c r="P107" s="231"/>
      <c r="Q107" s="231"/>
      <c r="R107" s="231"/>
      <c r="S107" s="231"/>
      <c r="T107" s="231"/>
      <c r="U107" s="231"/>
      <c r="V107" s="231"/>
      <c r="W107" s="231"/>
      <c r="X107" s="231"/>
      <c r="Y107" s="231"/>
      <c r="Z107" s="231"/>
    </row>
    <row r="108">
      <c r="A108" s="231"/>
      <c r="B108" s="231"/>
      <c r="C108" s="231"/>
      <c r="D108" s="231"/>
      <c r="E108" s="231"/>
      <c r="F108" s="231"/>
      <c r="G108" s="231"/>
      <c r="H108" s="231"/>
      <c r="I108" s="231"/>
      <c r="J108" s="231"/>
      <c r="K108" s="231"/>
      <c r="L108" s="231"/>
      <c r="M108" s="231"/>
      <c r="N108" s="231"/>
      <c r="O108" s="231"/>
      <c r="P108" s="231"/>
      <c r="Q108" s="231"/>
      <c r="R108" s="231"/>
      <c r="S108" s="231"/>
      <c r="T108" s="231"/>
      <c r="U108" s="231"/>
      <c r="V108" s="231"/>
      <c r="W108" s="231"/>
      <c r="X108" s="231"/>
      <c r="Y108" s="231"/>
      <c r="Z108" s="231"/>
    </row>
    <row r="109">
      <c r="A109" s="231"/>
      <c r="B109" s="231"/>
      <c r="C109" s="231"/>
      <c r="D109" s="231"/>
      <c r="E109" s="231"/>
      <c r="F109" s="231"/>
      <c r="G109" s="231"/>
      <c r="H109" s="231"/>
      <c r="I109" s="231"/>
      <c r="J109" s="231"/>
      <c r="K109" s="231"/>
      <c r="L109" s="231"/>
      <c r="M109" s="231"/>
      <c r="N109" s="231"/>
      <c r="O109" s="231"/>
      <c r="P109" s="231"/>
      <c r="Q109" s="231"/>
      <c r="R109" s="231"/>
      <c r="S109" s="231"/>
      <c r="T109" s="231"/>
      <c r="U109" s="231"/>
      <c r="V109" s="231"/>
      <c r="W109" s="231"/>
      <c r="X109" s="231"/>
      <c r="Y109" s="231"/>
      <c r="Z109" s="231"/>
    </row>
    <row r="110">
      <c r="A110" s="231"/>
      <c r="B110" s="231"/>
      <c r="C110" s="231"/>
      <c r="D110" s="231"/>
      <c r="E110" s="231"/>
      <c r="F110" s="231"/>
      <c r="G110" s="231"/>
      <c r="H110" s="231"/>
      <c r="I110" s="231"/>
      <c r="J110" s="231"/>
      <c r="K110" s="231"/>
      <c r="L110" s="231"/>
      <c r="M110" s="231"/>
      <c r="N110" s="231"/>
      <c r="O110" s="231"/>
      <c r="P110" s="231"/>
      <c r="Q110" s="231"/>
      <c r="R110" s="231"/>
      <c r="S110" s="231"/>
      <c r="T110" s="231"/>
      <c r="U110" s="231"/>
      <c r="V110" s="231"/>
      <c r="W110" s="231"/>
      <c r="X110" s="231"/>
      <c r="Y110" s="231"/>
      <c r="Z110" s="231"/>
    </row>
    <row r="111">
      <c r="A111" s="231"/>
      <c r="B111" s="231"/>
      <c r="C111" s="231"/>
      <c r="D111" s="231"/>
      <c r="E111" s="231"/>
      <c r="F111" s="231"/>
      <c r="G111" s="231"/>
      <c r="H111" s="231"/>
      <c r="I111" s="231"/>
      <c r="J111" s="231"/>
      <c r="K111" s="231"/>
      <c r="L111" s="231"/>
      <c r="M111" s="231"/>
      <c r="N111" s="231"/>
      <c r="O111" s="231"/>
      <c r="P111" s="231"/>
      <c r="Q111" s="231"/>
      <c r="R111" s="231"/>
      <c r="S111" s="231"/>
      <c r="T111" s="231"/>
      <c r="U111" s="231"/>
      <c r="V111" s="231"/>
      <c r="W111" s="231"/>
      <c r="X111" s="231"/>
      <c r="Y111" s="231"/>
      <c r="Z111" s="231"/>
    </row>
    <row r="112">
      <c r="A112" s="231"/>
      <c r="B112" s="231"/>
      <c r="C112" s="231"/>
      <c r="D112" s="231"/>
      <c r="E112" s="231"/>
      <c r="F112" s="231"/>
      <c r="G112" s="231"/>
      <c r="H112" s="231"/>
      <c r="I112" s="231"/>
      <c r="J112" s="231"/>
      <c r="K112" s="231"/>
      <c r="L112" s="231"/>
      <c r="M112" s="231"/>
      <c r="N112" s="231"/>
      <c r="O112" s="231"/>
      <c r="P112" s="231"/>
      <c r="Q112" s="231"/>
      <c r="R112" s="231"/>
      <c r="S112" s="231"/>
      <c r="T112" s="231"/>
      <c r="U112" s="231"/>
      <c r="V112" s="231"/>
      <c r="W112" s="231"/>
      <c r="X112" s="231"/>
      <c r="Y112" s="231"/>
      <c r="Z112" s="231"/>
    </row>
    <row r="113">
      <c r="A113" s="231"/>
      <c r="B113" s="231"/>
      <c r="C113" s="231"/>
      <c r="D113" s="231"/>
      <c r="E113" s="231"/>
      <c r="F113" s="231"/>
      <c r="G113" s="231"/>
      <c r="H113" s="231"/>
      <c r="I113" s="231"/>
      <c r="J113" s="231"/>
      <c r="K113" s="231"/>
      <c r="L113" s="231"/>
      <c r="M113" s="231"/>
      <c r="N113" s="231"/>
      <c r="O113" s="231"/>
      <c r="P113" s="231"/>
      <c r="Q113" s="231"/>
      <c r="R113" s="231"/>
      <c r="S113" s="231"/>
      <c r="T113" s="231"/>
      <c r="U113" s="231"/>
      <c r="V113" s="231"/>
      <c r="W113" s="231"/>
      <c r="X113" s="231"/>
      <c r="Y113" s="231"/>
      <c r="Z113" s="231"/>
    </row>
    <row r="114">
      <c r="A114" s="231"/>
      <c r="B114" s="231"/>
      <c r="C114" s="231"/>
      <c r="D114" s="231"/>
      <c r="E114" s="231"/>
      <c r="F114" s="231"/>
      <c r="G114" s="231"/>
      <c r="H114" s="231"/>
      <c r="I114" s="231"/>
      <c r="J114" s="231"/>
      <c r="K114" s="231"/>
      <c r="L114" s="231"/>
      <c r="M114" s="231"/>
      <c r="N114" s="231"/>
      <c r="O114" s="231"/>
      <c r="P114" s="231"/>
      <c r="Q114" s="231"/>
      <c r="R114" s="231"/>
      <c r="S114" s="231"/>
      <c r="T114" s="231"/>
      <c r="U114" s="231"/>
      <c r="V114" s="231"/>
      <c r="W114" s="231"/>
      <c r="X114" s="231"/>
      <c r="Y114" s="231"/>
      <c r="Z114" s="231"/>
    </row>
    <row r="115">
      <c r="A115" s="231"/>
      <c r="B115" s="231"/>
      <c r="C115" s="231"/>
      <c r="D115" s="231"/>
      <c r="E115" s="231"/>
      <c r="F115" s="231"/>
      <c r="G115" s="231"/>
      <c r="H115" s="231"/>
      <c r="I115" s="231"/>
      <c r="J115" s="231"/>
      <c r="K115" s="231"/>
      <c r="L115" s="231"/>
      <c r="M115" s="231"/>
      <c r="N115" s="231"/>
      <c r="O115" s="231"/>
      <c r="P115" s="231"/>
      <c r="Q115" s="231"/>
      <c r="R115" s="231"/>
      <c r="S115" s="231"/>
      <c r="T115" s="231"/>
      <c r="U115" s="231"/>
      <c r="V115" s="231"/>
      <c r="W115" s="231"/>
      <c r="X115" s="231"/>
      <c r="Y115" s="231"/>
      <c r="Z115" s="231"/>
    </row>
    <row r="116">
      <c r="A116" s="231"/>
      <c r="B116" s="231"/>
      <c r="C116" s="231"/>
      <c r="D116" s="231"/>
      <c r="E116" s="231"/>
      <c r="F116" s="231"/>
      <c r="G116" s="231"/>
      <c r="H116" s="231"/>
      <c r="I116" s="231"/>
      <c r="J116" s="231"/>
      <c r="K116" s="231"/>
      <c r="L116" s="231"/>
      <c r="M116" s="231"/>
      <c r="N116" s="231"/>
      <c r="O116" s="231"/>
      <c r="P116" s="231"/>
      <c r="Q116" s="231"/>
      <c r="R116" s="231"/>
      <c r="S116" s="231"/>
      <c r="T116" s="231"/>
      <c r="U116" s="231"/>
      <c r="V116" s="231"/>
      <c r="W116" s="231"/>
      <c r="X116" s="231"/>
      <c r="Y116" s="231"/>
      <c r="Z116" s="231"/>
    </row>
    <row r="117">
      <c r="A117" s="231"/>
      <c r="B117" s="231"/>
      <c r="C117" s="231"/>
      <c r="D117" s="231"/>
      <c r="E117" s="231"/>
      <c r="F117" s="231"/>
      <c r="G117" s="231"/>
      <c r="H117" s="231"/>
      <c r="I117" s="231"/>
      <c r="J117" s="231"/>
      <c r="K117" s="231"/>
      <c r="L117" s="231"/>
      <c r="M117" s="231"/>
      <c r="N117" s="231"/>
      <c r="O117" s="231"/>
      <c r="P117" s="231"/>
      <c r="Q117" s="231"/>
      <c r="R117" s="231"/>
      <c r="S117" s="231"/>
      <c r="T117" s="231"/>
      <c r="U117" s="231"/>
      <c r="V117" s="231"/>
      <c r="W117" s="231"/>
      <c r="X117" s="231"/>
      <c r="Y117" s="231"/>
      <c r="Z117" s="231"/>
    </row>
    <row r="118">
      <c r="A118" s="231"/>
      <c r="B118" s="231"/>
      <c r="C118" s="231"/>
      <c r="D118" s="231"/>
      <c r="E118" s="231"/>
      <c r="F118" s="231"/>
      <c r="G118" s="231"/>
      <c r="H118" s="231"/>
      <c r="I118" s="231"/>
      <c r="J118" s="231"/>
      <c r="K118" s="231"/>
      <c r="L118" s="231"/>
      <c r="M118" s="231"/>
      <c r="N118" s="231"/>
      <c r="O118" s="231"/>
      <c r="P118" s="231"/>
      <c r="Q118" s="231"/>
      <c r="R118" s="231"/>
      <c r="S118" s="231"/>
      <c r="T118" s="231"/>
      <c r="U118" s="231"/>
      <c r="V118" s="231"/>
      <c r="W118" s="231"/>
      <c r="X118" s="231"/>
      <c r="Y118" s="231"/>
      <c r="Z118" s="231"/>
    </row>
    <row r="119">
      <c r="A119" s="231"/>
      <c r="B119" s="231"/>
      <c r="C119" s="231"/>
      <c r="D119" s="231"/>
      <c r="E119" s="231"/>
      <c r="F119" s="231"/>
      <c r="G119" s="231"/>
      <c r="H119" s="231"/>
      <c r="I119" s="231"/>
      <c r="J119" s="231"/>
      <c r="K119" s="231"/>
      <c r="L119" s="231"/>
      <c r="M119" s="231"/>
      <c r="N119" s="231"/>
      <c r="O119" s="231"/>
      <c r="P119" s="231"/>
      <c r="Q119" s="231"/>
      <c r="R119" s="231"/>
      <c r="S119" s="231"/>
      <c r="T119" s="231"/>
      <c r="U119" s="231"/>
      <c r="V119" s="231"/>
      <c r="W119" s="231"/>
      <c r="X119" s="231"/>
      <c r="Y119" s="231"/>
      <c r="Z119" s="231"/>
    </row>
    <row r="120">
      <c r="A120" s="231"/>
      <c r="B120" s="231"/>
      <c r="C120" s="231"/>
      <c r="D120" s="231"/>
      <c r="E120" s="231"/>
      <c r="F120" s="231"/>
      <c r="G120" s="231"/>
      <c r="H120" s="231"/>
      <c r="I120" s="231"/>
      <c r="J120" s="231"/>
      <c r="K120" s="231"/>
      <c r="L120" s="231"/>
      <c r="M120" s="231"/>
      <c r="N120" s="231"/>
      <c r="O120" s="231"/>
      <c r="P120" s="231"/>
      <c r="Q120" s="231"/>
      <c r="R120" s="231"/>
      <c r="S120" s="231"/>
      <c r="T120" s="231"/>
      <c r="U120" s="231"/>
      <c r="V120" s="231"/>
      <c r="W120" s="231"/>
      <c r="X120" s="231"/>
      <c r="Y120" s="231"/>
      <c r="Z120" s="231"/>
    </row>
    <row r="121">
      <c r="A121" s="231"/>
      <c r="B121" s="231"/>
      <c r="C121" s="231"/>
      <c r="D121" s="231"/>
      <c r="E121" s="231"/>
      <c r="F121" s="231"/>
      <c r="G121" s="231"/>
      <c r="H121" s="231"/>
      <c r="I121" s="231"/>
      <c r="J121" s="231"/>
      <c r="K121" s="231"/>
      <c r="L121" s="231"/>
      <c r="M121" s="231"/>
      <c r="N121" s="231"/>
      <c r="O121" s="231"/>
      <c r="P121" s="231"/>
      <c r="Q121" s="231"/>
      <c r="R121" s="231"/>
      <c r="S121" s="231"/>
      <c r="T121" s="231"/>
      <c r="U121" s="231"/>
      <c r="V121" s="231"/>
      <c r="W121" s="231"/>
      <c r="X121" s="231"/>
      <c r="Y121" s="231"/>
      <c r="Z121" s="231"/>
    </row>
    <row r="122">
      <c r="A122" s="231"/>
      <c r="B122" s="231"/>
      <c r="C122" s="231"/>
      <c r="D122" s="231"/>
      <c r="E122" s="231"/>
      <c r="F122" s="231"/>
      <c r="G122" s="231"/>
      <c r="H122" s="231"/>
      <c r="I122" s="231"/>
      <c r="J122" s="231"/>
      <c r="K122" s="231"/>
      <c r="L122" s="231"/>
      <c r="M122" s="231"/>
      <c r="N122" s="231"/>
      <c r="O122" s="231"/>
      <c r="P122" s="231"/>
      <c r="Q122" s="231"/>
      <c r="R122" s="231"/>
      <c r="S122" s="231"/>
      <c r="T122" s="231"/>
      <c r="U122" s="231"/>
      <c r="V122" s="231"/>
      <c r="W122" s="231"/>
      <c r="X122" s="231"/>
      <c r="Y122" s="231"/>
      <c r="Z122" s="231"/>
    </row>
    <row r="123">
      <c r="A123" s="231"/>
      <c r="B123" s="231"/>
      <c r="C123" s="231"/>
      <c r="D123" s="231"/>
      <c r="E123" s="231"/>
      <c r="F123" s="231"/>
      <c r="G123" s="231"/>
      <c r="H123" s="231"/>
      <c r="I123" s="231"/>
      <c r="J123" s="231"/>
      <c r="K123" s="231"/>
      <c r="L123" s="231"/>
      <c r="M123" s="231"/>
      <c r="N123" s="231"/>
      <c r="O123" s="231"/>
      <c r="P123" s="231"/>
      <c r="Q123" s="231"/>
      <c r="R123" s="231"/>
      <c r="S123" s="231"/>
      <c r="T123" s="231"/>
      <c r="U123" s="231"/>
      <c r="V123" s="231"/>
      <c r="W123" s="231"/>
      <c r="X123" s="231"/>
      <c r="Y123" s="231"/>
      <c r="Z123" s="231"/>
    </row>
    <row r="124">
      <c r="A124" s="231"/>
      <c r="B124" s="231"/>
      <c r="C124" s="231"/>
      <c r="D124" s="231"/>
      <c r="E124" s="231"/>
      <c r="F124" s="231"/>
      <c r="G124" s="231"/>
      <c r="H124" s="231"/>
      <c r="I124" s="231"/>
      <c r="J124" s="231"/>
      <c r="K124" s="231"/>
      <c r="L124" s="231"/>
      <c r="M124" s="231"/>
      <c r="N124" s="231"/>
      <c r="O124" s="231"/>
      <c r="P124" s="231"/>
      <c r="Q124" s="231"/>
      <c r="R124" s="231"/>
      <c r="S124" s="231"/>
      <c r="T124" s="231"/>
      <c r="U124" s="231"/>
      <c r="V124" s="231"/>
      <c r="W124" s="231"/>
      <c r="X124" s="231"/>
      <c r="Y124" s="231"/>
      <c r="Z124" s="231"/>
    </row>
    <row r="125">
      <c r="A125" s="231"/>
      <c r="B125" s="231"/>
      <c r="C125" s="231"/>
      <c r="D125" s="231"/>
      <c r="E125" s="231"/>
      <c r="F125" s="231"/>
      <c r="G125" s="231"/>
      <c r="H125" s="231"/>
      <c r="I125" s="231"/>
      <c r="J125" s="231"/>
      <c r="K125" s="231"/>
      <c r="L125" s="231"/>
      <c r="M125" s="231"/>
      <c r="N125" s="231"/>
      <c r="O125" s="231"/>
      <c r="P125" s="231"/>
      <c r="Q125" s="231"/>
      <c r="R125" s="231"/>
      <c r="S125" s="231"/>
      <c r="T125" s="231"/>
      <c r="U125" s="231"/>
      <c r="V125" s="231"/>
      <c r="W125" s="231"/>
      <c r="X125" s="231"/>
      <c r="Y125" s="231"/>
      <c r="Z125" s="231"/>
    </row>
    <row r="126">
      <c r="A126" s="231"/>
      <c r="B126" s="231"/>
      <c r="C126" s="231"/>
      <c r="D126" s="231"/>
      <c r="E126" s="231"/>
      <c r="F126" s="231"/>
      <c r="G126" s="231"/>
      <c r="H126" s="231"/>
      <c r="I126" s="231"/>
      <c r="J126" s="231"/>
      <c r="K126" s="231"/>
      <c r="L126" s="231"/>
      <c r="M126" s="231"/>
      <c r="N126" s="231"/>
      <c r="O126" s="231"/>
      <c r="P126" s="231"/>
      <c r="Q126" s="231"/>
      <c r="R126" s="231"/>
      <c r="S126" s="231"/>
      <c r="T126" s="231"/>
      <c r="U126" s="231"/>
      <c r="V126" s="231"/>
      <c r="W126" s="231"/>
      <c r="X126" s="231"/>
      <c r="Y126" s="231"/>
      <c r="Z126" s="231"/>
    </row>
    <row r="127">
      <c r="A127" s="231"/>
      <c r="B127" s="231"/>
      <c r="C127" s="231"/>
      <c r="D127" s="231"/>
      <c r="E127" s="231"/>
      <c r="F127" s="231"/>
      <c r="G127" s="231"/>
      <c r="H127" s="231"/>
      <c r="I127" s="231"/>
      <c r="J127" s="231"/>
      <c r="K127" s="231"/>
      <c r="L127" s="231"/>
      <c r="M127" s="231"/>
      <c r="N127" s="231"/>
      <c r="O127" s="231"/>
      <c r="P127" s="231"/>
      <c r="Q127" s="231"/>
      <c r="R127" s="231"/>
      <c r="S127" s="231"/>
      <c r="T127" s="231"/>
      <c r="U127" s="231"/>
      <c r="V127" s="231"/>
      <c r="W127" s="231"/>
      <c r="X127" s="231"/>
      <c r="Y127" s="231"/>
      <c r="Z127" s="231"/>
    </row>
    <row r="128">
      <c r="A128" s="231"/>
      <c r="B128" s="231"/>
      <c r="C128" s="231"/>
      <c r="D128" s="231"/>
      <c r="E128" s="231"/>
      <c r="F128" s="231"/>
      <c r="G128" s="231"/>
      <c r="H128" s="231"/>
      <c r="I128" s="231"/>
      <c r="J128" s="231"/>
      <c r="K128" s="231"/>
      <c r="L128" s="231"/>
      <c r="M128" s="231"/>
      <c r="N128" s="231"/>
      <c r="O128" s="231"/>
      <c r="P128" s="231"/>
      <c r="Q128" s="231"/>
      <c r="R128" s="231"/>
      <c r="S128" s="231"/>
      <c r="T128" s="231"/>
      <c r="U128" s="231"/>
      <c r="V128" s="231"/>
      <c r="W128" s="231"/>
      <c r="X128" s="231"/>
      <c r="Y128" s="231"/>
      <c r="Z128" s="231"/>
    </row>
    <row r="129">
      <c r="A129" s="231"/>
      <c r="B129" s="231"/>
      <c r="C129" s="231"/>
      <c r="D129" s="231"/>
      <c r="E129" s="231"/>
      <c r="F129" s="231"/>
      <c r="G129" s="231"/>
      <c r="H129" s="231"/>
      <c r="I129" s="231"/>
      <c r="J129" s="231"/>
      <c r="K129" s="231"/>
      <c r="L129" s="231"/>
      <c r="M129" s="231"/>
      <c r="N129" s="231"/>
      <c r="O129" s="231"/>
      <c r="P129" s="231"/>
      <c r="Q129" s="231"/>
      <c r="R129" s="231"/>
      <c r="S129" s="231"/>
      <c r="T129" s="231"/>
      <c r="U129" s="231"/>
      <c r="V129" s="231"/>
      <c r="W129" s="231"/>
      <c r="X129" s="231"/>
      <c r="Y129" s="231"/>
      <c r="Z129" s="231"/>
    </row>
    <row r="130">
      <c r="A130" s="231"/>
      <c r="B130" s="231"/>
      <c r="C130" s="231"/>
      <c r="D130" s="231"/>
      <c r="E130" s="231"/>
      <c r="F130" s="231"/>
      <c r="G130" s="231"/>
      <c r="H130" s="231"/>
      <c r="I130" s="231"/>
      <c r="J130" s="231"/>
      <c r="K130" s="231"/>
      <c r="L130" s="231"/>
      <c r="M130" s="231"/>
      <c r="N130" s="231"/>
      <c r="O130" s="231"/>
      <c r="P130" s="231"/>
      <c r="Q130" s="231"/>
      <c r="R130" s="231"/>
      <c r="S130" s="231"/>
      <c r="T130" s="231"/>
      <c r="U130" s="231"/>
      <c r="V130" s="231"/>
      <c r="W130" s="231"/>
      <c r="X130" s="231"/>
      <c r="Y130" s="231"/>
      <c r="Z130" s="231"/>
    </row>
    <row r="131">
      <c r="A131" s="231"/>
      <c r="B131" s="231"/>
      <c r="C131" s="231"/>
      <c r="D131" s="231"/>
      <c r="E131" s="231"/>
      <c r="F131" s="231"/>
      <c r="G131" s="231"/>
      <c r="H131" s="231"/>
      <c r="I131" s="231"/>
      <c r="J131" s="231"/>
      <c r="K131" s="231"/>
      <c r="L131" s="231"/>
      <c r="M131" s="231"/>
      <c r="N131" s="231"/>
      <c r="O131" s="231"/>
      <c r="P131" s="231"/>
      <c r="Q131" s="231"/>
      <c r="R131" s="231"/>
      <c r="S131" s="231"/>
      <c r="T131" s="231"/>
      <c r="U131" s="231"/>
      <c r="V131" s="231"/>
      <c r="W131" s="231"/>
      <c r="X131" s="231"/>
      <c r="Y131" s="231"/>
      <c r="Z131" s="231"/>
    </row>
    <row r="132">
      <c r="A132" s="231"/>
      <c r="B132" s="231"/>
      <c r="C132" s="231"/>
      <c r="D132" s="231"/>
      <c r="E132" s="231"/>
      <c r="F132" s="231"/>
      <c r="G132" s="231"/>
      <c r="H132" s="231"/>
      <c r="I132" s="231"/>
      <c r="J132" s="231"/>
      <c r="K132" s="231"/>
      <c r="L132" s="231"/>
      <c r="M132" s="231"/>
      <c r="N132" s="231"/>
      <c r="O132" s="231"/>
      <c r="P132" s="231"/>
      <c r="Q132" s="231"/>
      <c r="R132" s="231"/>
      <c r="S132" s="231"/>
      <c r="T132" s="231"/>
      <c r="U132" s="231"/>
      <c r="V132" s="231"/>
      <c r="W132" s="231"/>
      <c r="X132" s="231"/>
      <c r="Y132" s="231"/>
      <c r="Z132" s="231"/>
    </row>
    <row r="133">
      <c r="A133" s="231"/>
      <c r="B133" s="231"/>
      <c r="C133" s="231"/>
      <c r="D133" s="231"/>
      <c r="E133" s="231"/>
      <c r="F133" s="231"/>
      <c r="G133" s="231"/>
      <c r="H133" s="231"/>
      <c r="I133" s="231"/>
      <c r="J133" s="231"/>
      <c r="K133" s="231"/>
      <c r="L133" s="231"/>
      <c r="M133" s="231"/>
      <c r="N133" s="231"/>
      <c r="O133" s="231"/>
      <c r="P133" s="231"/>
      <c r="Q133" s="231"/>
      <c r="R133" s="231"/>
      <c r="S133" s="231"/>
      <c r="T133" s="231"/>
      <c r="U133" s="231"/>
      <c r="V133" s="231"/>
      <c r="W133" s="231"/>
      <c r="X133" s="231"/>
      <c r="Y133" s="231"/>
      <c r="Z133" s="231"/>
    </row>
    <row r="134">
      <c r="A134" s="231"/>
      <c r="B134" s="231"/>
      <c r="C134" s="231"/>
      <c r="D134" s="231"/>
      <c r="E134" s="231"/>
      <c r="F134" s="231"/>
      <c r="G134" s="231"/>
      <c r="H134" s="231"/>
      <c r="I134" s="231"/>
      <c r="J134" s="231"/>
      <c r="K134" s="231"/>
      <c r="L134" s="231"/>
      <c r="M134" s="231"/>
      <c r="N134" s="231"/>
      <c r="O134" s="231"/>
      <c r="P134" s="231"/>
      <c r="Q134" s="231"/>
      <c r="R134" s="231"/>
      <c r="S134" s="231"/>
      <c r="T134" s="231"/>
      <c r="U134" s="231"/>
      <c r="V134" s="231"/>
      <c r="W134" s="231"/>
      <c r="X134" s="231"/>
      <c r="Y134" s="231"/>
      <c r="Z134" s="231"/>
    </row>
    <row r="135">
      <c r="A135" s="231"/>
      <c r="B135" s="231"/>
      <c r="C135" s="231"/>
      <c r="D135" s="231"/>
      <c r="E135" s="231"/>
      <c r="F135" s="231"/>
      <c r="G135" s="231"/>
      <c r="H135" s="231"/>
      <c r="I135" s="231"/>
      <c r="J135" s="231"/>
      <c r="K135" s="231"/>
      <c r="L135" s="231"/>
      <c r="M135" s="231"/>
      <c r="N135" s="231"/>
      <c r="O135" s="231"/>
      <c r="P135" s="231"/>
      <c r="Q135" s="231"/>
      <c r="R135" s="231"/>
      <c r="S135" s="231"/>
      <c r="T135" s="231"/>
      <c r="U135" s="231"/>
      <c r="V135" s="231"/>
      <c r="W135" s="231"/>
      <c r="X135" s="231"/>
      <c r="Y135" s="231"/>
      <c r="Z135" s="231"/>
    </row>
    <row r="136">
      <c r="A136" s="231"/>
      <c r="B136" s="231"/>
      <c r="C136" s="231"/>
      <c r="D136" s="231"/>
      <c r="E136" s="231"/>
      <c r="F136" s="231"/>
      <c r="G136" s="231"/>
      <c r="H136" s="231"/>
      <c r="I136" s="231"/>
      <c r="J136" s="231"/>
      <c r="K136" s="231"/>
      <c r="L136" s="231"/>
      <c r="M136" s="231"/>
      <c r="N136" s="231"/>
      <c r="O136" s="231"/>
      <c r="P136" s="231"/>
      <c r="Q136" s="231"/>
      <c r="R136" s="231"/>
      <c r="S136" s="231"/>
      <c r="T136" s="231"/>
      <c r="U136" s="231"/>
      <c r="V136" s="231"/>
      <c r="W136" s="231"/>
      <c r="X136" s="231"/>
      <c r="Y136" s="231"/>
      <c r="Z136" s="231"/>
    </row>
    <row r="137">
      <c r="A137" s="231"/>
      <c r="B137" s="231"/>
      <c r="C137" s="231"/>
      <c r="D137" s="231"/>
      <c r="E137" s="231"/>
      <c r="F137" s="231"/>
      <c r="G137" s="231"/>
      <c r="H137" s="231"/>
      <c r="I137" s="231"/>
      <c r="J137" s="231"/>
      <c r="K137" s="231"/>
      <c r="L137" s="231"/>
      <c r="M137" s="231"/>
      <c r="N137" s="231"/>
      <c r="O137" s="231"/>
      <c r="P137" s="231"/>
      <c r="Q137" s="231"/>
      <c r="R137" s="231"/>
      <c r="S137" s="231"/>
      <c r="T137" s="231"/>
      <c r="U137" s="231"/>
      <c r="V137" s="231"/>
      <c r="W137" s="231"/>
      <c r="X137" s="231"/>
      <c r="Y137" s="231"/>
      <c r="Z137" s="231"/>
    </row>
    <row r="138">
      <c r="A138" s="231"/>
      <c r="B138" s="231"/>
      <c r="C138" s="231"/>
      <c r="D138" s="231"/>
      <c r="E138" s="231"/>
      <c r="F138" s="231"/>
      <c r="G138" s="231"/>
      <c r="H138" s="231"/>
      <c r="I138" s="231"/>
      <c r="J138" s="231"/>
      <c r="K138" s="231"/>
      <c r="L138" s="231"/>
      <c r="M138" s="231"/>
      <c r="N138" s="231"/>
      <c r="O138" s="231"/>
      <c r="P138" s="231"/>
      <c r="Q138" s="231"/>
      <c r="R138" s="231"/>
      <c r="S138" s="231"/>
      <c r="T138" s="231"/>
      <c r="U138" s="231"/>
      <c r="V138" s="231"/>
      <c r="W138" s="231"/>
      <c r="X138" s="231"/>
      <c r="Y138" s="231"/>
      <c r="Z138" s="231"/>
    </row>
    <row r="139">
      <c r="A139" s="231"/>
      <c r="B139" s="231"/>
      <c r="C139" s="231"/>
      <c r="D139" s="231"/>
      <c r="E139" s="231"/>
      <c r="F139" s="231"/>
      <c r="G139" s="231"/>
      <c r="H139" s="231"/>
      <c r="I139" s="231"/>
      <c r="J139" s="231"/>
      <c r="K139" s="231"/>
      <c r="L139" s="231"/>
      <c r="M139" s="231"/>
      <c r="N139" s="231"/>
      <c r="O139" s="231"/>
      <c r="P139" s="231"/>
      <c r="Q139" s="231"/>
      <c r="R139" s="231"/>
      <c r="S139" s="231"/>
      <c r="T139" s="231"/>
      <c r="U139" s="231"/>
      <c r="V139" s="231"/>
      <c r="W139" s="231"/>
      <c r="X139" s="231"/>
      <c r="Y139" s="231"/>
      <c r="Z139" s="231"/>
    </row>
    <row r="140">
      <c r="A140" s="231"/>
      <c r="B140" s="231"/>
      <c r="C140" s="231"/>
      <c r="D140" s="231"/>
      <c r="E140" s="231"/>
      <c r="F140" s="231"/>
      <c r="G140" s="231"/>
      <c r="H140" s="231"/>
      <c r="I140" s="231"/>
      <c r="J140" s="231"/>
      <c r="K140" s="231"/>
      <c r="L140" s="231"/>
      <c r="M140" s="231"/>
      <c r="N140" s="231"/>
      <c r="O140" s="231"/>
      <c r="P140" s="231"/>
      <c r="Q140" s="231"/>
      <c r="R140" s="231"/>
      <c r="S140" s="231"/>
      <c r="T140" s="231"/>
      <c r="U140" s="231"/>
      <c r="V140" s="231"/>
      <c r="W140" s="231"/>
      <c r="X140" s="231"/>
      <c r="Y140" s="231"/>
      <c r="Z140" s="231"/>
    </row>
    <row r="141">
      <c r="A141" s="231"/>
      <c r="B141" s="231"/>
      <c r="C141" s="231"/>
      <c r="D141" s="231"/>
      <c r="E141" s="231"/>
      <c r="F141" s="231"/>
      <c r="G141" s="231"/>
      <c r="H141" s="231"/>
      <c r="I141" s="231"/>
      <c r="J141" s="231"/>
      <c r="K141" s="231"/>
      <c r="L141" s="231"/>
      <c r="M141" s="231"/>
      <c r="N141" s="231"/>
      <c r="O141" s="231"/>
      <c r="P141" s="231"/>
      <c r="Q141" s="231"/>
      <c r="R141" s="231"/>
      <c r="S141" s="231"/>
      <c r="T141" s="231"/>
      <c r="U141" s="231"/>
      <c r="V141" s="231"/>
      <c r="W141" s="231"/>
      <c r="X141" s="231"/>
      <c r="Y141" s="231"/>
      <c r="Z141" s="231"/>
    </row>
    <row r="142">
      <c r="A142" s="231"/>
      <c r="B142" s="231"/>
      <c r="C142" s="231"/>
      <c r="D142" s="231"/>
      <c r="E142" s="231"/>
      <c r="F142" s="231"/>
      <c r="G142" s="231"/>
      <c r="H142" s="231"/>
      <c r="I142" s="231"/>
      <c r="J142" s="231"/>
      <c r="K142" s="231"/>
      <c r="L142" s="231"/>
      <c r="M142" s="231"/>
      <c r="N142" s="231"/>
      <c r="O142" s="231"/>
      <c r="P142" s="231"/>
      <c r="Q142" s="231"/>
      <c r="R142" s="231"/>
      <c r="S142" s="231"/>
      <c r="T142" s="231"/>
      <c r="U142" s="231"/>
      <c r="V142" s="231"/>
      <c r="W142" s="231"/>
      <c r="X142" s="231"/>
      <c r="Y142" s="231"/>
      <c r="Z142" s="231"/>
    </row>
    <row r="143">
      <c r="A143" s="231"/>
      <c r="B143" s="231"/>
      <c r="C143" s="231"/>
      <c r="D143" s="231"/>
      <c r="E143" s="231"/>
      <c r="F143" s="231"/>
      <c r="G143" s="231"/>
      <c r="H143" s="231"/>
      <c r="I143" s="231"/>
      <c r="J143" s="231"/>
      <c r="K143" s="231"/>
      <c r="L143" s="231"/>
      <c r="M143" s="231"/>
      <c r="N143" s="231"/>
      <c r="O143" s="231"/>
      <c r="P143" s="231"/>
      <c r="Q143" s="231"/>
      <c r="R143" s="231"/>
      <c r="S143" s="231"/>
      <c r="T143" s="231"/>
      <c r="U143" s="231"/>
      <c r="V143" s="231"/>
      <c r="W143" s="231"/>
      <c r="X143" s="231"/>
      <c r="Y143" s="231"/>
      <c r="Z143" s="231"/>
    </row>
    <row r="144">
      <c r="A144" s="231"/>
      <c r="B144" s="231"/>
      <c r="C144" s="231"/>
      <c r="D144" s="231"/>
      <c r="E144" s="231"/>
      <c r="F144" s="231"/>
      <c r="G144" s="231"/>
      <c r="H144" s="231"/>
      <c r="I144" s="231"/>
      <c r="J144" s="231"/>
      <c r="K144" s="231"/>
      <c r="L144" s="231"/>
      <c r="M144" s="231"/>
      <c r="N144" s="231"/>
      <c r="O144" s="231"/>
      <c r="P144" s="231"/>
      <c r="Q144" s="231"/>
      <c r="R144" s="231"/>
      <c r="S144" s="231"/>
      <c r="T144" s="231"/>
      <c r="U144" s="231"/>
      <c r="V144" s="231"/>
      <c r="W144" s="231"/>
      <c r="X144" s="231"/>
      <c r="Y144" s="231"/>
      <c r="Z144" s="231"/>
    </row>
    <row r="145">
      <c r="A145" s="231"/>
      <c r="B145" s="231"/>
      <c r="C145" s="231"/>
      <c r="D145" s="231"/>
      <c r="E145" s="231"/>
      <c r="F145" s="231"/>
      <c r="G145" s="231"/>
      <c r="H145" s="231"/>
      <c r="I145" s="231"/>
      <c r="J145" s="231"/>
      <c r="K145" s="231"/>
      <c r="L145" s="231"/>
      <c r="M145" s="231"/>
      <c r="N145" s="231"/>
      <c r="O145" s="231"/>
      <c r="P145" s="231"/>
      <c r="Q145" s="231"/>
      <c r="R145" s="231"/>
      <c r="S145" s="231"/>
      <c r="T145" s="231"/>
      <c r="U145" s="231"/>
      <c r="V145" s="231"/>
      <c r="W145" s="231"/>
      <c r="X145" s="231"/>
      <c r="Y145" s="231"/>
      <c r="Z145" s="231"/>
    </row>
    <row r="146">
      <c r="A146" s="231"/>
      <c r="B146" s="231"/>
      <c r="C146" s="231"/>
      <c r="D146" s="231"/>
      <c r="E146" s="231"/>
      <c r="F146" s="231"/>
      <c r="G146" s="231"/>
      <c r="H146" s="231"/>
      <c r="I146" s="231"/>
      <c r="J146" s="231"/>
      <c r="K146" s="231"/>
      <c r="L146" s="231"/>
      <c r="M146" s="231"/>
      <c r="N146" s="231"/>
      <c r="O146" s="231"/>
      <c r="P146" s="231"/>
      <c r="Q146" s="231"/>
      <c r="R146" s="231"/>
      <c r="S146" s="231"/>
      <c r="T146" s="231"/>
      <c r="U146" s="231"/>
      <c r="V146" s="231"/>
      <c r="W146" s="231"/>
      <c r="X146" s="231"/>
      <c r="Y146" s="231"/>
      <c r="Z146" s="231"/>
    </row>
    <row r="147">
      <c r="A147" s="231"/>
      <c r="B147" s="231"/>
      <c r="C147" s="231"/>
      <c r="D147" s="231"/>
      <c r="E147" s="231"/>
      <c r="F147" s="231"/>
      <c r="G147" s="231"/>
      <c r="H147" s="231"/>
      <c r="I147" s="231"/>
      <c r="J147" s="231"/>
      <c r="K147" s="231"/>
      <c r="L147" s="231"/>
      <c r="M147" s="231"/>
      <c r="N147" s="231"/>
      <c r="O147" s="231"/>
      <c r="P147" s="231"/>
      <c r="Q147" s="231"/>
      <c r="R147" s="231"/>
      <c r="S147" s="231"/>
      <c r="T147" s="231"/>
      <c r="U147" s="231"/>
      <c r="V147" s="231"/>
      <c r="W147" s="231"/>
      <c r="X147" s="231"/>
      <c r="Y147" s="231"/>
      <c r="Z147" s="231"/>
    </row>
    <row r="148">
      <c r="A148" s="231"/>
      <c r="B148" s="231"/>
      <c r="C148" s="231"/>
      <c r="D148" s="231"/>
      <c r="E148" s="231"/>
      <c r="F148" s="231"/>
      <c r="G148" s="231"/>
      <c r="H148" s="231"/>
      <c r="I148" s="231"/>
      <c r="J148" s="231"/>
      <c r="K148" s="231"/>
      <c r="L148" s="231"/>
      <c r="M148" s="231"/>
      <c r="N148" s="231"/>
      <c r="O148" s="231"/>
      <c r="P148" s="231"/>
      <c r="Q148" s="231"/>
      <c r="R148" s="231"/>
      <c r="S148" s="231"/>
      <c r="T148" s="231"/>
      <c r="U148" s="231"/>
      <c r="V148" s="231"/>
      <c r="W148" s="231"/>
      <c r="X148" s="231"/>
      <c r="Y148" s="231"/>
      <c r="Z148" s="231"/>
    </row>
    <row r="149">
      <c r="A149" s="231"/>
      <c r="B149" s="231"/>
      <c r="C149" s="231"/>
      <c r="D149" s="231"/>
      <c r="E149" s="231"/>
      <c r="F149" s="231"/>
      <c r="G149" s="231"/>
      <c r="H149" s="231"/>
      <c r="I149" s="231"/>
      <c r="J149" s="231"/>
      <c r="K149" s="231"/>
      <c r="L149" s="231"/>
      <c r="M149" s="231"/>
      <c r="N149" s="231"/>
      <c r="O149" s="231"/>
      <c r="P149" s="231"/>
      <c r="Q149" s="231"/>
      <c r="R149" s="231"/>
      <c r="S149" s="231"/>
      <c r="T149" s="231"/>
      <c r="U149" s="231"/>
      <c r="V149" s="231"/>
      <c r="W149" s="231"/>
      <c r="X149" s="231"/>
      <c r="Y149" s="231"/>
      <c r="Z149" s="231"/>
    </row>
    <row r="150">
      <c r="A150" s="231"/>
      <c r="B150" s="231"/>
      <c r="C150" s="231"/>
      <c r="D150" s="231"/>
      <c r="E150" s="231"/>
      <c r="F150" s="231"/>
      <c r="G150" s="231"/>
      <c r="H150" s="231"/>
      <c r="I150" s="231"/>
      <c r="J150" s="231"/>
      <c r="K150" s="231"/>
      <c r="L150" s="231"/>
      <c r="M150" s="231"/>
      <c r="N150" s="231"/>
      <c r="O150" s="231"/>
      <c r="P150" s="231"/>
      <c r="Q150" s="231"/>
      <c r="R150" s="231"/>
      <c r="S150" s="231"/>
      <c r="T150" s="231"/>
      <c r="U150" s="231"/>
      <c r="V150" s="231"/>
      <c r="W150" s="231"/>
      <c r="X150" s="231"/>
      <c r="Y150" s="231"/>
      <c r="Z150" s="231"/>
    </row>
    <row r="151">
      <c r="A151" s="231"/>
      <c r="B151" s="231"/>
      <c r="C151" s="231"/>
      <c r="D151" s="231"/>
      <c r="E151" s="231"/>
      <c r="F151" s="231"/>
      <c r="G151" s="231"/>
      <c r="H151" s="231"/>
      <c r="I151" s="231"/>
      <c r="J151" s="231"/>
      <c r="K151" s="231"/>
      <c r="L151" s="231"/>
      <c r="M151" s="231"/>
      <c r="N151" s="231"/>
      <c r="O151" s="231"/>
      <c r="P151" s="231"/>
      <c r="Q151" s="231"/>
      <c r="R151" s="231"/>
      <c r="S151" s="231"/>
      <c r="T151" s="231"/>
      <c r="U151" s="231"/>
      <c r="V151" s="231"/>
      <c r="W151" s="231"/>
      <c r="X151" s="231"/>
      <c r="Y151" s="231"/>
      <c r="Z151" s="231"/>
    </row>
    <row r="152">
      <c r="A152" s="231"/>
      <c r="B152" s="231"/>
      <c r="C152" s="231"/>
      <c r="D152" s="231"/>
      <c r="E152" s="231"/>
      <c r="F152" s="231"/>
      <c r="G152" s="231"/>
      <c r="H152" s="231"/>
      <c r="I152" s="231"/>
      <c r="J152" s="231"/>
      <c r="K152" s="231"/>
      <c r="L152" s="231"/>
      <c r="M152" s="231"/>
      <c r="N152" s="231"/>
      <c r="O152" s="231"/>
      <c r="P152" s="231"/>
      <c r="Q152" s="231"/>
      <c r="R152" s="231"/>
      <c r="S152" s="231"/>
      <c r="T152" s="231"/>
      <c r="U152" s="231"/>
      <c r="V152" s="231"/>
      <c r="W152" s="231"/>
      <c r="X152" s="231"/>
      <c r="Y152" s="231"/>
      <c r="Z152" s="231"/>
    </row>
    <row r="153">
      <c r="A153" s="231"/>
      <c r="B153" s="231"/>
      <c r="C153" s="231"/>
      <c r="D153" s="231"/>
      <c r="E153" s="231"/>
      <c r="F153" s="231"/>
      <c r="G153" s="231"/>
      <c r="H153" s="231"/>
      <c r="I153" s="231"/>
      <c r="J153" s="231"/>
      <c r="K153" s="231"/>
      <c r="L153" s="231"/>
      <c r="M153" s="231"/>
      <c r="N153" s="231"/>
      <c r="O153" s="231"/>
      <c r="P153" s="231"/>
      <c r="Q153" s="231"/>
      <c r="R153" s="231"/>
      <c r="S153" s="231"/>
      <c r="T153" s="231"/>
      <c r="U153" s="231"/>
      <c r="V153" s="231"/>
      <c r="W153" s="231"/>
      <c r="X153" s="231"/>
      <c r="Y153" s="231"/>
      <c r="Z153" s="231"/>
    </row>
    <row r="154">
      <c r="A154" s="231"/>
      <c r="B154" s="231"/>
      <c r="C154" s="231"/>
      <c r="D154" s="231"/>
      <c r="E154" s="231"/>
      <c r="F154" s="231"/>
      <c r="G154" s="231"/>
      <c r="H154" s="231"/>
      <c r="I154" s="231"/>
      <c r="J154" s="231"/>
      <c r="K154" s="231"/>
      <c r="L154" s="231"/>
      <c r="M154" s="231"/>
      <c r="N154" s="231"/>
      <c r="O154" s="231"/>
      <c r="P154" s="231"/>
      <c r="Q154" s="231"/>
      <c r="R154" s="231"/>
      <c r="S154" s="231"/>
      <c r="T154" s="231"/>
      <c r="U154" s="231"/>
      <c r="V154" s="231"/>
      <c r="W154" s="231"/>
      <c r="X154" s="231"/>
      <c r="Y154" s="231"/>
      <c r="Z154" s="231"/>
    </row>
    <row r="155">
      <c r="A155" s="231"/>
      <c r="B155" s="231"/>
      <c r="C155" s="231"/>
      <c r="D155" s="231"/>
      <c r="E155" s="231"/>
      <c r="F155" s="231"/>
      <c r="G155" s="231"/>
      <c r="H155" s="231"/>
      <c r="I155" s="231"/>
      <c r="J155" s="231"/>
      <c r="K155" s="231"/>
      <c r="L155" s="231"/>
      <c r="M155" s="231"/>
      <c r="N155" s="231"/>
      <c r="O155" s="231"/>
      <c r="P155" s="231"/>
      <c r="Q155" s="231"/>
      <c r="R155" s="231"/>
      <c r="S155" s="231"/>
      <c r="T155" s="231"/>
      <c r="U155" s="231"/>
      <c r="V155" s="231"/>
      <c r="W155" s="231"/>
      <c r="X155" s="231"/>
      <c r="Y155" s="231"/>
      <c r="Z155" s="231"/>
    </row>
    <row r="156">
      <c r="A156" s="231"/>
      <c r="B156" s="231"/>
      <c r="C156" s="231"/>
      <c r="D156" s="231"/>
      <c r="E156" s="231"/>
      <c r="F156" s="231"/>
      <c r="G156" s="231"/>
      <c r="H156" s="231"/>
      <c r="I156" s="231"/>
      <c r="J156" s="231"/>
      <c r="K156" s="231"/>
      <c r="L156" s="231"/>
      <c r="M156" s="231"/>
      <c r="N156" s="231"/>
      <c r="O156" s="231"/>
      <c r="P156" s="231"/>
      <c r="Q156" s="231"/>
      <c r="R156" s="231"/>
      <c r="S156" s="231"/>
      <c r="T156" s="231"/>
      <c r="U156" s="231"/>
      <c r="V156" s="231"/>
      <c r="W156" s="231"/>
      <c r="X156" s="231"/>
      <c r="Y156" s="231"/>
      <c r="Z156" s="231"/>
    </row>
    <row r="157">
      <c r="A157" s="231"/>
      <c r="B157" s="231"/>
      <c r="C157" s="231"/>
      <c r="D157" s="231"/>
      <c r="E157" s="231"/>
      <c r="F157" s="231"/>
      <c r="G157" s="231"/>
      <c r="H157" s="231"/>
      <c r="I157" s="231"/>
      <c r="J157" s="231"/>
      <c r="K157" s="231"/>
      <c r="L157" s="231"/>
      <c r="M157" s="231"/>
      <c r="N157" s="231"/>
      <c r="O157" s="231"/>
      <c r="P157" s="231"/>
      <c r="Q157" s="231"/>
      <c r="R157" s="231"/>
      <c r="S157" s="231"/>
      <c r="T157" s="231"/>
      <c r="U157" s="231"/>
      <c r="V157" s="231"/>
      <c r="W157" s="231"/>
      <c r="X157" s="231"/>
      <c r="Y157" s="231"/>
      <c r="Z157" s="231"/>
    </row>
    <row r="158">
      <c r="A158" s="231"/>
      <c r="B158" s="231"/>
      <c r="C158" s="231"/>
      <c r="D158" s="231"/>
      <c r="E158" s="231"/>
      <c r="F158" s="231"/>
      <c r="G158" s="231"/>
      <c r="H158" s="231"/>
      <c r="I158" s="231"/>
      <c r="J158" s="231"/>
      <c r="K158" s="231"/>
      <c r="L158" s="231"/>
      <c r="M158" s="231"/>
      <c r="N158" s="231"/>
      <c r="O158" s="231"/>
      <c r="P158" s="231"/>
      <c r="Q158" s="231"/>
      <c r="R158" s="231"/>
      <c r="S158" s="231"/>
      <c r="T158" s="231"/>
      <c r="U158" s="231"/>
      <c r="V158" s="231"/>
      <c r="W158" s="231"/>
      <c r="X158" s="231"/>
      <c r="Y158" s="231"/>
      <c r="Z158" s="231"/>
    </row>
    <row r="159">
      <c r="A159" s="231"/>
      <c r="B159" s="231"/>
      <c r="C159" s="231"/>
      <c r="D159" s="231"/>
      <c r="E159" s="231"/>
      <c r="F159" s="231"/>
      <c r="G159" s="231"/>
      <c r="H159" s="231"/>
      <c r="I159" s="231"/>
      <c r="J159" s="231"/>
      <c r="K159" s="231"/>
      <c r="L159" s="231"/>
      <c r="M159" s="231"/>
      <c r="N159" s="231"/>
      <c r="O159" s="231"/>
      <c r="P159" s="231"/>
      <c r="Q159" s="231"/>
      <c r="R159" s="231"/>
      <c r="S159" s="231"/>
      <c r="T159" s="231"/>
      <c r="U159" s="231"/>
      <c r="V159" s="231"/>
      <c r="W159" s="231"/>
      <c r="X159" s="231"/>
      <c r="Y159" s="231"/>
      <c r="Z159" s="231"/>
    </row>
    <row r="160">
      <c r="A160" s="231"/>
      <c r="B160" s="231"/>
      <c r="C160" s="231"/>
      <c r="D160" s="231"/>
      <c r="E160" s="231"/>
      <c r="F160" s="231"/>
      <c r="G160" s="231"/>
      <c r="H160" s="231"/>
      <c r="I160" s="231"/>
      <c r="J160" s="231"/>
      <c r="K160" s="231"/>
      <c r="L160" s="231"/>
      <c r="M160" s="231"/>
      <c r="N160" s="231"/>
      <c r="O160" s="231"/>
      <c r="P160" s="231"/>
      <c r="Q160" s="231"/>
      <c r="R160" s="231"/>
      <c r="S160" s="231"/>
      <c r="T160" s="231"/>
      <c r="U160" s="231"/>
      <c r="V160" s="231"/>
      <c r="W160" s="231"/>
      <c r="X160" s="231"/>
      <c r="Y160" s="231"/>
      <c r="Z160" s="231"/>
    </row>
    <row r="161">
      <c r="A161" s="231"/>
      <c r="B161" s="231"/>
      <c r="C161" s="231"/>
      <c r="D161" s="231"/>
      <c r="E161" s="231"/>
      <c r="F161" s="231"/>
      <c r="G161" s="231"/>
      <c r="H161" s="231"/>
      <c r="I161" s="231"/>
      <c r="J161" s="231"/>
      <c r="K161" s="231"/>
      <c r="L161" s="231"/>
      <c r="M161" s="231"/>
      <c r="N161" s="231"/>
      <c r="O161" s="231"/>
      <c r="P161" s="231"/>
      <c r="Q161" s="231"/>
      <c r="R161" s="231"/>
      <c r="S161" s="231"/>
      <c r="T161" s="231"/>
      <c r="U161" s="231"/>
      <c r="V161" s="231"/>
      <c r="W161" s="231"/>
      <c r="X161" s="231"/>
      <c r="Y161" s="231"/>
      <c r="Z161" s="231"/>
    </row>
    <row r="162">
      <c r="A162" s="231"/>
      <c r="B162" s="231"/>
      <c r="C162" s="231"/>
      <c r="D162" s="231"/>
      <c r="E162" s="231"/>
      <c r="F162" s="231"/>
      <c r="G162" s="231"/>
      <c r="H162" s="231"/>
      <c r="I162" s="231"/>
      <c r="J162" s="231"/>
      <c r="K162" s="231"/>
      <c r="L162" s="231"/>
      <c r="M162" s="231"/>
      <c r="N162" s="231"/>
      <c r="O162" s="231"/>
      <c r="P162" s="231"/>
      <c r="Q162" s="231"/>
      <c r="R162" s="231"/>
      <c r="S162" s="231"/>
      <c r="T162" s="231"/>
      <c r="U162" s="231"/>
      <c r="V162" s="231"/>
      <c r="W162" s="231"/>
      <c r="X162" s="231"/>
      <c r="Y162" s="231"/>
      <c r="Z162" s="231"/>
    </row>
    <row r="163">
      <c r="A163" s="231"/>
      <c r="B163" s="231"/>
      <c r="C163" s="231"/>
      <c r="D163" s="231"/>
      <c r="E163" s="231"/>
      <c r="F163" s="231"/>
      <c r="G163" s="231"/>
      <c r="H163" s="231"/>
      <c r="I163" s="231"/>
      <c r="J163" s="231"/>
      <c r="K163" s="231"/>
      <c r="L163" s="231"/>
      <c r="M163" s="231"/>
      <c r="N163" s="231"/>
      <c r="O163" s="231"/>
      <c r="P163" s="231"/>
      <c r="Q163" s="231"/>
      <c r="R163" s="231"/>
      <c r="S163" s="231"/>
      <c r="T163" s="231"/>
      <c r="U163" s="231"/>
      <c r="V163" s="231"/>
      <c r="W163" s="231"/>
      <c r="X163" s="231"/>
      <c r="Y163" s="231"/>
      <c r="Z163" s="231"/>
    </row>
    <row r="164">
      <c r="A164" s="231"/>
      <c r="B164" s="231"/>
      <c r="C164" s="231"/>
      <c r="D164" s="231"/>
      <c r="E164" s="231"/>
      <c r="F164" s="231"/>
      <c r="G164" s="231"/>
      <c r="H164" s="231"/>
      <c r="I164" s="231"/>
      <c r="J164" s="231"/>
      <c r="K164" s="231"/>
      <c r="L164" s="231"/>
      <c r="M164" s="231"/>
      <c r="N164" s="231"/>
      <c r="O164" s="231"/>
      <c r="P164" s="231"/>
      <c r="Q164" s="231"/>
      <c r="R164" s="231"/>
      <c r="S164" s="231"/>
      <c r="T164" s="231"/>
      <c r="U164" s="231"/>
      <c r="V164" s="231"/>
      <c r="W164" s="231"/>
      <c r="X164" s="231"/>
      <c r="Y164" s="231"/>
      <c r="Z164" s="231"/>
    </row>
    <row r="165">
      <c r="A165" s="231"/>
      <c r="B165" s="231"/>
      <c r="C165" s="231"/>
      <c r="D165" s="231"/>
      <c r="E165" s="231"/>
      <c r="F165" s="231"/>
      <c r="G165" s="231"/>
      <c r="H165" s="231"/>
      <c r="I165" s="231"/>
      <c r="J165" s="231"/>
      <c r="K165" s="231"/>
      <c r="L165" s="231"/>
      <c r="M165" s="231"/>
      <c r="N165" s="231"/>
      <c r="O165" s="231"/>
      <c r="P165" s="231"/>
      <c r="Q165" s="231"/>
      <c r="R165" s="231"/>
      <c r="S165" s="231"/>
      <c r="T165" s="231"/>
      <c r="U165" s="231"/>
      <c r="V165" s="231"/>
      <c r="W165" s="231"/>
      <c r="X165" s="231"/>
      <c r="Y165" s="231"/>
      <c r="Z165" s="231"/>
    </row>
    <row r="166">
      <c r="A166" s="231"/>
      <c r="B166" s="231"/>
      <c r="C166" s="231"/>
      <c r="D166" s="231"/>
      <c r="E166" s="231"/>
      <c r="F166" s="231"/>
      <c r="G166" s="231"/>
      <c r="H166" s="231"/>
      <c r="I166" s="231"/>
      <c r="J166" s="231"/>
      <c r="K166" s="231"/>
      <c r="L166" s="231"/>
      <c r="M166" s="231"/>
      <c r="N166" s="231"/>
      <c r="O166" s="231"/>
      <c r="P166" s="231"/>
      <c r="Q166" s="231"/>
      <c r="R166" s="231"/>
      <c r="S166" s="231"/>
      <c r="T166" s="231"/>
      <c r="U166" s="231"/>
      <c r="V166" s="231"/>
      <c r="W166" s="231"/>
      <c r="X166" s="231"/>
      <c r="Y166" s="231"/>
      <c r="Z166" s="231"/>
    </row>
    <row r="167">
      <c r="A167" s="231"/>
      <c r="B167" s="231"/>
      <c r="C167" s="231"/>
      <c r="D167" s="231"/>
      <c r="E167" s="231"/>
      <c r="F167" s="231"/>
      <c r="G167" s="231"/>
      <c r="H167" s="231"/>
      <c r="I167" s="231"/>
      <c r="J167" s="231"/>
      <c r="K167" s="231"/>
      <c r="L167" s="231"/>
      <c r="M167" s="231"/>
      <c r="N167" s="231"/>
      <c r="O167" s="231"/>
      <c r="P167" s="231"/>
      <c r="Q167" s="231"/>
      <c r="R167" s="231"/>
      <c r="S167" s="231"/>
      <c r="T167" s="231"/>
      <c r="U167" s="231"/>
      <c r="V167" s="231"/>
      <c r="W167" s="231"/>
      <c r="X167" s="231"/>
      <c r="Y167" s="231"/>
      <c r="Z167" s="231"/>
    </row>
    <row r="168">
      <c r="A168" s="231"/>
      <c r="B168" s="231"/>
      <c r="C168" s="231"/>
      <c r="D168" s="231"/>
      <c r="E168" s="231"/>
      <c r="F168" s="231"/>
      <c r="G168" s="231"/>
      <c r="H168" s="231"/>
      <c r="I168" s="231"/>
      <c r="J168" s="231"/>
      <c r="K168" s="231"/>
      <c r="L168" s="231"/>
      <c r="M168" s="231"/>
      <c r="N168" s="231"/>
      <c r="O168" s="231"/>
      <c r="P168" s="231"/>
      <c r="Q168" s="231"/>
      <c r="R168" s="231"/>
      <c r="S168" s="231"/>
      <c r="T168" s="231"/>
      <c r="U168" s="231"/>
      <c r="V168" s="231"/>
      <c r="W168" s="231"/>
      <c r="X168" s="231"/>
      <c r="Y168" s="231"/>
      <c r="Z168" s="231"/>
    </row>
    <row r="169">
      <c r="A169" s="231"/>
      <c r="B169" s="231"/>
      <c r="C169" s="231"/>
      <c r="D169" s="231"/>
      <c r="E169" s="231"/>
      <c r="F169" s="231"/>
      <c r="G169" s="231"/>
      <c r="H169" s="231"/>
      <c r="I169" s="231"/>
      <c r="J169" s="231"/>
      <c r="K169" s="231"/>
      <c r="L169" s="231"/>
      <c r="M169" s="231"/>
      <c r="N169" s="231"/>
      <c r="O169" s="231"/>
      <c r="P169" s="231"/>
      <c r="Q169" s="231"/>
      <c r="R169" s="231"/>
      <c r="S169" s="231"/>
      <c r="T169" s="231"/>
      <c r="U169" s="231"/>
      <c r="V169" s="231"/>
      <c r="W169" s="231"/>
      <c r="X169" s="231"/>
      <c r="Y169" s="231"/>
      <c r="Z169" s="231"/>
    </row>
    <row r="170">
      <c r="A170" s="231"/>
      <c r="B170" s="231"/>
      <c r="C170" s="231"/>
      <c r="D170" s="231"/>
      <c r="E170" s="231"/>
      <c r="F170" s="231"/>
      <c r="G170" s="231"/>
      <c r="H170" s="231"/>
      <c r="I170" s="231"/>
      <c r="J170" s="231"/>
      <c r="K170" s="231"/>
      <c r="L170" s="231"/>
      <c r="M170" s="231"/>
      <c r="N170" s="231"/>
      <c r="O170" s="231"/>
      <c r="P170" s="231"/>
      <c r="Q170" s="231"/>
      <c r="R170" s="231"/>
      <c r="S170" s="231"/>
      <c r="T170" s="231"/>
      <c r="U170" s="231"/>
      <c r="V170" s="231"/>
      <c r="W170" s="231"/>
      <c r="X170" s="231"/>
      <c r="Y170" s="231"/>
      <c r="Z170" s="231"/>
    </row>
    <row r="171">
      <c r="A171" s="231"/>
      <c r="B171" s="231"/>
      <c r="C171" s="231"/>
      <c r="D171" s="231"/>
      <c r="E171" s="231"/>
      <c r="F171" s="231"/>
      <c r="G171" s="231"/>
      <c r="H171" s="231"/>
      <c r="I171" s="231"/>
      <c r="J171" s="231"/>
      <c r="K171" s="231"/>
      <c r="L171" s="231"/>
      <c r="M171" s="231"/>
      <c r="N171" s="231"/>
      <c r="O171" s="231"/>
      <c r="P171" s="231"/>
      <c r="Q171" s="231"/>
      <c r="R171" s="231"/>
      <c r="S171" s="231"/>
      <c r="T171" s="231"/>
      <c r="U171" s="231"/>
      <c r="V171" s="231"/>
      <c r="W171" s="231"/>
      <c r="X171" s="231"/>
      <c r="Y171" s="231"/>
      <c r="Z171" s="231"/>
    </row>
    <row r="172">
      <c r="A172" s="231"/>
      <c r="B172" s="231"/>
      <c r="C172" s="231"/>
      <c r="D172" s="231"/>
      <c r="E172" s="231"/>
      <c r="F172" s="231"/>
      <c r="G172" s="231"/>
      <c r="H172" s="231"/>
      <c r="I172" s="231"/>
      <c r="J172" s="231"/>
      <c r="K172" s="231"/>
      <c r="L172" s="231"/>
      <c r="M172" s="231"/>
      <c r="N172" s="231"/>
      <c r="O172" s="231"/>
      <c r="P172" s="231"/>
      <c r="Q172" s="231"/>
      <c r="R172" s="231"/>
      <c r="S172" s="231"/>
      <c r="T172" s="231"/>
      <c r="U172" s="231"/>
      <c r="V172" s="231"/>
      <c r="W172" s="231"/>
      <c r="X172" s="231"/>
      <c r="Y172" s="231"/>
      <c r="Z172" s="231"/>
    </row>
    <row r="173">
      <c r="A173" s="231"/>
      <c r="B173" s="231"/>
      <c r="C173" s="231"/>
      <c r="D173" s="231"/>
      <c r="E173" s="231"/>
      <c r="F173" s="231"/>
      <c r="G173" s="231"/>
      <c r="H173" s="231"/>
      <c r="I173" s="231"/>
      <c r="J173" s="231"/>
      <c r="K173" s="231"/>
      <c r="L173" s="231"/>
      <c r="M173" s="231"/>
      <c r="N173" s="231"/>
      <c r="O173" s="231"/>
      <c r="P173" s="231"/>
      <c r="Q173" s="231"/>
      <c r="R173" s="231"/>
      <c r="S173" s="231"/>
      <c r="T173" s="231"/>
      <c r="U173" s="231"/>
      <c r="V173" s="231"/>
      <c r="W173" s="231"/>
      <c r="X173" s="231"/>
      <c r="Y173" s="231"/>
      <c r="Z173" s="231"/>
    </row>
    <row r="174">
      <c r="A174" s="231"/>
      <c r="B174" s="231"/>
      <c r="C174" s="231"/>
      <c r="D174" s="231"/>
      <c r="E174" s="231"/>
      <c r="F174" s="231"/>
      <c r="G174" s="231"/>
      <c r="H174" s="231"/>
      <c r="I174" s="231"/>
      <c r="J174" s="231"/>
      <c r="K174" s="231"/>
      <c r="L174" s="231"/>
      <c r="M174" s="231"/>
      <c r="N174" s="231"/>
      <c r="O174" s="231"/>
      <c r="P174" s="231"/>
      <c r="Q174" s="231"/>
      <c r="R174" s="231"/>
      <c r="S174" s="231"/>
      <c r="T174" s="231"/>
      <c r="U174" s="231"/>
      <c r="V174" s="231"/>
      <c r="W174" s="231"/>
      <c r="X174" s="231"/>
      <c r="Y174" s="231"/>
      <c r="Z174" s="231"/>
    </row>
    <row r="175">
      <c r="A175" s="231"/>
      <c r="B175" s="231"/>
      <c r="C175" s="231"/>
      <c r="D175" s="231"/>
      <c r="E175" s="231"/>
      <c r="F175" s="231"/>
      <c r="G175" s="231"/>
      <c r="H175" s="231"/>
      <c r="I175" s="231"/>
      <c r="J175" s="231"/>
      <c r="K175" s="231"/>
      <c r="L175" s="231"/>
      <c r="M175" s="231"/>
      <c r="N175" s="231"/>
      <c r="O175" s="231"/>
      <c r="P175" s="231"/>
      <c r="Q175" s="231"/>
      <c r="R175" s="231"/>
      <c r="S175" s="231"/>
      <c r="T175" s="231"/>
      <c r="U175" s="231"/>
      <c r="V175" s="231"/>
      <c r="W175" s="231"/>
      <c r="X175" s="231"/>
      <c r="Y175" s="231"/>
      <c r="Z175" s="231"/>
    </row>
    <row r="176">
      <c r="A176" s="231"/>
      <c r="B176" s="231"/>
      <c r="C176" s="231"/>
      <c r="D176" s="231"/>
      <c r="E176" s="231"/>
      <c r="F176" s="231"/>
      <c r="G176" s="231"/>
      <c r="H176" s="231"/>
      <c r="I176" s="231"/>
      <c r="J176" s="231"/>
      <c r="K176" s="231"/>
      <c r="L176" s="231"/>
      <c r="M176" s="231"/>
      <c r="N176" s="231"/>
      <c r="O176" s="231"/>
      <c r="P176" s="231"/>
      <c r="Q176" s="231"/>
      <c r="R176" s="231"/>
      <c r="S176" s="231"/>
      <c r="T176" s="231"/>
      <c r="U176" s="231"/>
      <c r="V176" s="231"/>
      <c r="W176" s="231"/>
      <c r="X176" s="231"/>
      <c r="Y176" s="231"/>
      <c r="Z176" s="231"/>
    </row>
    <row r="177">
      <c r="A177" s="231"/>
      <c r="B177" s="231"/>
      <c r="C177" s="231"/>
      <c r="D177" s="231"/>
      <c r="E177" s="231"/>
      <c r="F177" s="231"/>
      <c r="G177" s="231"/>
      <c r="H177" s="231"/>
      <c r="I177" s="231"/>
      <c r="J177" s="231"/>
      <c r="K177" s="231"/>
      <c r="L177" s="231"/>
      <c r="M177" s="231"/>
      <c r="N177" s="231"/>
      <c r="O177" s="231"/>
      <c r="P177" s="231"/>
      <c r="Q177" s="231"/>
      <c r="R177" s="231"/>
      <c r="S177" s="231"/>
      <c r="T177" s="231"/>
      <c r="U177" s="231"/>
      <c r="V177" s="231"/>
      <c r="W177" s="231"/>
      <c r="X177" s="231"/>
      <c r="Y177" s="231"/>
      <c r="Z177" s="231"/>
    </row>
    <row r="178">
      <c r="A178" s="231"/>
      <c r="B178" s="231"/>
      <c r="C178" s="231"/>
      <c r="D178" s="231"/>
      <c r="E178" s="231"/>
      <c r="F178" s="231"/>
      <c r="G178" s="231"/>
      <c r="H178" s="231"/>
      <c r="I178" s="231"/>
      <c r="J178" s="231"/>
      <c r="K178" s="231"/>
      <c r="L178" s="231"/>
      <c r="M178" s="231"/>
      <c r="N178" s="231"/>
      <c r="O178" s="231"/>
      <c r="P178" s="231"/>
      <c r="Q178" s="231"/>
      <c r="R178" s="231"/>
      <c r="S178" s="231"/>
      <c r="T178" s="231"/>
      <c r="U178" s="231"/>
      <c r="V178" s="231"/>
      <c r="W178" s="231"/>
      <c r="X178" s="231"/>
      <c r="Y178" s="231"/>
      <c r="Z178" s="231"/>
    </row>
    <row r="179">
      <c r="A179" s="231"/>
      <c r="B179" s="231"/>
      <c r="C179" s="231"/>
      <c r="D179" s="231"/>
      <c r="E179" s="231"/>
      <c r="F179" s="231"/>
      <c r="G179" s="231"/>
      <c r="H179" s="231"/>
      <c r="I179" s="231"/>
      <c r="J179" s="231"/>
      <c r="K179" s="231"/>
      <c r="L179" s="231"/>
      <c r="M179" s="231"/>
      <c r="N179" s="231"/>
      <c r="O179" s="231"/>
      <c r="P179" s="231"/>
      <c r="Q179" s="231"/>
      <c r="R179" s="231"/>
      <c r="S179" s="231"/>
      <c r="T179" s="231"/>
      <c r="U179" s="231"/>
      <c r="V179" s="231"/>
      <c r="W179" s="231"/>
      <c r="X179" s="231"/>
      <c r="Y179" s="231"/>
      <c r="Z179" s="231"/>
    </row>
    <row r="180">
      <c r="A180" s="231"/>
      <c r="B180" s="231"/>
      <c r="C180" s="231"/>
      <c r="D180" s="231"/>
      <c r="E180" s="231"/>
      <c r="F180" s="231"/>
      <c r="G180" s="231"/>
      <c r="H180" s="231"/>
      <c r="I180" s="231"/>
      <c r="J180" s="231"/>
      <c r="K180" s="231"/>
      <c r="L180" s="231"/>
      <c r="M180" s="231"/>
      <c r="N180" s="231"/>
      <c r="O180" s="231"/>
      <c r="P180" s="231"/>
      <c r="Q180" s="231"/>
      <c r="R180" s="231"/>
      <c r="S180" s="231"/>
      <c r="T180" s="231"/>
      <c r="U180" s="231"/>
      <c r="V180" s="231"/>
      <c r="W180" s="231"/>
      <c r="X180" s="231"/>
      <c r="Y180" s="231"/>
      <c r="Z180" s="231"/>
    </row>
    <row r="181">
      <c r="A181" s="231"/>
      <c r="B181" s="231"/>
      <c r="C181" s="231"/>
      <c r="D181" s="231"/>
      <c r="E181" s="231"/>
      <c r="F181" s="231"/>
      <c r="G181" s="231"/>
      <c r="H181" s="231"/>
      <c r="I181" s="231"/>
      <c r="J181" s="231"/>
      <c r="K181" s="231"/>
      <c r="L181" s="231"/>
      <c r="M181" s="231"/>
      <c r="N181" s="231"/>
      <c r="O181" s="231"/>
      <c r="P181" s="231"/>
      <c r="Q181" s="231"/>
      <c r="R181" s="231"/>
      <c r="S181" s="231"/>
      <c r="T181" s="231"/>
      <c r="U181" s="231"/>
      <c r="V181" s="231"/>
      <c r="W181" s="231"/>
      <c r="X181" s="231"/>
      <c r="Y181" s="231"/>
      <c r="Z181" s="231"/>
    </row>
    <row r="182">
      <c r="A182" s="231"/>
      <c r="B182" s="231"/>
      <c r="C182" s="231"/>
      <c r="D182" s="231"/>
      <c r="E182" s="231"/>
      <c r="F182" s="231"/>
      <c r="G182" s="231"/>
      <c r="H182" s="231"/>
      <c r="I182" s="231"/>
      <c r="J182" s="231"/>
      <c r="K182" s="231"/>
      <c r="L182" s="231"/>
      <c r="M182" s="231"/>
      <c r="N182" s="231"/>
      <c r="O182" s="231"/>
      <c r="P182" s="231"/>
      <c r="Q182" s="231"/>
      <c r="R182" s="231"/>
      <c r="S182" s="231"/>
      <c r="T182" s="231"/>
      <c r="U182" s="231"/>
      <c r="V182" s="231"/>
      <c r="W182" s="231"/>
      <c r="X182" s="231"/>
      <c r="Y182" s="231"/>
      <c r="Z182" s="231"/>
    </row>
    <row r="183">
      <c r="A183" s="231"/>
      <c r="B183" s="231"/>
      <c r="C183" s="231"/>
      <c r="D183" s="231"/>
      <c r="E183" s="231"/>
      <c r="F183" s="231"/>
      <c r="G183" s="231"/>
      <c r="H183" s="231"/>
      <c r="I183" s="231"/>
      <c r="J183" s="231"/>
      <c r="K183" s="231"/>
      <c r="L183" s="231"/>
      <c r="M183" s="231"/>
      <c r="N183" s="231"/>
      <c r="O183" s="231"/>
      <c r="P183" s="231"/>
      <c r="Q183" s="231"/>
      <c r="R183" s="231"/>
      <c r="S183" s="231"/>
      <c r="T183" s="231"/>
      <c r="U183" s="231"/>
      <c r="V183" s="231"/>
      <c r="W183" s="231"/>
      <c r="X183" s="231"/>
      <c r="Y183" s="231"/>
      <c r="Z183" s="231"/>
    </row>
    <row r="184">
      <c r="A184" s="231"/>
      <c r="B184" s="231"/>
      <c r="C184" s="231"/>
      <c r="D184" s="231"/>
      <c r="E184" s="231"/>
      <c r="F184" s="231"/>
      <c r="G184" s="231"/>
      <c r="H184" s="231"/>
      <c r="I184" s="231"/>
      <c r="J184" s="231"/>
      <c r="K184" s="231"/>
      <c r="L184" s="231"/>
      <c r="M184" s="231"/>
      <c r="N184" s="231"/>
      <c r="O184" s="231"/>
      <c r="P184" s="231"/>
      <c r="Q184" s="231"/>
      <c r="R184" s="231"/>
      <c r="S184" s="231"/>
      <c r="T184" s="231"/>
      <c r="U184" s="231"/>
      <c r="V184" s="231"/>
      <c r="W184" s="231"/>
      <c r="X184" s="231"/>
      <c r="Y184" s="231"/>
      <c r="Z184" s="231"/>
    </row>
    <row r="185">
      <c r="A185" s="231"/>
      <c r="B185" s="231"/>
      <c r="C185" s="231"/>
      <c r="D185" s="231"/>
      <c r="E185" s="231"/>
      <c r="F185" s="231"/>
      <c r="G185" s="231"/>
      <c r="H185" s="231"/>
      <c r="I185" s="231"/>
      <c r="J185" s="231"/>
      <c r="K185" s="231"/>
      <c r="L185" s="231"/>
      <c r="M185" s="231"/>
      <c r="N185" s="231"/>
      <c r="O185" s="231"/>
      <c r="P185" s="231"/>
      <c r="Q185" s="231"/>
      <c r="R185" s="231"/>
      <c r="S185" s="231"/>
      <c r="T185" s="231"/>
      <c r="U185" s="231"/>
      <c r="V185" s="231"/>
      <c r="W185" s="231"/>
      <c r="X185" s="231"/>
      <c r="Y185" s="231"/>
      <c r="Z185" s="231"/>
    </row>
    <row r="186">
      <c r="A186" s="231"/>
      <c r="B186" s="231"/>
      <c r="C186" s="231"/>
      <c r="D186" s="231"/>
      <c r="E186" s="231"/>
      <c r="F186" s="231"/>
      <c r="G186" s="231"/>
      <c r="H186" s="231"/>
      <c r="I186" s="231"/>
      <c r="J186" s="231"/>
      <c r="K186" s="231"/>
      <c r="L186" s="231"/>
      <c r="M186" s="231"/>
      <c r="N186" s="231"/>
      <c r="O186" s="231"/>
      <c r="P186" s="231"/>
      <c r="Q186" s="231"/>
      <c r="R186" s="231"/>
      <c r="S186" s="231"/>
      <c r="T186" s="231"/>
      <c r="U186" s="231"/>
      <c r="V186" s="231"/>
      <c r="W186" s="231"/>
      <c r="X186" s="231"/>
      <c r="Y186" s="231"/>
      <c r="Z186" s="231"/>
    </row>
    <row r="187">
      <c r="A187" s="231"/>
      <c r="B187" s="231"/>
      <c r="C187" s="231"/>
      <c r="D187" s="231"/>
      <c r="E187" s="231"/>
      <c r="F187" s="231"/>
      <c r="G187" s="231"/>
      <c r="H187" s="231"/>
      <c r="I187" s="231"/>
      <c r="J187" s="231"/>
      <c r="K187" s="231"/>
      <c r="L187" s="231"/>
      <c r="M187" s="231"/>
      <c r="N187" s="231"/>
      <c r="O187" s="231"/>
      <c r="P187" s="231"/>
      <c r="Q187" s="231"/>
      <c r="R187" s="231"/>
      <c r="S187" s="231"/>
      <c r="T187" s="231"/>
      <c r="U187" s="231"/>
      <c r="V187" s="231"/>
      <c r="W187" s="231"/>
      <c r="X187" s="231"/>
      <c r="Y187" s="231"/>
      <c r="Z187" s="231"/>
    </row>
    <row r="188">
      <c r="A188" s="231"/>
      <c r="B188" s="231"/>
      <c r="C188" s="231"/>
      <c r="D188" s="231"/>
      <c r="E188" s="231"/>
      <c r="F188" s="231"/>
      <c r="G188" s="231"/>
      <c r="H188" s="231"/>
      <c r="I188" s="231"/>
      <c r="J188" s="231"/>
      <c r="K188" s="231"/>
      <c r="L188" s="231"/>
      <c r="M188" s="231"/>
      <c r="N188" s="231"/>
      <c r="O188" s="231"/>
      <c r="P188" s="231"/>
      <c r="Q188" s="231"/>
      <c r="R188" s="231"/>
      <c r="S188" s="231"/>
      <c r="T188" s="231"/>
      <c r="U188" s="231"/>
      <c r="V188" s="231"/>
      <c r="W188" s="231"/>
      <c r="X188" s="231"/>
      <c r="Y188" s="231"/>
      <c r="Z188" s="231"/>
    </row>
    <row r="189">
      <c r="A189" s="231"/>
      <c r="B189" s="231"/>
      <c r="C189" s="231"/>
      <c r="D189" s="231"/>
      <c r="E189" s="231"/>
      <c r="F189" s="231"/>
      <c r="G189" s="231"/>
      <c r="H189" s="231"/>
      <c r="I189" s="231"/>
      <c r="J189" s="231"/>
      <c r="K189" s="231"/>
      <c r="L189" s="231"/>
      <c r="M189" s="231"/>
      <c r="N189" s="231"/>
      <c r="O189" s="231"/>
      <c r="P189" s="231"/>
      <c r="Q189" s="231"/>
      <c r="R189" s="231"/>
      <c r="S189" s="231"/>
      <c r="T189" s="231"/>
      <c r="U189" s="231"/>
      <c r="V189" s="231"/>
      <c r="W189" s="231"/>
      <c r="X189" s="231"/>
      <c r="Y189" s="231"/>
      <c r="Z189" s="231"/>
    </row>
    <row r="190">
      <c r="A190" s="231"/>
      <c r="B190" s="231"/>
      <c r="C190" s="231"/>
      <c r="D190" s="231"/>
      <c r="E190" s="231"/>
      <c r="F190" s="231"/>
      <c r="G190" s="231"/>
      <c r="H190" s="231"/>
      <c r="I190" s="231"/>
      <c r="J190" s="231"/>
      <c r="K190" s="231"/>
      <c r="L190" s="231"/>
      <c r="M190" s="231"/>
      <c r="N190" s="231"/>
      <c r="O190" s="231"/>
      <c r="P190" s="231"/>
      <c r="Q190" s="231"/>
      <c r="R190" s="231"/>
      <c r="S190" s="231"/>
      <c r="T190" s="231"/>
      <c r="U190" s="231"/>
      <c r="V190" s="231"/>
      <c r="W190" s="231"/>
      <c r="X190" s="231"/>
      <c r="Y190" s="231"/>
      <c r="Z190" s="231"/>
    </row>
    <row r="191">
      <c r="A191" s="231"/>
      <c r="B191" s="231"/>
      <c r="C191" s="231"/>
      <c r="D191" s="231"/>
      <c r="E191" s="231"/>
      <c r="F191" s="231"/>
      <c r="G191" s="231"/>
      <c r="H191" s="231"/>
      <c r="I191" s="231"/>
      <c r="J191" s="231"/>
      <c r="K191" s="231"/>
      <c r="L191" s="231"/>
      <c r="M191" s="231"/>
      <c r="N191" s="231"/>
      <c r="O191" s="231"/>
      <c r="P191" s="231"/>
      <c r="Q191" s="231"/>
      <c r="R191" s="231"/>
      <c r="S191" s="231"/>
      <c r="T191" s="231"/>
      <c r="U191" s="231"/>
      <c r="V191" s="231"/>
      <c r="W191" s="231"/>
      <c r="X191" s="231"/>
      <c r="Y191" s="231"/>
      <c r="Z191" s="231"/>
    </row>
    <row r="192">
      <c r="A192" s="231"/>
      <c r="B192" s="231"/>
      <c r="C192" s="231"/>
      <c r="D192" s="231"/>
      <c r="E192" s="231"/>
      <c r="F192" s="231"/>
      <c r="G192" s="231"/>
      <c r="H192" s="231"/>
      <c r="I192" s="231"/>
      <c r="J192" s="231"/>
      <c r="K192" s="231"/>
      <c r="L192" s="231"/>
      <c r="M192" s="231"/>
      <c r="N192" s="231"/>
      <c r="O192" s="231"/>
      <c r="P192" s="231"/>
      <c r="Q192" s="231"/>
      <c r="R192" s="231"/>
      <c r="S192" s="231"/>
      <c r="T192" s="231"/>
      <c r="U192" s="231"/>
      <c r="V192" s="231"/>
      <c r="W192" s="231"/>
      <c r="X192" s="231"/>
      <c r="Y192" s="231"/>
      <c r="Z192" s="231"/>
    </row>
    <row r="193">
      <c r="A193" s="231"/>
      <c r="B193" s="231"/>
      <c r="C193" s="231"/>
      <c r="D193" s="231"/>
      <c r="E193" s="231"/>
      <c r="F193" s="231"/>
      <c r="G193" s="231"/>
      <c r="H193" s="231"/>
      <c r="I193" s="231"/>
      <c r="J193" s="231"/>
      <c r="K193" s="231"/>
      <c r="L193" s="231"/>
      <c r="M193" s="231"/>
      <c r="N193" s="231"/>
      <c r="O193" s="231"/>
      <c r="P193" s="231"/>
      <c r="Q193" s="231"/>
      <c r="R193" s="231"/>
      <c r="S193" s="231"/>
      <c r="T193" s="231"/>
      <c r="U193" s="231"/>
      <c r="V193" s="231"/>
      <c r="W193" s="231"/>
      <c r="X193" s="231"/>
      <c r="Y193" s="231"/>
      <c r="Z193" s="231"/>
    </row>
    <row r="194">
      <c r="A194" s="231"/>
      <c r="B194" s="231"/>
      <c r="C194" s="231"/>
      <c r="D194" s="231"/>
      <c r="E194" s="231"/>
      <c r="F194" s="231"/>
      <c r="G194" s="231"/>
      <c r="H194" s="231"/>
      <c r="I194" s="231"/>
      <c r="J194" s="231"/>
      <c r="K194" s="231"/>
      <c r="L194" s="231"/>
      <c r="M194" s="231"/>
      <c r="N194" s="231"/>
      <c r="O194" s="231"/>
      <c r="P194" s="231"/>
      <c r="Q194" s="231"/>
      <c r="R194" s="231"/>
      <c r="S194" s="231"/>
      <c r="T194" s="231"/>
      <c r="U194" s="231"/>
      <c r="V194" s="231"/>
      <c r="W194" s="231"/>
      <c r="X194" s="231"/>
      <c r="Y194" s="231"/>
      <c r="Z194" s="231"/>
    </row>
    <row r="195">
      <c r="A195" s="231"/>
      <c r="B195" s="231"/>
      <c r="C195" s="231"/>
      <c r="D195" s="231"/>
      <c r="E195" s="231"/>
      <c r="F195" s="231"/>
      <c r="G195" s="231"/>
      <c r="H195" s="231"/>
      <c r="I195" s="231"/>
      <c r="J195" s="231"/>
      <c r="K195" s="231"/>
      <c r="L195" s="231"/>
      <c r="M195" s="231"/>
      <c r="N195" s="231"/>
      <c r="O195" s="231"/>
      <c r="P195" s="231"/>
      <c r="Q195" s="231"/>
      <c r="R195" s="231"/>
      <c r="S195" s="231"/>
      <c r="T195" s="231"/>
      <c r="U195" s="231"/>
      <c r="V195" s="231"/>
      <c r="W195" s="231"/>
      <c r="X195" s="231"/>
      <c r="Y195" s="231"/>
      <c r="Z195" s="231"/>
    </row>
    <row r="196">
      <c r="A196" s="231"/>
      <c r="B196" s="231"/>
      <c r="C196" s="231"/>
      <c r="D196" s="231"/>
      <c r="E196" s="231"/>
      <c r="F196" s="231"/>
      <c r="G196" s="231"/>
      <c r="H196" s="231"/>
      <c r="I196" s="231"/>
      <c r="J196" s="231"/>
      <c r="K196" s="231"/>
      <c r="L196" s="231"/>
      <c r="M196" s="231"/>
      <c r="N196" s="231"/>
      <c r="O196" s="231"/>
      <c r="P196" s="231"/>
      <c r="Q196" s="231"/>
      <c r="R196" s="231"/>
      <c r="S196" s="231"/>
      <c r="T196" s="231"/>
      <c r="U196" s="231"/>
      <c r="V196" s="231"/>
      <c r="W196" s="231"/>
      <c r="X196" s="231"/>
      <c r="Y196" s="231"/>
      <c r="Z196" s="231"/>
    </row>
    <row r="197">
      <c r="A197" s="231"/>
      <c r="B197" s="231"/>
      <c r="C197" s="231"/>
      <c r="D197" s="231"/>
      <c r="E197" s="231"/>
      <c r="F197" s="231"/>
      <c r="G197" s="231"/>
      <c r="H197" s="231"/>
      <c r="I197" s="231"/>
      <c r="J197" s="231"/>
      <c r="K197" s="231"/>
      <c r="L197" s="231"/>
      <c r="M197" s="231"/>
      <c r="N197" s="231"/>
      <c r="O197" s="231"/>
      <c r="P197" s="231"/>
      <c r="Q197" s="231"/>
      <c r="R197" s="231"/>
      <c r="S197" s="231"/>
      <c r="T197" s="231"/>
      <c r="U197" s="231"/>
      <c r="V197" s="231"/>
      <c r="W197" s="231"/>
      <c r="X197" s="231"/>
      <c r="Y197" s="231"/>
      <c r="Z197" s="231"/>
    </row>
    <row r="198">
      <c r="A198" s="231"/>
      <c r="B198" s="231"/>
      <c r="C198" s="231"/>
      <c r="D198" s="231"/>
      <c r="E198" s="231"/>
      <c r="F198" s="231"/>
      <c r="G198" s="231"/>
      <c r="H198" s="231"/>
      <c r="I198" s="231"/>
      <c r="J198" s="231"/>
      <c r="K198" s="231"/>
      <c r="L198" s="231"/>
      <c r="M198" s="231"/>
      <c r="N198" s="231"/>
      <c r="O198" s="231"/>
      <c r="P198" s="231"/>
      <c r="Q198" s="231"/>
      <c r="R198" s="231"/>
      <c r="S198" s="231"/>
      <c r="T198" s="231"/>
      <c r="U198" s="231"/>
      <c r="V198" s="231"/>
      <c r="W198" s="231"/>
      <c r="X198" s="231"/>
      <c r="Y198" s="231"/>
      <c r="Z198" s="231"/>
    </row>
    <row r="199">
      <c r="A199" s="231"/>
      <c r="B199" s="231"/>
      <c r="C199" s="231"/>
      <c r="D199" s="231"/>
      <c r="E199" s="231"/>
      <c r="F199" s="231"/>
      <c r="G199" s="231"/>
      <c r="H199" s="231"/>
      <c r="I199" s="231"/>
      <c r="J199" s="231"/>
      <c r="K199" s="231"/>
      <c r="L199" s="231"/>
      <c r="M199" s="231"/>
      <c r="N199" s="231"/>
      <c r="O199" s="231"/>
      <c r="P199" s="231"/>
      <c r="Q199" s="231"/>
      <c r="R199" s="231"/>
      <c r="S199" s="231"/>
      <c r="T199" s="231"/>
      <c r="U199" s="231"/>
      <c r="V199" s="231"/>
      <c r="W199" s="231"/>
      <c r="X199" s="231"/>
      <c r="Y199" s="231"/>
      <c r="Z199" s="231"/>
    </row>
    <row r="200">
      <c r="A200" s="231"/>
      <c r="B200" s="231"/>
      <c r="C200" s="231"/>
      <c r="D200" s="231"/>
      <c r="E200" s="231"/>
      <c r="F200" s="231"/>
      <c r="G200" s="231"/>
      <c r="H200" s="231"/>
      <c r="I200" s="231"/>
      <c r="J200" s="231"/>
      <c r="K200" s="231"/>
      <c r="L200" s="231"/>
      <c r="M200" s="231"/>
      <c r="N200" s="231"/>
      <c r="O200" s="231"/>
      <c r="P200" s="231"/>
      <c r="Q200" s="231"/>
      <c r="R200" s="231"/>
      <c r="S200" s="231"/>
      <c r="T200" s="231"/>
      <c r="U200" s="231"/>
      <c r="V200" s="231"/>
      <c r="W200" s="231"/>
      <c r="X200" s="231"/>
      <c r="Y200" s="231"/>
      <c r="Z200" s="231"/>
    </row>
    <row r="201">
      <c r="A201" s="231"/>
      <c r="B201" s="231"/>
      <c r="C201" s="231"/>
      <c r="D201" s="231"/>
      <c r="E201" s="231"/>
      <c r="F201" s="231"/>
      <c r="G201" s="231"/>
      <c r="H201" s="231"/>
      <c r="I201" s="231"/>
      <c r="J201" s="231"/>
      <c r="K201" s="231"/>
      <c r="L201" s="231"/>
      <c r="M201" s="231"/>
      <c r="N201" s="231"/>
      <c r="O201" s="231"/>
      <c r="P201" s="231"/>
      <c r="Q201" s="231"/>
      <c r="R201" s="231"/>
      <c r="S201" s="231"/>
      <c r="T201" s="231"/>
      <c r="U201" s="231"/>
      <c r="V201" s="231"/>
      <c r="W201" s="231"/>
      <c r="X201" s="231"/>
      <c r="Y201" s="231"/>
      <c r="Z201" s="231"/>
    </row>
    <row r="202">
      <c r="A202" s="231"/>
      <c r="B202" s="231"/>
      <c r="C202" s="231"/>
      <c r="D202" s="231"/>
      <c r="E202" s="231"/>
      <c r="F202" s="231"/>
      <c r="G202" s="231"/>
      <c r="H202" s="231"/>
      <c r="I202" s="231"/>
      <c r="J202" s="231"/>
      <c r="K202" s="231"/>
      <c r="L202" s="231"/>
      <c r="M202" s="231"/>
      <c r="N202" s="231"/>
      <c r="O202" s="231"/>
      <c r="P202" s="231"/>
      <c r="Q202" s="231"/>
      <c r="R202" s="231"/>
      <c r="S202" s="231"/>
      <c r="T202" s="231"/>
      <c r="U202" s="231"/>
      <c r="V202" s="231"/>
      <c r="W202" s="231"/>
      <c r="X202" s="231"/>
      <c r="Y202" s="231"/>
      <c r="Z202" s="231"/>
    </row>
    <row r="203">
      <c r="A203" s="231"/>
      <c r="B203" s="231"/>
      <c r="C203" s="231"/>
      <c r="D203" s="231"/>
      <c r="E203" s="231"/>
      <c r="F203" s="231"/>
      <c r="G203" s="231"/>
      <c r="H203" s="231"/>
      <c r="I203" s="231"/>
      <c r="J203" s="231"/>
      <c r="K203" s="231"/>
      <c r="L203" s="231"/>
      <c r="M203" s="231"/>
      <c r="N203" s="231"/>
      <c r="O203" s="231"/>
      <c r="P203" s="231"/>
      <c r="Q203" s="231"/>
      <c r="R203" s="231"/>
      <c r="S203" s="231"/>
      <c r="T203" s="231"/>
      <c r="U203" s="231"/>
      <c r="V203" s="231"/>
      <c r="W203" s="231"/>
      <c r="X203" s="231"/>
      <c r="Y203" s="231"/>
      <c r="Z203" s="231"/>
    </row>
    <row r="204">
      <c r="A204" s="231"/>
      <c r="B204" s="231"/>
      <c r="C204" s="231"/>
      <c r="D204" s="231"/>
      <c r="E204" s="231"/>
      <c r="F204" s="231"/>
      <c r="G204" s="231"/>
      <c r="H204" s="231"/>
      <c r="I204" s="231"/>
      <c r="J204" s="231"/>
      <c r="K204" s="231"/>
      <c r="L204" s="231"/>
      <c r="M204" s="231"/>
      <c r="N204" s="231"/>
      <c r="O204" s="231"/>
      <c r="P204" s="231"/>
      <c r="Q204" s="231"/>
      <c r="R204" s="231"/>
      <c r="S204" s="231"/>
      <c r="T204" s="231"/>
      <c r="U204" s="231"/>
      <c r="V204" s="231"/>
      <c r="W204" s="231"/>
      <c r="X204" s="231"/>
      <c r="Y204" s="231"/>
      <c r="Z204" s="231"/>
    </row>
    <row r="205">
      <c r="A205" s="231"/>
      <c r="B205" s="231"/>
      <c r="C205" s="231"/>
      <c r="D205" s="231"/>
      <c r="E205" s="231"/>
      <c r="F205" s="231"/>
      <c r="G205" s="231"/>
      <c r="H205" s="231"/>
      <c r="I205" s="231"/>
      <c r="J205" s="231"/>
      <c r="K205" s="231"/>
      <c r="L205" s="231"/>
      <c r="M205" s="231"/>
      <c r="N205" s="231"/>
      <c r="O205" s="231"/>
      <c r="P205" s="231"/>
      <c r="Q205" s="231"/>
      <c r="R205" s="231"/>
      <c r="S205" s="231"/>
      <c r="T205" s="231"/>
      <c r="U205" s="231"/>
      <c r="V205" s="231"/>
      <c r="W205" s="231"/>
      <c r="X205" s="231"/>
      <c r="Y205" s="231"/>
      <c r="Z205" s="231"/>
    </row>
    <row r="206">
      <c r="A206" s="231"/>
      <c r="B206" s="231"/>
      <c r="C206" s="231"/>
      <c r="D206" s="231"/>
      <c r="E206" s="231"/>
      <c r="F206" s="231"/>
      <c r="G206" s="231"/>
      <c r="H206" s="231"/>
      <c r="I206" s="231"/>
      <c r="J206" s="231"/>
      <c r="K206" s="231"/>
      <c r="L206" s="231"/>
      <c r="M206" s="231"/>
      <c r="N206" s="231"/>
      <c r="O206" s="231"/>
      <c r="P206" s="231"/>
      <c r="Q206" s="231"/>
      <c r="R206" s="231"/>
      <c r="S206" s="231"/>
      <c r="T206" s="231"/>
      <c r="U206" s="231"/>
      <c r="V206" s="231"/>
      <c r="W206" s="231"/>
      <c r="X206" s="231"/>
      <c r="Y206" s="231"/>
      <c r="Z206" s="231"/>
    </row>
    <row r="207">
      <c r="A207" s="231"/>
      <c r="B207" s="231"/>
      <c r="C207" s="231"/>
      <c r="D207" s="231"/>
      <c r="E207" s="231"/>
      <c r="F207" s="231"/>
      <c r="G207" s="231"/>
      <c r="H207" s="231"/>
      <c r="I207" s="231"/>
      <c r="J207" s="231"/>
      <c r="K207" s="231"/>
      <c r="L207" s="231"/>
      <c r="M207" s="231"/>
      <c r="N207" s="231"/>
      <c r="O207" s="231"/>
      <c r="P207" s="231"/>
      <c r="Q207" s="231"/>
      <c r="R207" s="231"/>
      <c r="S207" s="231"/>
      <c r="T207" s="231"/>
      <c r="U207" s="231"/>
      <c r="V207" s="231"/>
      <c r="W207" s="231"/>
      <c r="X207" s="231"/>
      <c r="Y207" s="231"/>
      <c r="Z207" s="231"/>
    </row>
    <row r="208">
      <c r="A208" s="231"/>
      <c r="B208" s="231"/>
      <c r="C208" s="231"/>
      <c r="D208" s="231"/>
      <c r="E208" s="231"/>
      <c r="F208" s="231"/>
      <c r="G208" s="231"/>
      <c r="H208" s="231"/>
      <c r="I208" s="231"/>
      <c r="J208" s="231"/>
      <c r="K208" s="231"/>
      <c r="L208" s="231"/>
      <c r="M208" s="231"/>
      <c r="N208" s="231"/>
      <c r="O208" s="231"/>
      <c r="P208" s="231"/>
      <c r="Q208" s="231"/>
      <c r="R208" s="231"/>
      <c r="S208" s="231"/>
      <c r="T208" s="231"/>
      <c r="U208" s="231"/>
      <c r="V208" s="231"/>
      <c r="W208" s="231"/>
      <c r="X208" s="231"/>
      <c r="Y208" s="231"/>
      <c r="Z208" s="231"/>
    </row>
    <row r="209">
      <c r="A209" s="231"/>
      <c r="B209" s="231"/>
      <c r="C209" s="231"/>
      <c r="D209" s="231"/>
      <c r="E209" s="231"/>
      <c r="F209" s="231"/>
      <c r="G209" s="231"/>
      <c r="H209" s="231"/>
      <c r="I209" s="231"/>
      <c r="J209" s="231"/>
      <c r="K209" s="231"/>
      <c r="L209" s="231"/>
      <c r="M209" s="231"/>
      <c r="N209" s="231"/>
      <c r="O209" s="231"/>
      <c r="P209" s="231"/>
      <c r="Q209" s="231"/>
      <c r="R209" s="231"/>
      <c r="S209" s="231"/>
      <c r="T209" s="231"/>
      <c r="U209" s="231"/>
      <c r="V209" s="231"/>
      <c r="W209" s="231"/>
      <c r="X209" s="231"/>
      <c r="Y209" s="231"/>
      <c r="Z209" s="231"/>
    </row>
    <row r="210">
      <c r="A210" s="231"/>
      <c r="B210" s="231"/>
      <c r="C210" s="231"/>
      <c r="D210" s="231"/>
      <c r="E210" s="231"/>
      <c r="F210" s="231"/>
      <c r="G210" s="231"/>
      <c r="H210" s="231"/>
      <c r="I210" s="231"/>
      <c r="J210" s="231"/>
      <c r="K210" s="231"/>
      <c r="L210" s="231"/>
      <c r="M210" s="231"/>
      <c r="N210" s="231"/>
      <c r="O210" s="231"/>
      <c r="P210" s="231"/>
      <c r="Q210" s="231"/>
      <c r="R210" s="231"/>
      <c r="S210" s="231"/>
      <c r="T210" s="231"/>
      <c r="U210" s="231"/>
      <c r="V210" s="231"/>
      <c r="W210" s="231"/>
      <c r="X210" s="231"/>
      <c r="Y210" s="231"/>
      <c r="Z210" s="231"/>
    </row>
    <row r="211">
      <c r="A211" s="231"/>
      <c r="B211" s="231"/>
      <c r="C211" s="231"/>
      <c r="D211" s="231"/>
      <c r="E211" s="231"/>
      <c r="F211" s="231"/>
      <c r="G211" s="231"/>
      <c r="H211" s="231"/>
      <c r="I211" s="231"/>
      <c r="J211" s="231"/>
      <c r="K211" s="231"/>
      <c r="L211" s="231"/>
      <c r="M211" s="231"/>
      <c r="N211" s="231"/>
      <c r="O211" s="231"/>
      <c r="P211" s="231"/>
      <c r="Q211" s="231"/>
      <c r="R211" s="231"/>
      <c r="S211" s="231"/>
      <c r="T211" s="231"/>
      <c r="U211" s="231"/>
      <c r="V211" s="231"/>
      <c r="W211" s="231"/>
      <c r="X211" s="231"/>
      <c r="Y211" s="231"/>
      <c r="Z211" s="231"/>
    </row>
    <row r="212">
      <c r="A212" s="231"/>
      <c r="B212" s="231"/>
      <c r="C212" s="231"/>
      <c r="D212" s="231"/>
      <c r="E212" s="231"/>
      <c r="F212" s="231"/>
      <c r="G212" s="231"/>
      <c r="H212" s="231"/>
      <c r="I212" s="231"/>
      <c r="J212" s="231"/>
      <c r="K212" s="231"/>
      <c r="L212" s="231"/>
      <c r="M212" s="231"/>
      <c r="N212" s="231"/>
      <c r="O212" s="231"/>
      <c r="P212" s="231"/>
      <c r="Q212" s="231"/>
      <c r="R212" s="231"/>
      <c r="S212" s="231"/>
      <c r="T212" s="231"/>
      <c r="U212" s="231"/>
      <c r="V212" s="231"/>
      <c r="W212" s="231"/>
      <c r="X212" s="231"/>
      <c r="Y212" s="231"/>
      <c r="Z212" s="231"/>
    </row>
    <row r="213">
      <c r="A213" s="231"/>
      <c r="B213" s="231"/>
      <c r="C213" s="231"/>
      <c r="D213" s="231"/>
      <c r="E213" s="231"/>
      <c r="F213" s="231"/>
      <c r="G213" s="231"/>
      <c r="H213" s="231"/>
      <c r="I213" s="231"/>
      <c r="J213" s="231"/>
      <c r="K213" s="231"/>
      <c r="L213" s="231"/>
      <c r="M213" s="231"/>
      <c r="N213" s="231"/>
      <c r="O213" s="231"/>
      <c r="P213" s="231"/>
      <c r="Q213" s="231"/>
      <c r="R213" s="231"/>
      <c r="S213" s="231"/>
      <c r="T213" s="231"/>
      <c r="U213" s="231"/>
      <c r="V213" s="231"/>
      <c r="W213" s="231"/>
      <c r="X213" s="231"/>
      <c r="Y213" s="231"/>
      <c r="Z213" s="231"/>
    </row>
    <row r="214">
      <c r="A214" s="231"/>
      <c r="B214" s="231"/>
      <c r="C214" s="231"/>
      <c r="D214" s="231"/>
      <c r="E214" s="231"/>
      <c r="F214" s="231"/>
      <c r="G214" s="231"/>
      <c r="H214" s="231"/>
      <c r="I214" s="231"/>
      <c r="J214" s="231"/>
      <c r="K214" s="231"/>
      <c r="L214" s="231"/>
      <c r="M214" s="231"/>
      <c r="N214" s="231"/>
      <c r="O214" s="231"/>
      <c r="P214" s="231"/>
      <c r="Q214" s="231"/>
      <c r="R214" s="231"/>
      <c r="S214" s="231"/>
      <c r="T214" s="231"/>
      <c r="U214" s="231"/>
      <c r="V214" s="231"/>
      <c r="W214" s="231"/>
      <c r="X214" s="231"/>
      <c r="Y214" s="231"/>
      <c r="Z214" s="231"/>
    </row>
    <row r="215">
      <c r="A215" s="231"/>
      <c r="B215" s="231"/>
      <c r="C215" s="231"/>
      <c r="D215" s="231"/>
      <c r="E215" s="231"/>
      <c r="F215" s="231"/>
      <c r="G215" s="231"/>
      <c r="H215" s="231"/>
      <c r="I215" s="231"/>
      <c r="J215" s="231"/>
      <c r="K215" s="231"/>
      <c r="L215" s="231"/>
      <c r="M215" s="231"/>
      <c r="N215" s="231"/>
      <c r="O215" s="231"/>
      <c r="P215" s="231"/>
      <c r="Q215" s="231"/>
      <c r="R215" s="231"/>
      <c r="S215" s="231"/>
      <c r="T215" s="231"/>
      <c r="U215" s="231"/>
      <c r="V215" s="231"/>
      <c r="W215" s="231"/>
      <c r="X215" s="231"/>
      <c r="Y215" s="231"/>
      <c r="Z215" s="231"/>
    </row>
    <row r="216">
      <c r="A216" s="231"/>
      <c r="B216" s="231"/>
      <c r="C216" s="231"/>
      <c r="D216" s="231"/>
      <c r="E216" s="231"/>
      <c r="F216" s="231"/>
      <c r="G216" s="231"/>
      <c r="H216" s="231"/>
      <c r="I216" s="231"/>
      <c r="J216" s="231"/>
      <c r="K216" s="231"/>
      <c r="L216" s="231"/>
      <c r="M216" s="231"/>
      <c r="N216" s="231"/>
      <c r="O216" s="231"/>
      <c r="P216" s="231"/>
      <c r="Q216" s="231"/>
      <c r="R216" s="231"/>
      <c r="S216" s="231"/>
      <c r="T216" s="231"/>
      <c r="U216" s="231"/>
      <c r="V216" s="231"/>
      <c r="W216" s="231"/>
      <c r="X216" s="231"/>
      <c r="Y216" s="231"/>
      <c r="Z216" s="231"/>
    </row>
    <row r="217">
      <c r="A217" s="231"/>
      <c r="B217" s="231"/>
      <c r="C217" s="231"/>
      <c r="D217" s="231"/>
      <c r="E217" s="231"/>
      <c r="F217" s="231"/>
      <c r="G217" s="231"/>
      <c r="H217" s="231"/>
      <c r="I217" s="231"/>
      <c r="J217" s="231"/>
      <c r="K217" s="231"/>
      <c r="L217" s="231"/>
      <c r="M217" s="231"/>
      <c r="N217" s="231"/>
      <c r="O217" s="231"/>
      <c r="P217" s="231"/>
      <c r="Q217" s="231"/>
      <c r="R217" s="231"/>
      <c r="S217" s="231"/>
      <c r="T217" s="231"/>
      <c r="U217" s="231"/>
      <c r="V217" s="231"/>
      <c r="W217" s="231"/>
      <c r="X217" s="231"/>
      <c r="Y217" s="231"/>
      <c r="Z217" s="231"/>
    </row>
    <row r="218">
      <c r="A218" s="231"/>
      <c r="B218" s="231"/>
      <c r="C218" s="231"/>
      <c r="D218" s="231"/>
      <c r="E218" s="231"/>
      <c r="F218" s="231"/>
      <c r="G218" s="231"/>
      <c r="H218" s="231"/>
      <c r="I218" s="231"/>
      <c r="J218" s="231"/>
      <c r="K218" s="231"/>
      <c r="L218" s="231"/>
      <c r="M218" s="231"/>
      <c r="N218" s="231"/>
      <c r="O218" s="231"/>
      <c r="P218" s="231"/>
      <c r="Q218" s="231"/>
      <c r="R218" s="231"/>
      <c r="S218" s="231"/>
      <c r="T218" s="231"/>
      <c r="U218" s="231"/>
      <c r="V218" s="231"/>
      <c r="W218" s="231"/>
      <c r="X218" s="231"/>
      <c r="Y218" s="231"/>
      <c r="Z218" s="231"/>
    </row>
    <row r="219">
      <c r="A219" s="231"/>
      <c r="B219" s="231"/>
      <c r="C219" s="231"/>
      <c r="D219" s="231"/>
      <c r="E219" s="231"/>
      <c r="F219" s="231"/>
      <c r="G219" s="231"/>
      <c r="H219" s="231"/>
      <c r="I219" s="231"/>
      <c r="J219" s="231"/>
      <c r="K219" s="231"/>
      <c r="L219" s="231"/>
      <c r="M219" s="231"/>
      <c r="N219" s="231"/>
      <c r="O219" s="231"/>
      <c r="P219" s="231"/>
      <c r="Q219" s="231"/>
      <c r="R219" s="231"/>
      <c r="S219" s="231"/>
      <c r="T219" s="231"/>
      <c r="U219" s="231"/>
      <c r="V219" s="231"/>
      <c r="W219" s="231"/>
      <c r="X219" s="231"/>
      <c r="Y219" s="231"/>
      <c r="Z219" s="231"/>
    </row>
    <row r="220">
      <c r="A220" s="231"/>
      <c r="B220" s="231"/>
      <c r="C220" s="231"/>
      <c r="D220" s="231"/>
      <c r="E220" s="231"/>
      <c r="F220" s="231"/>
      <c r="G220" s="231"/>
      <c r="H220" s="231"/>
      <c r="I220" s="231"/>
      <c r="J220" s="231"/>
      <c r="K220" s="231"/>
      <c r="L220" s="231"/>
      <c r="M220" s="231"/>
      <c r="N220" s="231"/>
      <c r="O220" s="231"/>
      <c r="P220" s="231"/>
      <c r="Q220" s="231"/>
      <c r="R220" s="231"/>
      <c r="S220" s="231"/>
      <c r="T220" s="231"/>
      <c r="U220" s="231"/>
      <c r="V220" s="231"/>
      <c r="W220" s="231"/>
      <c r="X220" s="231"/>
      <c r="Y220" s="231"/>
      <c r="Z220" s="231"/>
    </row>
    <row r="221">
      <c r="A221" s="231"/>
      <c r="B221" s="231"/>
      <c r="C221" s="231"/>
      <c r="D221" s="231"/>
      <c r="E221" s="231"/>
      <c r="F221" s="231"/>
      <c r="G221" s="231"/>
      <c r="H221" s="231"/>
      <c r="I221" s="231"/>
      <c r="J221" s="231"/>
      <c r="K221" s="231"/>
      <c r="L221" s="231"/>
      <c r="M221" s="231"/>
      <c r="N221" s="231"/>
      <c r="O221" s="231"/>
      <c r="P221" s="231"/>
      <c r="Q221" s="231"/>
      <c r="R221" s="231"/>
      <c r="S221" s="231"/>
      <c r="T221" s="231"/>
      <c r="U221" s="231"/>
      <c r="V221" s="231"/>
      <c r="W221" s="231"/>
      <c r="X221" s="231"/>
      <c r="Y221" s="231"/>
      <c r="Z221" s="231"/>
    </row>
    <row r="222">
      <c r="A222" s="231"/>
      <c r="B222" s="231"/>
      <c r="C222" s="231"/>
      <c r="D222" s="231"/>
      <c r="E222" s="231"/>
      <c r="F222" s="231"/>
      <c r="G222" s="231"/>
      <c r="H222" s="231"/>
      <c r="I222" s="231"/>
      <c r="J222" s="231"/>
      <c r="K222" s="231"/>
      <c r="L222" s="231"/>
      <c r="M222" s="231"/>
      <c r="N222" s="231"/>
      <c r="O222" s="231"/>
      <c r="P222" s="231"/>
      <c r="Q222" s="231"/>
      <c r="R222" s="231"/>
      <c r="S222" s="231"/>
      <c r="T222" s="231"/>
      <c r="U222" s="231"/>
      <c r="V222" s="231"/>
      <c r="W222" s="231"/>
      <c r="X222" s="231"/>
      <c r="Y222" s="231"/>
      <c r="Z222" s="231"/>
    </row>
    <row r="223">
      <c r="A223" s="231"/>
      <c r="B223" s="231"/>
      <c r="C223" s="231"/>
      <c r="D223" s="231"/>
      <c r="E223" s="231"/>
      <c r="F223" s="231"/>
      <c r="G223" s="231"/>
      <c r="H223" s="231"/>
      <c r="I223" s="231"/>
      <c r="J223" s="231"/>
      <c r="K223" s="231"/>
      <c r="L223" s="231"/>
      <c r="M223" s="231"/>
      <c r="N223" s="231"/>
      <c r="O223" s="231"/>
      <c r="P223" s="231"/>
      <c r="Q223" s="231"/>
      <c r="R223" s="231"/>
      <c r="S223" s="231"/>
      <c r="T223" s="231"/>
      <c r="U223" s="231"/>
      <c r="V223" s="231"/>
      <c r="W223" s="231"/>
      <c r="X223" s="231"/>
      <c r="Y223" s="231"/>
      <c r="Z223" s="231"/>
    </row>
    <row r="224">
      <c r="A224" s="231"/>
      <c r="B224" s="231"/>
      <c r="C224" s="231"/>
      <c r="D224" s="231"/>
      <c r="E224" s="231"/>
      <c r="F224" s="231"/>
      <c r="G224" s="231"/>
      <c r="H224" s="231"/>
      <c r="I224" s="231"/>
      <c r="J224" s="231"/>
      <c r="K224" s="231"/>
      <c r="L224" s="231"/>
      <c r="M224" s="231"/>
      <c r="N224" s="231"/>
      <c r="O224" s="231"/>
      <c r="P224" s="231"/>
      <c r="Q224" s="231"/>
      <c r="R224" s="231"/>
      <c r="S224" s="231"/>
      <c r="T224" s="231"/>
      <c r="U224" s="231"/>
      <c r="V224" s="231"/>
      <c r="W224" s="231"/>
      <c r="X224" s="231"/>
      <c r="Y224" s="231"/>
      <c r="Z224" s="231"/>
    </row>
    <row r="225">
      <c r="A225" s="231"/>
      <c r="B225" s="231"/>
      <c r="C225" s="231"/>
      <c r="D225" s="231"/>
      <c r="E225" s="231"/>
      <c r="F225" s="231"/>
      <c r="G225" s="231"/>
      <c r="H225" s="231"/>
      <c r="I225" s="231"/>
      <c r="J225" s="231"/>
      <c r="K225" s="231"/>
      <c r="L225" s="231"/>
      <c r="M225" s="231"/>
      <c r="N225" s="231"/>
      <c r="O225" s="231"/>
      <c r="P225" s="231"/>
      <c r="Q225" s="231"/>
      <c r="R225" s="231"/>
      <c r="S225" s="231"/>
      <c r="T225" s="231"/>
      <c r="U225" s="231"/>
      <c r="V225" s="231"/>
      <c r="W225" s="231"/>
      <c r="X225" s="231"/>
      <c r="Y225" s="231"/>
      <c r="Z225" s="231"/>
    </row>
    <row r="226">
      <c r="A226" s="231"/>
      <c r="B226" s="231"/>
      <c r="C226" s="231"/>
      <c r="D226" s="231"/>
      <c r="E226" s="231"/>
      <c r="F226" s="231"/>
      <c r="G226" s="231"/>
      <c r="H226" s="231"/>
      <c r="I226" s="231"/>
      <c r="J226" s="231"/>
      <c r="K226" s="231"/>
      <c r="L226" s="231"/>
      <c r="M226" s="231"/>
      <c r="N226" s="231"/>
      <c r="O226" s="231"/>
      <c r="P226" s="231"/>
      <c r="Q226" s="231"/>
      <c r="R226" s="231"/>
      <c r="S226" s="231"/>
      <c r="T226" s="231"/>
      <c r="U226" s="231"/>
      <c r="V226" s="231"/>
      <c r="W226" s="231"/>
      <c r="X226" s="231"/>
      <c r="Y226" s="231"/>
      <c r="Z226" s="231"/>
    </row>
    <row r="227">
      <c r="A227" s="231"/>
      <c r="B227" s="231"/>
      <c r="C227" s="231"/>
      <c r="D227" s="231"/>
      <c r="E227" s="231"/>
      <c r="F227" s="231"/>
      <c r="G227" s="231"/>
      <c r="H227" s="231"/>
      <c r="I227" s="231"/>
      <c r="J227" s="231"/>
      <c r="K227" s="231"/>
      <c r="L227" s="231"/>
      <c r="M227" s="231"/>
      <c r="N227" s="231"/>
      <c r="O227" s="231"/>
      <c r="P227" s="231"/>
      <c r="Q227" s="231"/>
      <c r="R227" s="231"/>
      <c r="S227" s="231"/>
      <c r="T227" s="231"/>
      <c r="U227" s="231"/>
      <c r="V227" s="231"/>
      <c r="W227" s="231"/>
      <c r="X227" s="231"/>
      <c r="Y227" s="231"/>
      <c r="Z227" s="231"/>
    </row>
    <row r="228">
      <c r="A228" s="231"/>
      <c r="B228" s="231"/>
      <c r="C228" s="231"/>
      <c r="D228" s="231"/>
      <c r="E228" s="231"/>
      <c r="F228" s="231"/>
      <c r="G228" s="231"/>
      <c r="H228" s="231"/>
      <c r="I228" s="231"/>
      <c r="J228" s="231"/>
      <c r="K228" s="231"/>
      <c r="L228" s="231"/>
      <c r="M228" s="231"/>
      <c r="N228" s="231"/>
      <c r="O228" s="231"/>
      <c r="P228" s="231"/>
      <c r="Q228" s="231"/>
      <c r="R228" s="231"/>
      <c r="S228" s="231"/>
      <c r="T228" s="231"/>
      <c r="U228" s="231"/>
      <c r="V228" s="231"/>
      <c r="W228" s="231"/>
      <c r="X228" s="231"/>
      <c r="Y228" s="231"/>
      <c r="Z228" s="231"/>
    </row>
    <row r="229">
      <c r="A229" s="231"/>
      <c r="B229" s="231"/>
      <c r="C229" s="231"/>
      <c r="D229" s="231"/>
      <c r="E229" s="231"/>
      <c r="F229" s="231"/>
      <c r="G229" s="231"/>
      <c r="H229" s="231"/>
      <c r="I229" s="231"/>
      <c r="J229" s="231"/>
      <c r="K229" s="231"/>
      <c r="L229" s="231"/>
      <c r="M229" s="231"/>
      <c r="N229" s="231"/>
      <c r="O229" s="231"/>
      <c r="P229" s="231"/>
      <c r="Q229" s="231"/>
      <c r="R229" s="231"/>
      <c r="S229" s="231"/>
      <c r="T229" s="231"/>
      <c r="U229" s="231"/>
      <c r="V229" s="231"/>
      <c r="W229" s="231"/>
      <c r="X229" s="231"/>
      <c r="Y229" s="231"/>
      <c r="Z229" s="231"/>
    </row>
    <row r="230">
      <c r="A230" s="231"/>
      <c r="B230" s="231"/>
      <c r="C230" s="231"/>
      <c r="D230" s="231"/>
      <c r="E230" s="231"/>
      <c r="F230" s="231"/>
      <c r="G230" s="231"/>
      <c r="H230" s="231"/>
      <c r="I230" s="231"/>
      <c r="J230" s="231"/>
      <c r="K230" s="231"/>
      <c r="L230" s="231"/>
      <c r="M230" s="231"/>
      <c r="N230" s="231"/>
      <c r="O230" s="231"/>
      <c r="P230" s="231"/>
      <c r="Q230" s="231"/>
      <c r="R230" s="231"/>
      <c r="S230" s="231"/>
      <c r="T230" s="231"/>
      <c r="U230" s="231"/>
      <c r="V230" s="231"/>
      <c r="W230" s="231"/>
      <c r="X230" s="231"/>
      <c r="Y230" s="231"/>
      <c r="Z230" s="231"/>
    </row>
    <row r="231">
      <c r="A231" s="231"/>
      <c r="B231" s="231"/>
      <c r="C231" s="231"/>
      <c r="D231" s="231"/>
      <c r="E231" s="231"/>
      <c r="F231" s="231"/>
      <c r="G231" s="231"/>
      <c r="H231" s="231"/>
      <c r="I231" s="231"/>
      <c r="J231" s="231"/>
      <c r="K231" s="231"/>
      <c r="L231" s="231"/>
      <c r="M231" s="231"/>
      <c r="N231" s="231"/>
      <c r="O231" s="231"/>
      <c r="P231" s="231"/>
      <c r="Q231" s="231"/>
      <c r="R231" s="231"/>
      <c r="S231" s="231"/>
      <c r="T231" s="231"/>
      <c r="U231" s="231"/>
      <c r="V231" s="231"/>
      <c r="W231" s="231"/>
      <c r="X231" s="231"/>
      <c r="Y231" s="231"/>
      <c r="Z231" s="231"/>
    </row>
    <row r="232">
      <c r="A232" s="231"/>
      <c r="B232" s="231"/>
      <c r="C232" s="231"/>
      <c r="D232" s="231"/>
      <c r="E232" s="231"/>
      <c r="F232" s="231"/>
      <c r="G232" s="231"/>
      <c r="H232" s="231"/>
      <c r="I232" s="231"/>
      <c r="J232" s="231"/>
      <c r="K232" s="231"/>
      <c r="L232" s="231"/>
      <c r="M232" s="231"/>
      <c r="N232" s="231"/>
      <c r="O232" s="231"/>
      <c r="P232" s="231"/>
      <c r="Q232" s="231"/>
      <c r="R232" s="231"/>
      <c r="S232" s="231"/>
      <c r="T232" s="231"/>
      <c r="U232" s="231"/>
      <c r="V232" s="231"/>
      <c r="W232" s="231"/>
      <c r="X232" s="231"/>
      <c r="Y232" s="231"/>
      <c r="Z232" s="231"/>
    </row>
    <row r="233">
      <c r="A233" s="231"/>
      <c r="B233" s="231"/>
      <c r="C233" s="231"/>
      <c r="D233" s="231"/>
      <c r="E233" s="231"/>
      <c r="F233" s="231"/>
      <c r="G233" s="231"/>
      <c r="H233" s="231"/>
      <c r="I233" s="231"/>
      <c r="J233" s="231"/>
      <c r="K233" s="231"/>
      <c r="L233" s="231"/>
      <c r="M233" s="231"/>
      <c r="N233" s="231"/>
      <c r="O233" s="231"/>
      <c r="P233" s="231"/>
      <c r="Q233" s="231"/>
      <c r="R233" s="231"/>
      <c r="S233" s="231"/>
      <c r="T233" s="231"/>
      <c r="U233" s="231"/>
      <c r="V233" s="231"/>
      <c r="W233" s="231"/>
      <c r="X233" s="231"/>
      <c r="Y233" s="231"/>
      <c r="Z233" s="231"/>
    </row>
    <row r="234">
      <c r="A234" s="231"/>
      <c r="B234" s="231"/>
      <c r="C234" s="231"/>
      <c r="D234" s="231"/>
      <c r="E234" s="231"/>
      <c r="F234" s="231"/>
      <c r="G234" s="231"/>
      <c r="H234" s="231"/>
      <c r="I234" s="231"/>
      <c r="J234" s="231"/>
      <c r="K234" s="231"/>
      <c r="L234" s="231"/>
      <c r="M234" s="231"/>
      <c r="N234" s="231"/>
      <c r="O234" s="231"/>
      <c r="P234" s="231"/>
      <c r="Q234" s="231"/>
      <c r="R234" s="231"/>
      <c r="S234" s="231"/>
      <c r="T234" s="231"/>
      <c r="U234" s="231"/>
      <c r="V234" s="231"/>
      <c r="W234" s="231"/>
      <c r="X234" s="231"/>
      <c r="Y234" s="231"/>
      <c r="Z234" s="231"/>
    </row>
    <row r="235">
      <c r="A235" s="231"/>
      <c r="B235" s="231"/>
      <c r="C235" s="231"/>
      <c r="D235" s="231"/>
      <c r="E235" s="231"/>
      <c r="F235" s="231"/>
      <c r="G235" s="231"/>
      <c r="H235" s="231"/>
      <c r="I235" s="231"/>
      <c r="J235" s="231"/>
      <c r="K235" s="231"/>
      <c r="L235" s="231"/>
      <c r="M235" s="231"/>
      <c r="N235" s="231"/>
      <c r="O235" s="231"/>
      <c r="P235" s="231"/>
      <c r="Q235" s="231"/>
      <c r="R235" s="231"/>
      <c r="S235" s="231"/>
      <c r="T235" s="231"/>
      <c r="U235" s="231"/>
      <c r="V235" s="231"/>
      <c r="W235" s="231"/>
      <c r="X235" s="231"/>
      <c r="Y235" s="231"/>
      <c r="Z235" s="231"/>
    </row>
    <row r="236">
      <c r="A236" s="231"/>
      <c r="B236" s="231"/>
      <c r="C236" s="231"/>
      <c r="D236" s="231"/>
      <c r="E236" s="231"/>
      <c r="F236" s="231"/>
      <c r="G236" s="231"/>
      <c r="H236" s="231"/>
      <c r="I236" s="231"/>
      <c r="J236" s="231"/>
      <c r="K236" s="231"/>
      <c r="L236" s="231"/>
      <c r="M236" s="231"/>
      <c r="N236" s="231"/>
      <c r="O236" s="231"/>
      <c r="P236" s="231"/>
      <c r="Q236" s="231"/>
      <c r="R236" s="231"/>
      <c r="S236" s="231"/>
      <c r="T236" s="231"/>
      <c r="U236" s="231"/>
      <c r="V236" s="231"/>
      <c r="W236" s="231"/>
      <c r="X236" s="231"/>
      <c r="Y236" s="231"/>
      <c r="Z236" s="231"/>
    </row>
    <row r="237">
      <c r="A237" s="231"/>
      <c r="B237" s="231"/>
      <c r="C237" s="231"/>
      <c r="D237" s="231"/>
      <c r="E237" s="231"/>
      <c r="F237" s="231"/>
      <c r="G237" s="231"/>
      <c r="H237" s="231"/>
      <c r="I237" s="231"/>
      <c r="J237" s="231"/>
      <c r="K237" s="231"/>
      <c r="L237" s="231"/>
      <c r="M237" s="231"/>
      <c r="N237" s="231"/>
      <c r="O237" s="231"/>
      <c r="P237" s="231"/>
      <c r="Q237" s="231"/>
      <c r="R237" s="231"/>
      <c r="S237" s="231"/>
      <c r="T237" s="231"/>
      <c r="U237" s="231"/>
      <c r="V237" s="231"/>
      <c r="W237" s="231"/>
      <c r="X237" s="231"/>
      <c r="Y237" s="231"/>
      <c r="Z237" s="231"/>
    </row>
    <row r="238">
      <c r="A238" s="231"/>
      <c r="B238" s="231"/>
      <c r="C238" s="231"/>
      <c r="D238" s="231"/>
      <c r="E238" s="231"/>
      <c r="F238" s="231"/>
      <c r="G238" s="231"/>
      <c r="H238" s="231"/>
      <c r="I238" s="231"/>
      <c r="J238" s="231"/>
      <c r="K238" s="231"/>
      <c r="L238" s="231"/>
      <c r="M238" s="231"/>
      <c r="N238" s="231"/>
      <c r="O238" s="231"/>
      <c r="P238" s="231"/>
      <c r="Q238" s="231"/>
      <c r="R238" s="231"/>
      <c r="S238" s="231"/>
      <c r="T238" s="231"/>
      <c r="U238" s="231"/>
      <c r="V238" s="231"/>
      <c r="W238" s="231"/>
      <c r="X238" s="231"/>
      <c r="Y238" s="231"/>
      <c r="Z238" s="231"/>
    </row>
    <row r="239">
      <c r="A239" s="231"/>
      <c r="B239" s="231"/>
      <c r="C239" s="231"/>
      <c r="D239" s="231"/>
      <c r="E239" s="231"/>
      <c r="F239" s="231"/>
      <c r="G239" s="231"/>
      <c r="H239" s="231"/>
      <c r="I239" s="231"/>
      <c r="J239" s="231"/>
      <c r="K239" s="231"/>
      <c r="L239" s="231"/>
      <c r="M239" s="231"/>
      <c r="N239" s="231"/>
      <c r="O239" s="231"/>
      <c r="P239" s="231"/>
      <c r="Q239" s="231"/>
      <c r="R239" s="231"/>
      <c r="S239" s="231"/>
      <c r="T239" s="231"/>
      <c r="U239" s="231"/>
      <c r="V239" s="231"/>
      <c r="W239" s="231"/>
      <c r="X239" s="231"/>
      <c r="Y239" s="231"/>
      <c r="Z239" s="231"/>
    </row>
    <row r="240">
      <c r="A240" s="231"/>
      <c r="B240" s="231"/>
      <c r="C240" s="231"/>
      <c r="D240" s="231"/>
      <c r="E240" s="231"/>
      <c r="F240" s="231"/>
      <c r="G240" s="231"/>
      <c r="H240" s="231"/>
      <c r="I240" s="231"/>
      <c r="J240" s="231"/>
      <c r="K240" s="231"/>
      <c r="L240" s="231"/>
      <c r="M240" s="231"/>
      <c r="N240" s="231"/>
      <c r="O240" s="231"/>
      <c r="P240" s="231"/>
      <c r="Q240" s="231"/>
      <c r="R240" s="231"/>
      <c r="S240" s="231"/>
      <c r="T240" s="231"/>
      <c r="U240" s="231"/>
      <c r="V240" s="231"/>
      <c r="W240" s="231"/>
      <c r="X240" s="231"/>
      <c r="Y240" s="231"/>
      <c r="Z240" s="231"/>
    </row>
    <row r="241">
      <c r="A241" s="231"/>
      <c r="B241" s="231"/>
      <c r="C241" s="231"/>
      <c r="D241" s="231"/>
      <c r="E241" s="231"/>
      <c r="F241" s="231"/>
      <c r="G241" s="231"/>
      <c r="H241" s="231"/>
      <c r="I241" s="231"/>
      <c r="J241" s="231"/>
      <c r="K241" s="231"/>
      <c r="L241" s="231"/>
      <c r="M241" s="231"/>
      <c r="N241" s="231"/>
      <c r="O241" s="231"/>
      <c r="P241" s="231"/>
      <c r="Q241" s="231"/>
      <c r="R241" s="231"/>
      <c r="S241" s="231"/>
      <c r="T241" s="231"/>
      <c r="U241" s="231"/>
      <c r="V241" s="231"/>
      <c r="W241" s="231"/>
      <c r="X241" s="231"/>
      <c r="Y241" s="231"/>
      <c r="Z241" s="231"/>
    </row>
    <row r="242">
      <c r="A242" s="231"/>
      <c r="B242" s="231"/>
      <c r="C242" s="231"/>
      <c r="D242" s="231"/>
      <c r="E242" s="231"/>
      <c r="F242" s="231"/>
      <c r="G242" s="231"/>
      <c r="H242" s="231"/>
      <c r="I242" s="231"/>
      <c r="J242" s="231"/>
      <c r="K242" s="231"/>
      <c r="L242" s="231"/>
      <c r="M242" s="231"/>
      <c r="N242" s="231"/>
      <c r="O242" s="231"/>
      <c r="P242" s="231"/>
      <c r="Q242" s="231"/>
      <c r="R242" s="231"/>
      <c r="S242" s="231"/>
      <c r="T242" s="231"/>
      <c r="U242" s="231"/>
      <c r="V242" s="231"/>
      <c r="W242" s="231"/>
      <c r="X242" s="231"/>
      <c r="Y242" s="231"/>
      <c r="Z242" s="231"/>
    </row>
    <row r="243">
      <c r="A243" s="231"/>
      <c r="B243" s="231"/>
      <c r="C243" s="231"/>
      <c r="D243" s="231"/>
      <c r="E243" s="231"/>
      <c r="F243" s="231"/>
      <c r="G243" s="231"/>
      <c r="H243" s="231"/>
      <c r="I243" s="231"/>
      <c r="J243" s="231"/>
      <c r="K243" s="231"/>
      <c r="L243" s="231"/>
      <c r="M243" s="231"/>
      <c r="N243" s="231"/>
      <c r="O243" s="231"/>
      <c r="P243" s="231"/>
      <c r="Q243" s="231"/>
      <c r="R243" s="231"/>
      <c r="S243" s="231"/>
      <c r="T243" s="231"/>
      <c r="U243" s="231"/>
      <c r="V243" s="231"/>
      <c r="W243" s="231"/>
      <c r="X243" s="231"/>
      <c r="Y243" s="231"/>
      <c r="Z243" s="231"/>
    </row>
    <row r="244">
      <c r="A244" s="231"/>
      <c r="B244" s="231"/>
      <c r="C244" s="231"/>
      <c r="D244" s="231"/>
      <c r="E244" s="231"/>
      <c r="F244" s="231"/>
      <c r="G244" s="231"/>
      <c r="H244" s="231"/>
      <c r="I244" s="231"/>
      <c r="J244" s="231"/>
      <c r="K244" s="231"/>
      <c r="L244" s="231"/>
      <c r="M244" s="231"/>
      <c r="N244" s="231"/>
      <c r="O244" s="231"/>
      <c r="P244" s="231"/>
      <c r="Q244" s="231"/>
      <c r="R244" s="231"/>
      <c r="S244" s="231"/>
      <c r="T244" s="231"/>
      <c r="U244" s="231"/>
      <c r="V244" s="231"/>
      <c r="W244" s="231"/>
      <c r="X244" s="231"/>
      <c r="Y244" s="231"/>
      <c r="Z244" s="231"/>
    </row>
    <row r="245">
      <c r="A245" s="231"/>
      <c r="B245" s="231"/>
      <c r="C245" s="231"/>
      <c r="D245" s="231"/>
      <c r="E245" s="231"/>
      <c r="F245" s="231"/>
      <c r="G245" s="231"/>
      <c r="H245" s="231"/>
      <c r="I245" s="231"/>
      <c r="J245" s="231"/>
      <c r="K245" s="231"/>
      <c r="L245" s="231"/>
      <c r="M245" s="231"/>
      <c r="N245" s="231"/>
      <c r="O245" s="231"/>
      <c r="P245" s="231"/>
      <c r="Q245" s="231"/>
      <c r="R245" s="231"/>
      <c r="S245" s="231"/>
      <c r="T245" s="231"/>
      <c r="U245" s="231"/>
      <c r="V245" s="231"/>
      <c r="W245" s="231"/>
      <c r="X245" s="231"/>
      <c r="Y245" s="231"/>
      <c r="Z245" s="231"/>
    </row>
    <row r="246">
      <c r="A246" s="231"/>
      <c r="B246" s="231"/>
      <c r="C246" s="231"/>
      <c r="D246" s="231"/>
      <c r="E246" s="231"/>
      <c r="F246" s="231"/>
      <c r="G246" s="231"/>
      <c r="H246" s="231"/>
      <c r="I246" s="231"/>
      <c r="J246" s="231"/>
      <c r="K246" s="231"/>
      <c r="L246" s="231"/>
      <c r="M246" s="231"/>
      <c r="N246" s="231"/>
      <c r="O246" s="231"/>
      <c r="P246" s="231"/>
      <c r="Q246" s="231"/>
      <c r="R246" s="231"/>
      <c r="S246" s="231"/>
      <c r="T246" s="231"/>
      <c r="U246" s="231"/>
      <c r="V246" s="231"/>
      <c r="W246" s="231"/>
      <c r="X246" s="231"/>
      <c r="Y246" s="231"/>
      <c r="Z246" s="231"/>
    </row>
    <row r="247">
      <c r="A247" s="231"/>
      <c r="B247" s="231"/>
      <c r="C247" s="231"/>
      <c r="D247" s="231"/>
      <c r="E247" s="231"/>
      <c r="F247" s="231"/>
      <c r="G247" s="231"/>
      <c r="H247" s="231"/>
      <c r="I247" s="231"/>
      <c r="J247" s="231"/>
      <c r="K247" s="231"/>
      <c r="L247" s="231"/>
      <c r="M247" s="231"/>
      <c r="N247" s="231"/>
      <c r="O247" s="231"/>
      <c r="P247" s="231"/>
      <c r="Q247" s="231"/>
      <c r="R247" s="231"/>
      <c r="S247" s="231"/>
      <c r="T247" s="231"/>
      <c r="U247" s="231"/>
      <c r="V247" s="231"/>
      <c r="W247" s="231"/>
      <c r="X247" s="231"/>
      <c r="Y247" s="231"/>
      <c r="Z247" s="231"/>
    </row>
    <row r="248">
      <c r="A248" s="231"/>
      <c r="B248" s="231"/>
      <c r="C248" s="231"/>
      <c r="D248" s="231"/>
      <c r="E248" s="231"/>
      <c r="F248" s="231"/>
      <c r="G248" s="231"/>
      <c r="H248" s="231"/>
      <c r="I248" s="231"/>
      <c r="J248" s="231"/>
      <c r="K248" s="231"/>
      <c r="L248" s="231"/>
      <c r="M248" s="231"/>
      <c r="N248" s="231"/>
      <c r="O248" s="231"/>
      <c r="P248" s="231"/>
      <c r="Q248" s="231"/>
      <c r="R248" s="231"/>
      <c r="S248" s="231"/>
      <c r="T248" s="231"/>
      <c r="U248" s="231"/>
      <c r="V248" s="231"/>
      <c r="W248" s="231"/>
      <c r="X248" s="231"/>
      <c r="Y248" s="231"/>
      <c r="Z248" s="231"/>
    </row>
    <row r="249">
      <c r="A249" s="231"/>
      <c r="B249" s="231"/>
      <c r="C249" s="231"/>
      <c r="D249" s="231"/>
      <c r="E249" s="231"/>
      <c r="F249" s="231"/>
      <c r="G249" s="231"/>
      <c r="H249" s="231"/>
      <c r="I249" s="231"/>
      <c r="J249" s="231"/>
      <c r="K249" s="231"/>
      <c r="L249" s="231"/>
      <c r="M249" s="231"/>
      <c r="N249" s="231"/>
      <c r="O249" s="231"/>
      <c r="P249" s="231"/>
      <c r="Q249" s="231"/>
      <c r="R249" s="231"/>
      <c r="S249" s="231"/>
      <c r="T249" s="231"/>
      <c r="U249" s="231"/>
      <c r="V249" s="231"/>
      <c r="W249" s="231"/>
      <c r="X249" s="231"/>
      <c r="Y249" s="231"/>
      <c r="Z249" s="231"/>
    </row>
    <row r="250">
      <c r="A250" s="231"/>
      <c r="B250" s="231"/>
      <c r="C250" s="231"/>
      <c r="D250" s="231"/>
      <c r="E250" s="231"/>
      <c r="F250" s="231"/>
      <c r="G250" s="231"/>
      <c r="H250" s="231"/>
      <c r="I250" s="231"/>
      <c r="J250" s="231"/>
      <c r="K250" s="231"/>
      <c r="L250" s="231"/>
      <c r="M250" s="231"/>
      <c r="N250" s="231"/>
      <c r="O250" s="231"/>
      <c r="P250" s="231"/>
      <c r="Q250" s="231"/>
      <c r="R250" s="231"/>
      <c r="S250" s="231"/>
      <c r="T250" s="231"/>
      <c r="U250" s="231"/>
      <c r="V250" s="231"/>
      <c r="W250" s="231"/>
      <c r="X250" s="231"/>
      <c r="Y250" s="231"/>
      <c r="Z250" s="231"/>
    </row>
    <row r="251">
      <c r="A251" s="231"/>
      <c r="B251" s="231"/>
      <c r="C251" s="231"/>
      <c r="D251" s="231"/>
      <c r="E251" s="231"/>
      <c r="F251" s="231"/>
      <c r="G251" s="231"/>
      <c r="H251" s="231"/>
      <c r="I251" s="231"/>
      <c r="J251" s="231"/>
      <c r="K251" s="231"/>
      <c r="L251" s="231"/>
      <c r="M251" s="231"/>
      <c r="N251" s="231"/>
      <c r="O251" s="231"/>
      <c r="P251" s="231"/>
      <c r="Q251" s="231"/>
      <c r="R251" s="231"/>
      <c r="S251" s="231"/>
      <c r="T251" s="231"/>
      <c r="U251" s="231"/>
      <c r="V251" s="231"/>
      <c r="W251" s="231"/>
      <c r="X251" s="231"/>
      <c r="Y251" s="231"/>
      <c r="Z251" s="231"/>
    </row>
    <row r="252">
      <c r="A252" s="231"/>
      <c r="B252" s="231"/>
      <c r="C252" s="231"/>
      <c r="D252" s="231"/>
      <c r="E252" s="231"/>
      <c r="F252" s="231"/>
      <c r="G252" s="231"/>
      <c r="H252" s="231"/>
      <c r="I252" s="231"/>
      <c r="J252" s="231"/>
      <c r="K252" s="231"/>
      <c r="L252" s="231"/>
      <c r="M252" s="231"/>
      <c r="N252" s="231"/>
      <c r="O252" s="231"/>
      <c r="P252" s="231"/>
      <c r="Q252" s="231"/>
      <c r="R252" s="231"/>
      <c r="S252" s="231"/>
      <c r="T252" s="231"/>
      <c r="U252" s="231"/>
      <c r="V252" s="231"/>
      <c r="W252" s="231"/>
      <c r="X252" s="231"/>
      <c r="Y252" s="231"/>
      <c r="Z252" s="231"/>
    </row>
    <row r="253">
      <c r="A253" s="231"/>
      <c r="B253" s="231"/>
      <c r="C253" s="231"/>
      <c r="D253" s="231"/>
      <c r="E253" s="231"/>
      <c r="F253" s="231"/>
      <c r="G253" s="231"/>
      <c r="H253" s="231"/>
      <c r="I253" s="231"/>
      <c r="J253" s="231"/>
      <c r="K253" s="231"/>
      <c r="L253" s="231"/>
      <c r="M253" s="231"/>
      <c r="N253" s="231"/>
      <c r="O253" s="231"/>
      <c r="P253" s="231"/>
      <c r="Q253" s="231"/>
      <c r="R253" s="231"/>
      <c r="S253" s="231"/>
      <c r="T253" s="231"/>
      <c r="U253" s="231"/>
      <c r="V253" s="231"/>
      <c r="W253" s="231"/>
      <c r="X253" s="231"/>
      <c r="Y253" s="231"/>
      <c r="Z253" s="231"/>
    </row>
    <row r="254">
      <c r="A254" s="231"/>
      <c r="B254" s="231"/>
      <c r="C254" s="231"/>
      <c r="D254" s="231"/>
      <c r="E254" s="231"/>
      <c r="F254" s="231"/>
      <c r="G254" s="231"/>
      <c r="H254" s="231"/>
      <c r="I254" s="231"/>
      <c r="J254" s="231"/>
      <c r="K254" s="231"/>
      <c r="L254" s="231"/>
      <c r="M254" s="231"/>
      <c r="N254" s="231"/>
      <c r="O254" s="231"/>
      <c r="P254" s="231"/>
      <c r="Q254" s="231"/>
      <c r="R254" s="231"/>
      <c r="S254" s="231"/>
      <c r="T254" s="231"/>
      <c r="U254" s="231"/>
      <c r="V254" s="231"/>
      <c r="W254" s="231"/>
      <c r="X254" s="231"/>
      <c r="Y254" s="231"/>
      <c r="Z254" s="231"/>
    </row>
    <row r="255">
      <c r="A255" s="231"/>
      <c r="B255" s="231"/>
      <c r="C255" s="231"/>
      <c r="D255" s="231"/>
      <c r="E255" s="231"/>
      <c r="F255" s="231"/>
      <c r="G255" s="231"/>
      <c r="H255" s="231"/>
      <c r="I255" s="231"/>
      <c r="J255" s="231"/>
      <c r="K255" s="231"/>
      <c r="L255" s="231"/>
      <c r="M255" s="231"/>
      <c r="N255" s="231"/>
      <c r="O255" s="231"/>
      <c r="P255" s="231"/>
      <c r="Q255" s="231"/>
      <c r="R255" s="231"/>
      <c r="S255" s="231"/>
      <c r="T255" s="231"/>
      <c r="U255" s="231"/>
      <c r="V255" s="231"/>
      <c r="W255" s="231"/>
      <c r="X255" s="231"/>
      <c r="Y255" s="231"/>
      <c r="Z255" s="231"/>
    </row>
    <row r="256">
      <c r="A256" s="231"/>
      <c r="B256" s="231"/>
      <c r="C256" s="231"/>
      <c r="D256" s="231"/>
      <c r="E256" s="231"/>
      <c r="F256" s="231"/>
      <c r="G256" s="231"/>
      <c r="H256" s="231"/>
      <c r="I256" s="231"/>
      <c r="J256" s="231"/>
      <c r="K256" s="231"/>
      <c r="L256" s="231"/>
      <c r="M256" s="231"/>
      <c r="N256" s="231"/>
      <c r="O256" s="231"/>
      <c r="P256" s="231"/>
      <c r="Q256" s="231"/>
      <c r="R256" s="231"/>
      <c r="S256" s="231"/>
      <c r="T256" s="231"/>
      <c r="U256" s="231"/>
      <c r="V256" s="231"/>
      <c r="W256" s="231"/>
      <c r="X256" s="231"/>
      <c r="Y256" s="231"/>
      <c r="Z256" s="231"/>
    </row>
    <row r="257">
      <c r="A257" s="231"/>
      <c r="B257" s="231"/>
      <c r="C257" s="231"/>
      <c r="D257" s="231"/>
      <c r="E257" s="231"/>
      <c r="F257" s="231"/>
      <c r="G257" s="231"/>
      <c r="H257" s="231"/>
      <c r="I257" s="231"/>
      <c r="J257" s="231"/>
      <c r="K257" s="231"/>
      <c r="L257" s="231"/>
      <c r="M257" s="231"/>
      <c r="N257" s="231"/>
      <c r="O257" s="231"/>
      <c r="P257" s="231"/>
      <c r="Q257" s="231"/>
      <c r="R257" s="231"/>
      <c r="S257" s="231"/>
      <c r="T257" s="231"/>
      <c r="U257" s="231"/>
      <c r="V257" s="231"/>
      <c r="W257" s="231"/>
      <c r="X257" s="231"/>
      <c r="Y257" s="231"/>
      <c r="Z257" s="231"/>
    </row>
    <row r="258">
      <c r="A258" s="231"/>
      <c r="B258" s="231"/>
      <c r="C258" s="231"/>
      <c r="D258" s="231"/>
      <c r="E258" s="231"/>
      <c r="F258" s="231"/>
      <c r="G258" s="231"/>
      <c r="H258" s="231"/>
      <c r="I258" s="231"/>
      <c r="J258" s="231"/>
      <c r="K258" s="231"/>
      <c r="L258" s="231"/>
      <c r="M258" s="231"/>
      <c r="N258" s="231"/>
      <c r="O258" s="231"/>
      <c r="P258" s="231"/>
      <c r="Q258" s="231"/>
      <c r="R258" s="231"/>
      <c r="S258" s="231"/>
      <c r="T258" s="231"/>
      <c r="U258" s="231"/>
      <c r="V258" s="231"/>
      <c r="W258" s="231"/>
      <c r="X258" s="231"/>
      <c r="Y258" s="231"/>
      <c r="Z258" s="231"/>
    </row>
    <row r="259">
      <c r="A259" s="231"/>
      <c r="B259" s="231"/>
      <c r="C259" s="231"/>
      <c r="D259" s="231"/>
      <c r="E259" s="231"/>
      <c r="F259" s="231"/>
      <c r="G259" s="231"/>
      <c r="H259" s="231"/>
      <c r="I259" s="231"/>
      <c r="J259" s="231"/>
      <c r="K259" s="231"/>
      <c r="L259" s="231"/>
      <c r="M259" s="231"/>
      <c r="N259" s="231"/>
      <c r="O259" s="231"/>
      <c r="P259" s="231"/>
      <c r="Q259" s="231"/>
      <c r="R259" s="231"/>
      <c r="S259" s="231"/>
      <c r="T259" s="231"/>
      <c r="U259" s="231"/>
      <c r="V259" s="231"/>
      <c r="W259" s="231"/>
      <c r="X259" s="231"/>
      <c r="Y259" s="231"/>
      <c r="Z259" s="231"/>
    </row>
    <row r="260">
      <c r="A260" s="231"/>
      <c r="B260" s="231"/>
      <c r="C260" s="231"/>
      <c r="D260" s="231"/>
      <c r="E260" s="231"/>
      <c r="F260" s="231"/>
      <c r="G260" s="231"/>
      <c r="H260" s="231"/>
      <c r="I260" s="231"/>
      <c r="J260" s="231"/>
      <c r="K260" s="231"/>
      <c r="L260" s="231"/>
      <c r="M260" s="231"/>
      <c r="N260" s="231"/>
      <c r="O260" s="231"/>
      <c r="P260" s="231"/>
      <c r="Q260" s="231"/>
      <c r="R260" s="231"/>
      <c r="S260" s="231"/>
      <c r="T260" s="231"/>
      <c r="U260" s="231"/>
      <c r="V260" s="231"/>
      <c r="W260" s="231"/>
      <c r="X260" s="231"/>
      <c r="Y260" s="231"/>
      <c r="Z260" s="231"/>
    </row>
    <row r="261">
      <c r="A261" s="231"/>
      <c r="B261" s="231"/>
      <c r="C261" s="231"/>
      <c r="D261" s="231"/>
      <c r="E261" s="231"/>
      <c r="F261" s="231"/>
      <c r="G261" s="231"/>
      <c r="H261" s="231"/>
      <c r="I261" s="231"/>
      <c r="J261" s="231"/>
      <c r="K261" s="231"/>
      <c r="L261" s="231"/>
      <c r="M261" s="231"/>
      <c r="N261" s="231"/>
      <c r="O261" s="231"/>
      <c r="P261" s="231"/>
      <c r="Q261" s="231"/>
      <c r="R261" s="231"/>
      <c r="S261" s="231"/>
      <c r="T261" s="231"/>
      <c r="U261" s="231"/>
      <c r="V261" s="231"/>
      <c r="W261" s="231"/>
      <c r="X261" s="231"/>
      <c r="Y261" s="231"/>
      <c r="Z261" s="231"/>
    </row>
    <row r="262">
      <c r="A262" s="231"/>
      <c r="B262" s="231"/>
      <c r="C262" s="231"/>
      <c r="D262" s="231"/>
      <c r="E262" s="231"/>
      <c r="F262" s="231"/>
      <c r="G262" s="231"/>
      <c r="H262" s="231"/>
      <c r="I262" s="231"/>
      <c r="J262" s="231"/>
      <c r="K262" s="231"/>
      <c r="L262" s="231"/>
      <c r="M262" s="231"/>
      <c r="N262" s="231"/>
      <c r="O262" s="231"/>
      <c r="P262" s="231"/>
      <c r="Q262" s="231"/>
      <c r="R262" s="231"/>
      <c r="S262" s="231"/>
      <c r="T262" s="231"/>
      <c r="U262" s="231"/>
      <c r="V262" s="231"/>
      <c r="W262" s="231"/>
      <c r="X262" s="231"/>
      <c r="Y262" s="231"/>
      <c r="Z262" s="231"/>
    </row>
    <row r="263">
      <c r="A263" s="231"/>
      <c r="B263" s="231"/>
      <c r="C263" s="231"/>
      <c r="D263" s="231"/>
      <c r="E263" s="231"/>
      <c r="F263" s="231"/>
      <c r="G263" s="231"/>
      <c r="H263" s="231"/>
      <c r="I263" s="231"/>
      <c r="J263" s="231"/>
      <c r="K263" s="231"/>
      <c r="L263" s="231"/>
      <c r="M263" s="231"/>
      <c r="N263" s="231"/>
      <c r="O263" s="231"/>
      <c r="P263" s="231"/>
      <c r="Q263" s="231"/>
      <c r="R263" s="231"/>
      <c r="S263" s="231"/>
      <c r="T263" s="231"/>
      <c r="U263" s="231"/>
      <c r="V263" s="231"/>
      <c r="W263" s="231"/>
      <c r="X263" s="231"/>
      <c r="Y263" s="231"/>
      <c r="Z263" s="231"/>
    </row>
    <row r="264">
      <c r="A264" s="231"/>
      <c r="B264" s="231"/>
      <c r="C264" s="231"/>
      <c r="D264" s="231"/>
      <c r="E264" s="231"/>
      <c r="F264" s="231"/>
      <c r="G264" s="231"/>
      <c r="H264" s="231"/>
      <c r="I264" s="231"/>
      <c r="J264" s="231"/>
      <c r="K264" s="231"/>
      <c r="L264" s="231"/>
      <c r="M264" s="231"/>
      <c r="N264" s="231"/>
      <c r="O264" s="231"/>
      <c r="P264" s="231"/>
      <c r="Q264" s="231"/>
      <c r="R264" s="231"/>
      <c r="S264" s="231"/>
      <c r="T264" s="231"/>
      <c r="U264" s="231"/>
      <c r="V264" s="231"/>
      <c r="W264" s="231"/>
      <c r="X264" s="231"/>
      <c r="Y264" s="231"/>
      <c r="Z264" s="231"/>
    </row>
    <row r="265">
      <c r="A265" s="231"/>
      <c r="B265" s="231"/>
      <c r="C265" s="231"/>
      <c r="D265" s="231"/>
      <c r="E265" s="231"/>
      <c r="F265" s="231"/>
      <c r="G265" s="231"/>
      <c r="H265" s="231"/>
      <c r="I265" s="231"/>
      <c r="J265" s="231"/>
      <c r="K265" s="231"/>
      <c r="L265" s="231"/>
      <c r="M265" s="231"/>
      <c r="N265" s="231"/>
      <c r="O265" s="231"/>
      <c r="P265" s="231"/>
      <c r="Q265" s="231"/>
      <c r="R265" s="231"/>
      <c r="S265" s="231"/>
      <c r="T265" s="231"/>
      <c r="U265" s="231"/>
      <c r="V265" s="231"/>
      <c r="W265" s="231"/>
      <c r="X265" s="231"/>
      <c r="Y265" s="231"/>
      <c r="Z265" s="231"/>
    </row>
    <row r="266">
      <c r="A266" s="231"/>
      <c r="B266" s="231"/>
      <c r="C266" s="231"/>
      <c r="D266" s="231"/>
      <c r="E266" s="231"/>
      <c r="F266" s="231"/>
      <c r="G266" s="231"/>
      <c r="H266" s="231"/>
      <c r="I266" s="231"/>
      <c r="J266" s="231"/>
      <c r="K266" s="231"/>
      <c r="L266" s="231"/>
      <c r="M266" s="231"/>
      <c r="N266" s="231"/>
      <c r="O266" s="231"/>
      <c r="P266" s="231"/>
      <c r="Q266" s="231"/>
      <c r="R266" s="231"/>
      <c r="S266" s="231"/>
      <c r="T266" s="231"/>
      <c r="U266" s="231"/>
      <c r="V266" s="231"/>
      <c r="W266" s="231"/>
      <c r="X266" s="231"/>
      <c r="Y266" s="231"/>
      <c r="Z266" s="231"/>
    </row>
    <row r="267">
      <c r="A267" s="231"/>
      <c r="B267" s="231"/>
      <c r="C267" s="231"/>
      <c r="D267" s="231"/>
      <c r="E267" s="231"/>
      <c r="F267" s="231"/>
      <c r="G267" s="231"/>
      <c r="H267" s="231"/>
      <c r="I267" s="231"/>
      <c r="J267" s="231"/>
      <c r="K267" s="231"/>
      <c r="L267" s="231"/>
      <c r="M267" s="231"/>
      <c r="N267" s="231"/>
      <c r="O267" s="231"/>
      <c r="P267" s="231"/>
      <c r="Q267" s="231"/>
      <c r="R267" s="231"/>
      <c r="S267" s="231"/>
      <c r="T267" s="231"/>
      <c r="U267" s="231"/>
      <c r="V267" s="231"/>
      <c r="W267" s="231"/>
      <c r="X267" s="231"/>
      <c r="Y267" s="231"/>
      <c r="Z267" s="231"/>
    </row>
    <row r="268">
      <c r="A268" s="231"/>
      <c r="B268" s="231"/>
      <c r="C268" s="231"/>
      <c r="D268" s="231"/>
      <c r="E268" s="231"/>
      <c r="F268" s="231"/>
      <c r="G268" s="231"/>
      <c r="H268" s="231"/>
      <c r="I268" s="231"/>
      <c r="J268" s="231"/>
      <c r="K268" s="231"/>
      <c r="L268" s="231"/>
      <c r="M268" s="231"/>
      <c r="N268" s="231"/>
      <c r="O268" s="231"/>
      <c r="P268" s="231"/>
      <c r="Q268" s="231"/>
      <c r="R268" s="231"/>
      <c r="S268" s="231"/>
      <c r="T268" s="231"/>
      <c r="U268" s="231"/>
      <c r="V268" s="231"/>
      <c r="W268" s="231"/>
      <c r="X268" s="231"/>
      <c r="Y268" s="231"/>
      <c r="Z268" s="231"/>
    </row>
    <row r="269">
      <c r="A269" s="231"/>
      <c r="B269" s="231"/>
      <c r="C269" s="231"/>
      <c r="D269" s="231"/>
      <c r="E269" s="231"/>
      <c r="F269" s="231"/>
      <c r="G269" s="231"/>
      <c r="H269" s="231"/>
      <c r="I269" s="231"/>
      <c r="J269" s="231"/>
      <c r="K269" s="231"/>
      <c r="L269" s="231"/>
      <c r="M269" s="231"/>
      <c r="N269" s="231"/>
      <c r="O269" s="231"/>
      <c r="P269" s="231"/>
      <c r="Q269" s="231"/>
      <c r="R269" s="231"/>
      <c r="S269" s="231"/>
      <c r="T269" s="231"/>
      <c r="U269" s="231"/>
      <c r="V269" s="231"/>
      <c r="W269" s="231"/>
      <c r="X269" s="231"/>
      <c r="Y269" s="231"/>
      <c r="Z269" s="231"/>
    </row>
    <row r="270">
      <c r="A270" s="231"/>
      <c r="B270" s="231"/>
      <c r="C270" s="231"/>
      <c r="D270" s="231"/>
      <c r="E270" s="231"/>
      <c r="F270" s="231"/>
      <c r="G270" s="231"/>
      <c r="H270" s="231"/>
      <c r="I270" s="231"/>
      <c r="J270" s="231"/>
      <c r="K270" s="231"/>
      <c r="L270" s="231"/>
      <c r="M270" s="231"/>
      <c r="N270" s="231"/>
      <c r="O270" s="231"/>
      <c r="P270" s="231"/>
      <c r="Q270" s="231"/>
      <c r="R270" s="231"/>
      <c r="S270" s="231"/>
      <c r="T270" s="231"/>
      <c r="U270" s="231"/>
      <c r="V270" s="231"/>
      <c r="W270" s="231"/>
      <c r="X270" s="231"/>
      <c r="Y270" s="231"/>
      <c r="Z270" s="231"/>
    </row>
    <row r="271">
      <c r="A271" s="231"/>
      <c r="B271" s="231"/>
      <c r="C271" s="231"/>
      <c r="D271" s="231"/>
      <c r="E271" s="231"/>
      <c r="F271" s="231"/>
      <c r="G271" s="231"/>
      <c r="H271" s="231"/>
      <c r="I271" s="231"/>
      <c r="J271" s="231"/>
      <c r="K271" s="231"/>
      <c r="L271" s="231"/>
      <c r="M271" s="231"/>
      <c r="N271" s="231"/>
      <c r="O271" s="231"/>
      <c r="P271" s="231"/>
      <c r="Q271" s="231"/>
      <c r="R271" s="231"/>
      <c r="S271" s="231"/>
      <c r="T271" s="231"/>
      <c r="U271" s="231"/>
      <c r="V271" s="231"/>
      <c r="W271" s="231"/>
      <c r="X271" s="231"/>
      <c r="Y271" s="231"/>
      <c r="Z271" s="231"/>
    </row>
    <row r="272">
      <c r="A272" s="231"/>
      <c r="B272" s="231"/>
      <c r="C272" s="231"/>
      <c r="D272" s="231"/>
      <c r="E272" s="231"/>
      <c r="F272" s="231"/>
      <c r="G272" s="231"/>
      <c r="H272" s="231"/>
      <c r="I272" s="231"/>
      <c r="J272" s="231"/>
      <c r="K272" s="231"/>
      <c r="L272" s="231"/>
      <c r="M272" s="231"/>
      <c r="N272" s="231"/>
      <c r="O272" s="231"/>
      <c r="P272" s="231"/>
      <c r="Q272" s="231"/>
      <c r="R272" s="231"/>
      <c r="S272" s="231"/>
      <c r="T272" s="231"/>
      <c r="U272" s="231"/>
      <c r="V272" s="231"/>
      <c r="W272" s="231"/>
      <c r="X272" s="231"/>
      <c r="Y272" s="231"/>
      <c r="Z272" s="231"/>
    </row>
    <row r="273">
      <c r="A273" s="231"/>
      <c r="B273" s="231"/>
      <c r="C273" s="231"/>
      <c r="D273" s="231"/>
      <c r="E273" s="231"/>
      <c r="F273" s="231"/>
      <c r="G273" s="231"/>
      <c r="H273" s="231"/>
      <c r="I273" s="231"/>
      <c r="J273" s="231"/>
      <c r="K273" s="231"/>
      <c r="L273" s="231"/>
      <c r="M273" s="231"/>
      <c r="N273" s="231"/>
      <c r="O273" s="231"/>
      <c r="P273" s="231"/>
      <c r="Q273" s="231"/>
      <c r="R273" s="231"/>
      <c r="S273" s="231"/>
      <c r="T273" s="231"/>
      <c r="U273" s="231"/>
      <c r="V273" s="231"/>
      <c r="W273" s="231"/>
      <c r="X273" s="231"/>
      <c r="Y273" s="231"/>
      <c r="Z273" s="231"/>
    </row>
    <row r="274">
      <c r="A274" s="231"/>
      <c r="B274" s="231"/>
      <c r="C274" s="231"/>
      <c r="D274" s="231"/>
      <c r="E274" s="231"/>
      <c r="F274" s="231"/>
      <c r="G274" s="231"/>
      <c r="H274" s="231"/>
      <c r="I274" s="231"/>
      <c r="J274" s="231"/>
      <c r="K274" s="231"/>
      <c r="L274" s="231"/>
      <c r="M274" s="231"/>
      <c r="N274" s="231"/>
      <c r="O274" s="231"/>
      <c r="P274" s="231"/>
      <c r="Q274" s="231"/>
      <c r="R274" s="231"/>
      <c r="S274" s="231"/>
      <c r="T274" s="231"/>
      <c r="U274" s="231"/>
      <c r="V274" s="231"/>
      <c r="W274" s="231"/>
      <c r="X274" s="231"/>
      <c r="Y274" s="231"/>
      <c r="Z274" s="231"/>
    </row>
    <row r="275">
      <c r="A275" s="231"/>
      <c r="B275" s="231"/>
      <c r="C275" s="231"/>
      <c r="D275" s="231"/>
      <c r="E275" s="231"/>
      <c r="F275" s="231"/>
      <c r="G275" s="231"/>
      <c r="H275" s="231"/>
      <c r="I275" s="231"/>
      <c r="J275" s="231"/>
      <c r="K275" s="231"/>
      <c r="L275" s="231"/>
      <c r="M275" s="231"/>
      <c r="N275" s="231"/>
      <c r="O275" s="231"/>
      <c r="P275" s="231"/>
      <c r="Q275" s="231"/>
      <c r="R275" s="231"/>
      <c r="S275" s="231"/>
      <c r="T275" s="231"/>
      <c r="U275" s="231"/>
      <c r="V275" s="231"/>
      <c r="W275" s="231"/>
      <c r="X275" s="231"/>
      <c r="Y275" s="231"/>
      <c r="Z275" s="231"/>
    </row>
    <row r="276">
      <c r="A276" s="231"/>
      <c r="B276" s="231"/>
      <c r="C276" s="231"/>
      <c r="D276" s="231"/>
      <c r="E276" s="231"/>
      <c r="F276" s="231"/>
      <c r="G276" s="231"/>
      <c r="H276" s="231"/>
      <c r="I276" s="231"/>
      <c r="J276" s="231"/>
      <c r="K276" s="231"/>
      <c r="L276" s="231"/>
      <c r="M276" s="231"/>
      <c r="N276" s="231"/>
      <c r="O276" s="231"/>
      <c r="P276" s="231"/>
      <c r="Q276" s="231"/>
      <c r="R276" s="231"/>
      <c r="S276" s="231"/>
      <c r="T276" s="231"/>
      <c r="U276" s="231"/>
      <c r="V276" s="231"/>
      <c r="W276" s="231"/>
      <c r="X276" s="231"/>
      <c r="Y276" s="231"/>
      <c r="Z276" s="231"/>
    </row>
    <row r="277">
      <c r="A277" s="231"/>
      <c r="B277" s="231"/>
      <c r="C277" s="231"/>
      <c r="D277" s="231"/>
      <c r="E277" s="231"/>
      <c r="F277" s="231"/>
      <c r="G277" s="231"/>
      <c r="H277" s="231"/>
      <c r="I277" s="231"/>
      <c r="J277" s="231"/>
      <c r="K277" s="231"/>
      <c r="L277" s="231"/>
      <c r="M277" s="231"/>
      <c r="N277" s="231"/>
      <c r="O277" s="231"/>
      <c r="P277" s="231"/>
      <c r="Q277" s="231"/>
      <c r="R277" s="231"/>
      <c r="S277" s="231"/>
      <c r="T277" s="231"/>
      <c r="U277" s="231"/>
      <c r="V277" s="231"/>
      <c r="W277" s="231"/>
      <c r="X277" s="231"/>
      <c r="Y277" s="231"/>
      <c r="Z277" s="231"/>
    </row>
    <row r="278">
      <c r="A278" s="231"/>
      <c r="B278" s="231"/>
      <c r="C278" s="231"/>
      <c r="D278" s="231"/>
      <c r="E278" s="231"/>
      <c r="F278" s="231"/>
      <c r="G278" s="231"/>
      <c r="H278" s="231"/>
      <c r="I278" s="231"/>
      <c r="J278" s="231"/>
      <c r="K278" s="231"/>
      <c r="L278" s="231"/>
      <c r="M278" s="231"/>
      <c r="N278" s="231"/>
      <c r="O278" s="231"/>
      <c r="P278" s="231"/>
      <c r="Q278" s="231"/>
      <c r="R278" s="231"/>
      <c r="S278" s="231"/>
      <c r="T278" s="231"/>
      <c r="U278" s="231"/>
      <c r="V278" s="231"/>
      <c r="W278" s="231"/>
      <c r="X278" s="231"/>
      <c r="Y278" s="231"/>
      <c r="Z278" s="231"/>
    </row>
    <row r="279">
      <c r="A279" s="231"/>
      <c r="B279" s="231"/>
      <c r="C279" s="231"/>
      <c r="D279" s="231"/>
      <c r="E279" s="231"/>
      <c r="F279" s="231"/>
      <c r="G279" s="231"/>
      <c r="H279" s="231"/>
      <c r="I279" s="231"/>
      <c r="J279" s="231"/>
      <c r="K279" s="231"/>
      <c r="L279" s="231"/>
      <c r="M279" s="231"/>
      <c r="N279" s="231"/>
      <c r="O279" s="231"/>
      <c r="P279" s="231"/>
      <c r="Q279" s="231"/>
      <c r="R279" s="231"/>
      <c r="S279" s="231"/>
      <c r="T279" s="231"/>
      <c r="U279" s="231"/>
      <c r="V279" s="231"/>
      <c r="W279" s="231"/>
      <c r="X279" s="231"/>
      <c r="Y279" s="231"/>
      <c r="Z279" s="231"/>
    </row>
    <row r="280">
      <c r="A280" s="231"/>
      <c r="B280" s="231"/>
      <c r="C280" s="231"/>
      <c r="D280" s="231"/>
      <c r="E280" s="231"/>
      <c r="F280" s="231"/>
      <c r="G280" s="231"/>
      <c r="H280" s="231"/>
      <c r="I280" s="231"/>
      <c r="J280" s="231"/>
      <c r="K280" s="231"/>
      <c r="L280" s="231"/>
      <c r="M280" s="231"/>
      <c r="N280" s="231"/>
      <c r="O280" s="231"/>
      <c r="P280" s="231"/>
      <c r="Q280" s="231"/>
      <c r="R280" s="231"/>
      <c r="S280" s="231"/>
      <c r="T280" s="231"/>
      <c r="U280" s="231"/>
      <c r="V280" s="231"/>
      <c r="W280" s="231"/>
      <c r="X280" s="231"/>
      <c r="Y280" s="231"/>
      <c r="Z280" s="231"/>
    </row>
    <row r="281">
      <c r="A281" s="231"/>
      <c r="B281" s="231"/>
      <c r="C281" s="231"/>
      <c r="D281" s="231"/>
      <c r="E281" s="231"/>
      <c r="F281" s="231"/>
      <c r="G281" s="231"/>
      <c r="H281" s="231"/>
      <c r="I281" s="231"/>
      <c r="J281" s="231"/>
      <c r="K281" s="231"/>
      <c r="L281" s="231"/>
      <c r="M281" s="231"/>
      <c r="N281" s="231"/>
      <c r="O281" s="231"/>
      <c r="P281" s="231"/>
      <c r="Q281" s="231"/>
      <c r="R281" s="231"/>
      <c r="S281" s="231"/>
      <c r="T281" s="231"/>
      <c r="U281" s="231"/>
      <c r="V281" s="231"/>
      <c r="W281" s="231"/>
      <c r="X281" s="231"/>
      <c r="Y281" s="231"/>
      <c r="Z281" s="231"/>
    </row>
    <row r="282">
      <c r="A282" s="231"/>
      <c r="B282" s="231"/>
      <c r="C282" s="231"/>
      <c r="D282" s="231"/>
      <c r="E282" s="231"/>
      <c r="F282" s="231"/>
      <c r="G282" s="231"/>
      <c r="H282" s="231"/>
      <c r="I282" s="231"/>
      <c r="J282" s="231"/>
      <c r="K282" s="231"/>
      <c r="L282" s="231"/>
      <c r="M282" s="231"/>
      <c r="N282" s="231"/>
      <c r="O282" s="231"/>
      <c r="P282" s="231"/>
      <c r="Q282" s="231"/>
      <c r="R282" s="231"/>
      <c r="S282" s="231"/>
      <c r="T282" s="231"/>
      <c r="U282" s="231"/>
      <c r="V282" s="231"/>
      <c r="W282" s="231"/>
      <c r="X282" s="231"/>
      <c r="Y282" s="231"/>
      <c r="Z282" s="231"/>
    </row>
    <row r="283">
      <c r="A283" s="231"/>
      <c r="B283" s="231"/>
      <c r="C283" s="231"/>
      <c r="D283" s="231"/>
      <c r="E283" s="231"/>
      <c r="F283" s="231"/>
      <c r="G283" s="231"/>
      <c r="H283" s="231"/>
      <c r="I283" s="231"/>
      <c r="J283" s="231"/>
      <c r="K283" s="231"/>
      <c r="L283" s="231"/>
      <c r="M283" s="231"/>
      <c r="N283" s="231"/>
      <c r="O283" s="231"/>
      <c r="P283" s="231"/>
      <c r="Q283" s="231"/>
      <c r="R283" s="231"/>
      <c r="S283" s="231"/>
      <c r="T283" s="231"/>
      <c r="U283" s="231"/>
      <c r="V283" s="231"/>
      <c r="W283" s="231"/>
      <c r="X283" s="231"/>
      <c r="Y283" s="231"/>
      <c r="Z283" s="231"/>
    </row>
    <row r="284">
      <c r="A284" s="231"/>
      <c r="B284" s="231"/>
      <c r="C284" s="231"/>
      <c r="D284" s="231"/>
      <c r="E284" s="231"/>
      <c r="F284" s="231"/>
      <c r="G284" s="231"/>
      <c r="H284" s="231"/>
      <c r="I284" s="231"/>
      <c r="J284" s="231"/>
      <c r="K284" s="231"/>
      <c r="L284" s="231"/>
      <c r="M284" s="231"/>
      <c r="N284" s="231"/>
      <c r="O284" s="231"/>
      <c r="P284" s="231"/>
      <c r="Q284" s="231"/>
      <c r="R284" s="231"/>
      <c r="S284" s="231"/>
      <c r="T284" s="231"/>
      <c r="U284" s="231"/>
      <c r="V284" s="231"/>
      <c r="W284" s="231"/>
      <c r="X284" s="231"/>
      <c r="Y284" s="231"/>
      <c r="Z284" s="231"/>
    </row>
    <row r="285">
      <c r="A285" s="231"/>
      <c r="B285" s="231"/>
      <c r="C285" s="231"/>
      <c r="D285" s="231"/>
      <c r="E285" s="231"/>
      <c r="F285" s="231"/>
      <c r="G285" s="231"/>
      <c r="H285" s="231"/>
      <c r="I285" s="231"/>
      <c r="J285" s="231"/>
      <c r="K285" s="231"/>
      <c r="L285" s="231"/>
      <c r="M285" s="231"/>
      <c r="N285" s="231"/>
      <c r="O285" s="231"/>
      <c r="P285" s="231"/>
      <c r="Q285" s="231"/>
      <c r="R285" s="231"/>
      <c r="S285" s="231"/>
      <c r="T285" s="231"/>
      <c r="U285" s="231"/>
      <c r="V285" s="231"/>
      <c r="W285" s="231"/>
      <c r="X285" s="231"/>
      <c r="Y285" s="231"/>
      <c r="Z285" s="231"/>
    </row>
    <row r="286">
      <c r="A286" s="231"/>
      <c r="B286" s="231"/>
      <c r="C286" s="231"/>
      <c r="D286" s="231"/>
      <c r="E286" s="231"/>
      <c r="F286" s="231"/>
      <c r="G286" s="231"/>
      <c r="H286" s="231"/>
      <c r="I286" s="231"/>
      <c r="J286" s="231"/>
      <c r="K286" s="231"/>
      <c r="L286" s="231"/>
      <c r="M286" s="231"/>
      <c r="N286" s="231"/>
      <c r="O286" s="231"/>
      <c r="P286" s="231"/>
      <c r="Q286" s="231"/>
      <c r="R286" s="231"/>
      <c r="S286" s="231"/>
      <c r="T286" s="231"/>
      <c r="U286" s="231"/>
      <c r="V286" s="231"/>
      <c r="W286" s="231"/>
      <c r="X286" s="231"/>
      <c r="Y286" s="231"/>
      <c r="Z286" s="231"/>
    </row>
    <row r="287">
      <c r="A287" s="231"/>
      <c r="B287" s="231"/>
      <c r="C287" s="231"/>
      <c r="D287" s="231"/>
      <c r="E287" s="231"/>
      <c r="F287" s="231"/>
      <c r="G287" s="231"/>
      <c r="H287" s="231"/>
      <c r="I287" s="231"/>
      <c r="J287" s="231"/>
      <c r="K287" s="231"/>
      <c r="L287" s="231"/>
      <c r="M287" s="231"/>
      <c r="N287" s="231"/>
      <c r="O287" s="231"/>
      <c r="P287" s="231"/>
      <c r="Q287" s="231"/>
      <c r="R287" s="231"/>
      <c r="S287" s="231"/>
      <c r="T287" s="231"/>
      <c r="U287" s="231"/>
      <c r="V287" s="231"/>
      <c r="W287" s="231"/>
      <c r="X287" s="231"/>
      <c r="Y287" s="231"/>
      <c r="Z287" s="231"/>
    </row>
    <row r="288">
      <c r="A288" s="231"/>
      <c r="B288" s="231"/>
      <c r="C288" s="231"/>
      <c r="D288" s="231"/>
      <c r="E288" s="231"/>
      <c r="F288" s="231"/>
      <c r="G288" s="231"/>
      <c r="H288" s="231"/>
      <c r="I288" s="231"/>
      <c r="J288" s="231"/>
      <c r="K288" s="231"/>
      <c r="L288" s="231"/>
      <c r="M288" s="231"/>
      <c r="N288" s="231"/>
      <c r="O288" s="231"/>
      <c r="P288" s="231"/>
      <c r="Q288" s="231"/>
      <c r="R288" s="231"/>
      <c r="S288" s="231"/>
      <c r="T288" s="231"/>
      <c r="U288" s="231"/>
      <c r="V288" s="231"/>
      <c r="W288" s="231"/>
      <c r="X288" s="231"/>
      <c r="Y288" s="231"/>
      <c r="Z288" s="231"/>
    </row>
    <row r="289">
      <c r="A289" s="231"/>
      <c r="B289" s="231"/>
      <c r="C289" s="231"/>
      <c r="D289" s="231"/>
      <c r="E289" s="231"/>
      <c r="F289" s="231"/>
      <c r="G289" s="231"/>
      <c r="H289" s="231"/>
      <c r="I289" s="231"/>
      <c r="J289" s="231"/>
      <c r="K289" s="231"/>
      <c r="L289" s="231"/>
      <c r="M289" s="231"/>
      <c r="N289" s="231"/>
      <c r="O289" s="231"/>
      <c r="P289" s="231"/>
      <c r="Q289" s="231"/>
      <c r="R289" s="231"/>
      <c r="S289" s="231"/>
      <c r="T289" s="231"/>
      <c r="U289" s="231"/>
      <c r="V289" s="231"/>
      <c r="W289" s="231"/>
      <c r="X289" s="231"/>
      <c r="Y289" s="231"/>
      <c r="Z289" s="231"/>
    </row>
    <row r="290">
      <c r="A290" s="231"/>
      <c r="B290" s="231"/>
      <c r="C290" s="231"/>
      <c r="D290" s="231"/>
      <c r="E290" s="231"/>
      <c r="F290" s="231"/>
      <c r="G290" s="231"/>
      <c r="H290" s="231"/>
      <c r="I290" s="231"/>
      <c r="J290" s="231"/>
      <c r="K290" s="231"/>
      <c r="L290" s="231"/>
      <c r="M290" s="231"/>
      <c r="N290" s="231"/>
      <c r="O290" s="231"/>
      <c r="P290" s="231"/>
      <c r="Q290" s="231"/>
      <c r="R290" s="231"/>
      <c r="S290" s="231"/>
      <c r="T290" s="231"/>
      <c r="U290" s="231"/>
      <c r="V290" s="231"/>
      <c r="W290" s="231"/>
      <c r="X290" s="231"/>
      <c r="Y290" s="231"/>
      <c r="Z290" s="231"/>
    </row>
    <row r="291">
      <c r="A291" s="231"/>
      <c r="B291" s="231"/>
      <c r="C291" s="231"/>
      <c r="D291" s="231"/>
      <c r="E291" s="231"/>
      <c r="F291" s="231"/>
      <c r="G291" s="231"/>
      <c r="H291" s="231"/>
      <c r="I291" s="231"/>
      <c r="J291" s="231"/>
      <c r="K291" s="231"/>
      <c r="L291" s="231"/>
      <c r="M291" s="231"/>
      <c r="N291" s="231"/>
      <c r="O291" s="231"/>
      <c r="P291" s="231"/>
      <c r="Q291" s="231"/>
      <c r="R291" s="231"/>
      <c r="S291" s="231"/>
      <c r="T291" s="231"/>
      <c r="U291" s="231"/>
      <c r="V291" s="231"/>
      <c r="W291" s="231"/>
      <c r="X291" s="231"/>
      <c r="Y291" s="231"/>
      <c r="Z291" s="231"/>
    </row>
    <row r="292">
      <c r="A292" s="231"/>
      <c r="B292" s="231"/>
      <c r="C292" s="231"/>
      <c r="D292" s="231"/>
      <c r="E292" s="231"/>
      <c r="F292" s="231"/>
      <c r="G292" s="231"/>
      <c r="H292" s="231"/>
      <c r="I292" s="231"/>
      <c r="J292" s="231"/>
      <c r="K292" s="231"/>
      <c r="L292" s="231"/>
      <c r="M292" s="231"/>
      <c r="N292" s="231"/>
      <c r="O292" s="231"/>
      <c r="P292" s="231"/>
      <c r="Q292" s="231"/>
      <c r="R292" s="231"/>
      <c r="S292" s="231"/>
      <c r="T292" s="231"/>
      <c r="U292" s="231"/>
      <c r="V292" s="231"/>
      <c r="W292" s="231"/>
      <c r="X292" s="231"/>
      <c r="Y292" s="231"/>
      <c r="Z292" s="231"/>
    </row>
    <row r="293">
      <c r="A293" s="231"/>
      <c r="B293" s="231"/>
      <c r="C293" s="231"/>
      <c r="D293" s="231"/>
      <c r="E293" s="231"/>
      <c r="F293" s="231"/>
      <c r="G293" s="231"/>
      <c r="H293" s="231"/>
      <c r="I293" s="231"/>
      <c r="J293" s="231"/>
      <c r="K293" s="231"/>
      <c r="L293" s="231"/>
      <c r="M293" s="231"/>
      <c r="N293" s="231"/>
      <c r="O293" s="231"/>
      <c r="P293" s="231"/>
      <c r="Q293" s="231"/>
      <c r="R293" s="231"/>
      <c r="S293" s="231"/>
      <c r="T293" s="231"/>
      <c r="U293" s="231"/>
      <c r="V293" s="231"/>
      <c r="W293" s="231"/>
      <c r="X293" s="231"/>
      <c r="Y293" s="231"/>
      <c r="Z293" s="231"/>
    </row>
    <row r="294">
      <c r="A294" s="231"/>
      <c r="B294" s="231"/>
      <c r="C294" s="231"/>
      <c r="D294" s="231"/>
      <c r="E294" s="231"/>
      <c r="F294" s="231"/>
      <c r="G294" s="231"/>
      <c r="H294" s="231"/>
      <c r="I294" s="231"/>
      <c r="J294" s="231"/>
      <c r="K294" s="231"/>
      <c r="L294" s="231"/>
      <c r="M294" s="231"/>
      <c r="N294" s="231"/>
      <c r="O294" s="231"/>
      <c r="P294" s="231"/>
      <c r="Q294" s="231"/>
      <c r="R294" s="231"/>
      <c r="S294" s="231"/>
      <c r="T294" s="231"/>
      <c r="U294" s="231"/>
      <c r="V294" s="231"/>
      <c r="W294" s="231"/>
      <c r="X294" s="231"/>
      <c r="Y294" s="231"/>
      <c r="Z294" s="231"/>
    </row>
    <row r="295">
      <c r="A295" s="231"/>
      <c r="B295" s="231"/>
      <c r="C295" s="231"/>
      <c r="D295" s="231"/>
      <c r="E295" s="231"/>
      <c r="F295" s="231"/>
      <c r="G295" s="231"/>
      <c r="H295" s="231"/>
      <c r="I295" s="231"/>
      <c r="J295" s="231"/>
      <c r="K295" s="231"/>
      <c r="L295" s="231"/>
      <c r="M295" s="231"/>
      <c r="N295" s="231"/>
      <c r="O295" s="231"/>
      <c r="P295" s="231"/>
      <c r="Q295" s="231"/>
      <c r="R295" s="231"/>
      <c r="S295" s="231"/>
      <c r="T295" s="231"/>
      <c r="U295" s="231"/>
      <c r="V295" s="231"/>
      <c r="W295" s="231"/>
      <c r="X295" s="231"/>
      <c r="Y295" s="231"/>
      <c r="Z295" s="231"/>
    </row>
    <row r="296">
      <c r="A296" s="231"/>
      <c r="B296" s="231"/>
      <c r="C296" s="231"/>
      <c r="D296" s="231"/>
      <c r="E296" s="231"/>
      <c r="F296" s="231"/>
      <c r="G296" s="231"/>
      <c r="H296" s="231"/>
      <c r="I296" s="231"/>
      <c r="J296" s="231"/>
      <c r="K296" s="231"/>
      <c r="L296" s="231"/>
      <c r="M296" s="231"/>
      <c r="N296" s="231"/>
      <c r="O296" s="231"/>
      <c r="P296" s="231"/>
      <c r="Q296" s="231"/>
      <c r="R296" s="231"/>
      <c r="S296" s="231"/>
      <c r="T296" s="231"/>
      <c r="U296" s="231"/>
      <c r="V296" s="231"/>
      <c r="W296" s="231"/>
      <c r="X296" s="231"/>
      <c r="Y296" s="231"/>
      <c r="Z296" s="231"/>
    </row>
    <row r="297">
      <c r="A297" s="231"/>
      <c r="B297" s="231"/>
      <c r="C297" s="231"/>
      <c r="D297" s="231"/>
      <c r="E297" s="231"/>
      <c r="F297" s="231"/>
      <c r="G297" s="231"/>
      <c r="H297" s="231"/>
      <c r="I297" s="231"/>
      <c r="J297" s="231"/>
      <c r="K297" s="231"/>
      <c r="L297" s="231"/>
      <c r="M297" s="231"/>
      <c r="N297" s="231"/>
      <c r="O297" s="231"/>
      <c r="P297" s="231"/>
      <c r="Q297" s="231"/>
      <c r="R297" s="231"/>
      <c r="S297" s="231"/>
      <c r="T297" s="231"/>
      <c r="U297" s="231"/>
      <c r="V297" s="231"/>
      <c r="W297" s="231"/>
      <c r="X297" s="231"/>
      <c r="Y297" s="231"/>
      <c r="Z297" s="231"/>
    </row>
    <row r="298">
      <c r="A298" s="231"/>
      <c r="B298" s="231"/>
      <c r="C298" s="231"/>
      <c r="D298" s="231"/>
      <c r="E298" s="231"/>
      <c r="F298" s="231"/>
      <c r="G298" s="231"/>
      <c r="H298" s="231"/>
      <c r="I298" s="231"/>
      <c r="J298" s="231"/>
      <c r="K298" s="231"/>
      <c r="L298" s="231"/>
      <c r="M298" s="231"/>
      <c r="N298" s="231"/>
      <c r="O298" s="231"/>
      <c r="P298" s="231"/>
      <c r="Q298" s="231"/>
      <c r="R298" s="231"/>
      <c r="S298" s="231"/>
      <c r="T298" s="231"/>
      <c r="U298" s="231"/>
      <c r="V298" s="231"/>
      <c r="W298" s="231"/>
      <c r="X298" s="231"/>
      <c r="Y298" s="231"/>
      <c r="Z298" s="231"/>
    </row>
    <row r="299">
      <c r="A299" s="231"/>
      <c r="B299" s="231"/>
      <c r="C299" s="231"/>
      <c r="D299" s="231"/>
      <c r="E299" s="231"/>
      <c r="F299" s="231"/>
      <c r="G299" s="231"/>
      <c r="H299" s="231"/>
      <c r="I299" s="231"/>
      <c r="J299" s="231"/>
      <c r="K299" s="231"/>
      <c r="L299" s="231"/>
      <c r="M299" s="231"/>
      <c r="N299" s="231"/>
      <c r="O299" s="231"/>
      <c r="P299" s="231"/>
      <c r="Q299" s="231"/>
      <c r="R299" s="231"/>
      <c r="S299" s="231"/>
      <c r="T299" s="231"/>
      <c r="U299" s="231"/>
      <c r="V299" s="231"/>
      <c r="W299" s="231"/>
      <c r="X299" s="231"/>
      <c r="Y299" s="231"/>
      <c r="Z299" s="231"/>
    </row>
    <row r="300">
      <c r="A300" s="231"/>
      <c r="B300" s="231"/>
      <c r="C300" s="231"/>
      <c r="D300" s="231"/>
      <c r="E300" s="231"/>
      <c r="F300" s="231"/>
      <c r="G300" s="231"/>
      <c r="H300" s="231"/>
      <c r="I300" s="231"/>
      <c r="J300" s="231"/>
      <c r="K300" s="231"/>
      <c r="L300" s="231"/>
      <c r="M300" s="231"/>
      <c r="N300" s="231"/>
      <c r="O300" s="231"/>
      <c r="P300" s="231"/>
      <c r="Q300" s="231"/>
      <c r="R300" s="231"/>
      <c r="S300" s="231"/>
      <c r="T300" s="231"/>
      <c r="U300" s="231"/>
      <c r="V300" s="231"/>
      <c r="W300" s="231"/>
      <c r="X300" s="231"/>
      <c r="Y300" s="231"/>
      <c r="Z300" s="231"/>
    </row>
    <row r="301">
      <c r="A301" s="231"/>
      <c r="B301" s="231"/>
      <c r="C301" s="231"/>
      <c r="D301" s="231"/>
      <c r="E301" s="231"/>
      <c r="F301" s="231"/>
      <c r="G301" s="231"/>
      <c r="H301" s="231"/>
      <c r="I301" s="231"/>
      <c r="J301" s="231"/>
      <c r="K301" s="231"/>
      <c r="L301" s="231"/>
      <c r="M301" s="231"/>
      <c r="N301" s="231"/>
      <c r="O301" s="231"/>
      <c r="P301" s="231"/>
      <c r="Q301" s="231"/>
      <c r="R301" s="231"/>
      <c r="S301" s="231"/>
      <c r="T301" s="231"/>
      <c r="U301" s="231"/>
      <c r="V301" s="231"/>
      <c r="W301" s="231"/>
      <c r="X301" s="231"/>
      <c r="Y301" s="231"/>
      <c r="Z301" s="231"/>
    </row>
    <row r="302">
      <c r="A302" s="231"/>
      <c r="B302" s="231"/>
      <c r="C302" s="231"/>
      <c r="D302" s="231"/>
      <c r="E302" s="231"/>
      <c r="F302" s="231"/>
      <c r="G302" s="231"/>
      <c r="H302" s="231"/>
      <c r="I302" s="231"/>
      <c r="J302" s="231"/>
      <c r="K302" s="231"/>
      <c r="L302" s="231"/>
      <c r="M302" s="231"/>
      <c r="N302" s="231"/>
      <c r="O302" s="231"/>
      <c r="P302" s="231"/>
      <c r="Q302" s="231"/>
      <c r="R302" s="231"/>
      <c r="S302" s="231"/>
      <c r="T302" s="231"/>
      <c r="U302" s="231"/>
      <c r="V302" s="231"/>
      <c r="W302" s="231"/>
      <c r="X302" s="231"/>
      <c r="Y302" s="231"/>
      <c r="Z302" s="231"/>
    </row>
    <row r="303">
      <c r="A303" s="231"/>
      <c r="B303" s="231"/>
      <c r="C303" s="231"/>
      <c r="D303" s="231"/>
      <c r="E303" s="231"/>
      <c r="F303" s="231"/>
      <c r="G303" s="231"/>
      <c r="H303" s="231"/>
      <c r="I303" s="231"/>
      <c r="J303" s="231"/>
      <c r="K303" s="231"/>
      <c r="L303" s="231"/>
      <c r="M303" s="231"/>
      <c r="N303" s="231"/>
      <c r="O303" s="231"/>
      <c r="P303" s="231"/>
      <c r="Q303" s="231"/>
      <c r="R303" s="231"/>
      <c r="S303" s="231"/>
      <c r="T303" s="231"/>
      <c r="U303" s="231"/>
      <c r="V303" s="231"/>
      <c r="W303" s="231"/>
      <c r="X303" s="231"/>
      <c r="Y303" s="231"/>
      <c r="Z303" s="231"/>
    </row>
    <row r="304">
      <c r="A304" s="231"/>
      <c r="B304" s="231"/>
      <c r="C304" s="231"/>
      <c r="D304" s="231"/>
      <c r="E304" s="231"/>
      <c r="F304" s="231"/>
      <c r="G304" s="231"/>
      <c r="H304" s="231"/>
      <c r="I304" s="231"/>
      <c r="J304" s="231"/>
      <c r="K304" s="231"/>
      <c r="L304" s="231"/>
      <c r="M304" s="231"/>
      <c r="N304" s="231"/>
      <c r="O304" s="231"/>
      <c r="P304" s="231"/>
      <c r="Q304" s="231"/>
      <c r="R304" s="231"/>
      <c r="S304" s="231"/>
      <c r="T304" s="231"/>
      <c r="U304" s="231"/>
      <c r="V304" s="231"/>
      <c r="W304" s="231"/>
      <c r="X304" s="231"/>
      <c r="Y304" s="231"/>
      <c r="Z304" s="231"/>
    </row>
    <row r="305">
      <c r="A305" s="231"/>
      <c r="B305" s="231"/>
      <c r="C305" s="231"/>
      <c r="D305" s="231"/>
      <c r="E305" s="231"/>
      <c r="F305" s="231"/>
      <c r="G305" s="231"/>
      <c r="H305" s="231"/>
      <c r="I305" s="231"/>
      <c r="J305" s="231"/>
      <c r="K305" s="231"/>
      <c r="L305" s="231"/>
      <c r="M305" s="231"/>
      <c r="N305" s="231"/>
      <c r="O305" s="231"/>
      <c r="P305" s="231"/>
      <c r="Q305" s="231"/>
      <c r="R305" s="231"/>
      <c r="S305" s="231"/>
      <c r="T305" s="231"/>
      <c r="U305" s="231"/>
      <c r="V305" s="231"/>
      <c r="W305" s="231"/>
      <c r="X305" s="231"/>
      <c r="Y305" s="231"/>
      <c r="Z305" s="231"/>
    </row>
    <row r="306">
      <c r="A306" s="231"/>
      <c r="B306" s="231"/>
      <c r="C306" s="231"/>
      <c r="D306" s="231"/>
      <c r="E306" s="231"/>
      <c r="F306" s="231"/>
      <c r="G306" s="231"/>
      <c r="H306" s="231"/>
      <c r="I306" s="231"/>
      <c r="J306" s="231"/>
      <c r="K306" s="231"/>
      <c r="L306" s="231"/>
      <c r="M306" s="231"/>
      <c r="N306" s="231"/>
      <c r="O306" s="231"/>
      <c r="P306" s="231"/>
      <c r="Q306" s="231"/>
      <c r="R306" s="231"/>
      <c r="S306" s="231"/>
      <c r="T306" s="231"/>
      <c r="U306" s="231"/>
      <c r="V306" s="231"/>
      <c r="W306" s="231"/>
      <c r="X306" s="231"/>
      <c r="Y306" s="231"/>
      <c r="Z306" s="231"/>
    </row>
    <row r="307">
      <c r="A307" s="231"/>
      <c r="B307" s="231"/>
      <c r="C307" s="231"/>
      <c r="D307" s="231"/>
      <c r="E307" s="231"/>
      <c r="F307" s="231"/>
      <c r="G307" s="231"/>
      <c r="H307" s="231"/>
      <c r="I307" s="231"/>
      <c r="J307" s="231"/>
      <c r="K307" s="231"/>
      <c r="L307" s="231"/>
      <c r="M307" s="231"/>
      <c r="N307" s="231"/>
      <c r="O307" s="231"/>
      <c r="P307" s="231"/>
      <c r="Q307" s="231"/>
      <c r="R307" s="231"/>
      <c r="S307" s="231"/>
      <c r="T307" s="231"/>
      <c r="U307" s="231"/>
      <c r="V307" s="231"/>
      <c r="W307" s="231"/>
      <c r="X307" s="231"/>
      <c r="Y307" s="231"/>
      <c r="Z307" s="231"/>
    </row>
    <row r="308">
      <c r="A308" s="231"/>
      <c r="B308" s="231"/>
      <c r="C308" s="231"/>
      <c r="D308" s="231"/>
      <c r="E308" s="231"/>
      <c r="F308" s="231"/>
      <c r="G308" s="231"/>
      <c r="H308" s="231"/>
      <c r="I308" s="231"/>
      <c r="J308" s="231"/>
      <c r="K308" s="231"/>
      <c r="L308" s="231"/>
      <c r="M308" s="231"/>
      <c r="N308" s="231"/>
      <c r="O308" s="231"/>
      <c r="P308" s="231"/>
      <c r="Q308" s="231"/>
      <c r="R308" s="231"/>
      <c r="S308" s="231"/>
      <c r="T308" s="231"/>
      <c r="U308" s="231"/>
      <c r="V308" s="231"/>
      <c r="W308" s="231"/>
      <c r="X308" s="231"/>
      <c r="Y308" s="231"/>
      <c r="Z308" s="231"/>
    </row>
    <row r="309">
      <c r="A309" s="231"/>
      <c r="B309" s="231"/>
      <c r="C309" s="231"/>
      <c r="D309" s="231"/>
      <c r="E309" s="231"/>
      <c r="F309" s="231"/>
      <c r="G309" s="231"/>
      <c r="H309" s="231"/>
      <c r="I309" s="231"/>
      <c r="J309" s="231"/>
      <c r="K309" s="231"/>
      <c r="L309" s="231"/>
      <c r="M309" s="231"/>
      <c r="N309" s="231"/>
      <c r="O309" s="231"/>
      <c r="P309" s="231"/>
      <c r="Q309" s="231"/>
      <c r="R309" s="231"/>
      <c r="S309" s="231"/>
      <c r="T309" s="231"/>
      <c r="U309" s="231"/>
      <c r="V309" s="231"/>
      <c r="W309" s="231"/>
      <c r="X309" s="231"/>
      <c r="Y309" s="231"/>
      <c r="Z309" s="231"/>
    </row>
    <row r="310">
      <c r="A310" s="231"/>
      <c r="B310" s="231"/>
      <c r="C310" s="231"/>
      <c r="D310" s="231"/>
      <c r="E310" s="231"/>
      <c r="F310" s="231"/>
      <c r="G310" s="231"/>
      <c r="H310" s="231"/>
      <c r="I310" s="231"/>
      <c r="J310" s="231"/>
      <c r="K310" s="231"/>
      <c r="L310" s="231"/>
      <c r="M310" s="231"/>
      <c r="N310" s="231"/>
      <c r="O310" s="231"/>
      <c r="P310" s="231"/>
      <c r="Q310" s="231"/>
      <c r="R310" s="231"/>
      <c r="S310" s="231"/>
      <c r="T310" s="231"/>
      <c r="U310" s="231"/>
      <c r="V310" s="231"/>
      <c r="W310" s="231"/>
      <c r="X310" s="231"/>
      <c r="Y310" s="231"/>
      <c r="Z310" s="231"/>
    </row>
    <row r="311">
      <c r="A311" s="231"/>
      <c r="B311" s="231"/>
      <c r="C311" s="231"/>
      <c r="D311" s="231"/>
      <c r="E311" s="231"/>
      <c r="F311" s="231"/>
      <c r="G311" s="231"/>
      <c r="H311" s="231"/>
      <c r="I311" s="231"/>
      <c r="J311" s="231"/>
      <c r="K311" s="231"/>
      <c r="L311" s="231"/>
      <c r="M311" s="231"/>
      <c r="N311" s="231"/>
      <c r="O311" s="231"/>
      <c r="P311" s="231"/>
      <c r="Q311" s="231"/>
      <c r="R311" s="231"/>
      <c r="S311" s="231"/>
      <c r="T311" s="231"/>
      <c r="U311" s="231"/>
      <c r="V311" s="231"/>
      <c r="W311" s="231"/>
      <c r="X311" s="231"/>
      <c r="Y311" s="231"/>
      <c r="Z311" s="231"/>
    </row>
    <row r="312">
      <c r="A312" s="231"/>
      <c r="B312" s="231"/>
      <c r="C312" s="231"/>
      <c r="D312" s="231"/>
      <c r="E312" s="231"/>
      <c r="F312" s="231"/>
      <c r="G312" s="231"/>
      <c r="H312" s="231"/>
      <c r="I312" s="231"/>
      <c r="J312" s="231"/>
      <c r="K312" s="231"/>
      <c r="L312" s="231"/>
      <c r="M312" s="231"/>
      <c r="N312" s="231"/>
      <c r="O312" s="231"/>
      <c r="P312" s="231"/>
      <c r="Q312" s="231"/>
      <c r="R312" s="231"/>
      <c r="S312" s="231"/>
      <c r="T312" s="231"/>
      <c r="U312" s="231"/>
      <c r="V312" s="231"/>
      <c r="W312" s="231"/>
      <c r="X312" s="231"/>
      <c r="Y312" s="231"/>
      <c r="Z312" s="231"/>
    </row>
    <row r="313">
      <c r="A313" s="231"/>
      <c r="B313" s="231"/>
      <c r="C313" s="231"/>
      <c r="D313" s="231"/>
      <c r="E313" s="231"/>
      <c r="F313" s="231"/>
      <c r="G313" s="231"/>
      <c r="H313" s="231"/>
      <c r="I313" s="231"/>
      <c r="J313" s="231"/>
      <c r="K313" s="231"/>
      <c r="L313" s="231"/>
      <c r="M313" s="231"/>
      <c r="N313" s="231"/>
      <c r="O313" s="231"/>
      <c r="P313" s="231"/>
      <c r="Q313" s="231"/>
      <c r="R313" s="231"/>
      <c r="S313" s="231"/>
      <c r="T313" s="231"/>
      <c r="U313" s="231"/>
      <c r="V313" s="231"/>
      <c r="W313" s="231"/>
      <c r="X313" s="231"/>
      <c r="Y313" s="231"/>
      <c r="Z313" s="231"/>
    </row>
    <row r="314">
      <c r="A314" s="231"/>
      <c r="B314" s="231"/>
      <c r="C314" s="231"/>
      <c r="D314" s="231"/>
      <c r="E314" s="231"/>
      <c r="F314" s="231"/>
      <c r="G314" s="231"/>
      <c r="H314" s="231"/>
      <c r="I314" s="231"/>
      <c r="J314" s="231"/>
      <c r="K314" s="231"/>
      <c r="L314" s="231"/>
      <c r="M314" s="231"/>
      <c r="N314" s="231"/>
      <c r="O314" s="231"/>
      <c r="P314" s="231"/>
      <c r="Q314" s="231"/>
      <c r="R314" s="231"/>
      <c r="S314" s="231"/>
      <c r="T314" s="231"/>
      <c r="U314" s="231"/>
      <c r="V314" s="231"/>
      <c r="W314" s="231"/>
      <c r="X314" s="231"/>
      <c r="Y314" s="231"/>
      <c r="Z314" s="231"/>
    </row>
    <row r="315">
      <c r="A315" s="231"/>
      <c r="B315" s="231"/>
      <c r="C315" s="231"/>
      <c r="D315" s="231"/>
      <c r="E315" s="231"/>
      <c r="F315" s="231"/>
      <c r="G315" s="231"/>
      <c r="H315" s="231"/>
      <c r="I315" s="231"/>
      <c r="J315" s="231"/>
      <c r="K315" s="231"/>
      <c r="L315" s="231"/>
      <c r="M315" s="231"/>
      <c r="N315" s="231"/>
      <c r="O315" s="231"/>
      <c r="P315" s="231"/>
      <c r="Q315" s="231"/>
      <c r="R315" s="231"/>
      <c r="S315" s="231"/>
      <c r="T315" s="231"/>
      <c r="U315" s="231"/>
      <c r="V315" s="231"/>
      <c r="W315" s="231"/>
      <c r="X315" s="231"/>
      <c r="Y315" s="231"/>
      <c r="Z315" s="231"/>
    </row>
    <row r="316">
      <c r="A316" s="231"/>
      <c r="B316" s="231"/>
      <c r="C316" s="231"/>
      <c r="D316" s="231"/>
      <c r="E316" s="231"/>
      <c r="F316" s="231"/>
      <c r="G316" s="231"/>
      <c r="H316" s="231"/>
      <c r="I316" s="231"/>
      <c r="J316" s="231"/>
      <c r="K316" s="231"/>
      <c r="L316" s="231"/>
      <c r="M316" s="231"/>
      <c r="N316" s="231"/>
      <c r="O316" s="231"/>
      <c r="P316" s="231"/>
      <c r="Q316" s="231"/>
      <c r="R316" s="231"/>
      <c r="S316" s="231"/>
      <c r="T316" s="231"/>
      <c r="U316" s="231"/>
      <c r="V316" s="231"/>
      <c r="W316" s="231"/>
      <c r="X316" s="231"/>
      <c r="Y316" s="231"/>
      <c r="Z316" s="231"/>
    </row>
    <row r="317">
      <c r="A317" s="231"/>
      <c r="B317" s="231"/>
      <c r="C317" s="231"/>
      <c r="D317" s="231"/>
      <c r="E317" s="231"/>
      <c r="F317" s="231"/>
      <c r="G317" s="231"/>
      <c r="H317" s="231"/>
      <c r="I317" s="231"/>
      <c r="J317" s="231"/>
      <c r="K317" s="231"/>
      <c r="L317" s="231"/>
      <c r="M317" s="231"/>
      <c r="N317" s="231"/>
      <c r="O317" s="231"/>
      <c r="P317" s="231"/>
      <c r="Q317" s="231"/>
      <c r="R317" s="231"/>
      <c r="S317" s="231"/>
      <c r="T317" s="231"/>
      <c r="U317" s="231"/>
      <c r="V317" s="231"/>
      <c r="W317" s="231"/>
      <c r="X317" s="231"/>
      <c r="Y317" s="231"/>
      <c r="Z317" s="231"/>
    </row>
    <row r="318">
      <c r="A318" s="231"/>
      <c r="B318" s="231"/>
      <c r="C318" s="231"/>
      <c r="D318" s="231"/>
      <c r="E318" s="231"/>
      <c r="F318" s="231"/>
      <c r="G318" s="231"/>
      <c r="H318" s="231"/>
      <c r="I318" s="231"/>
      <c r="J318" s="231"/>
      <c r="K318" s="231"/>
      <c r="L318" s="231"/>
      <c r="M318" s="231"/>
      <c r="N318" s="231"/>
      <c r="O318" s="231"/>
      <c r="P318" s="231"/>
      <c r="Q318" s="231"/>
      <c r="R318" s="231"/>
      <c r="S318" s="231"/>
      <c r="T318" s="231"/>
      <c r="U318" s="231"/>
      <c r="V318" s="231"/>
      <c r="W318" s="231"/>
      <c r="X318" s="231"/>
      <c r="Y318" s="231"/>
      <c r="Z318" s="231"/>
    </row>
    <row r="319">
      <c r="A319" s="231"/>
      <c r="B319" s="231"/>
      <c r="C319" s="231"/>
      <c r="D319" s="231"/>
      <c r="E319" s="231"/>
      <c r="F319" s="231"/>
      <c r="G319" s="231"/>
      <c r="H319" s="231"/>
      <c r="I319" s="231"/>
      <c r="J319" s="231"/>
      <c r="K319" s="231"/>
      <c r="L319" s="231"/>
      <c r="M319" s="231"/>
      <c r="N319" s="231"/>
      <c r="O319" s="231"/>
      <c r="P319" s="231"/>
      <c r="Q319" s="231"/>
      <c r="R319" s="231"/>
      <c r="S319" s="231"/>
      <c r="T319" s="231"/>
      <c r="U319" s="231"/>
      <c r="V319" s="231"/>
      <c r="W319" s="231"/>
      <c r="X319" s="231"/>
      <c r="Y319" s="231"/>
      <c r="Z319" s="231"/>
    </row>
    <row r="320">
      <c r="A320" s="231"/>
      <c r="B320" s="231"/>
      <c r="C320" s="231"/>
      <c r="D320" s="231"/>
      <c r="E320" s="231"/>
      <c r="F320" s="231"/>
      <c r="G320" s="231"/>
      <c r="H320" s="231"/>
      <c r="I320" s="231"/>
      <c r="J320" s="231"/>
      <c r="K320" s="231"/>
      <c r="L320" s="231"/>
      <c r="M320" s="231"/>
      <c r="N320" s="231"/>
      <c r="O320" s="231"/>
      <c r="P320" s="231"/>
      <c r="Q320" s="231"/>
      <c r="R320" s="231"/>
      <c r="S320" s="231"/>
      <c r="T320" s="231"/>
      <c r="U320" s="231"/>
      <c r="V320" s="231"/>
      <c r="W320" s="231"/>
      <c r="X320" s="231"/>
      <c r="Y320" s="231"/>
      <c r="Z320" s="231"/>
    </row>
    <row r="321">
      <c r="A321" s="231"/>
      <c r="B321" s="231"/>
      <c r="C321" s="231"/>
      <c r="D321" s="231"/>
      <c r="E321" s="231"/>
      <c r="F321" s="231"/>
      <c r="G321" s="231"/>
      <c r="H321" s="231"/>
      <c r="I321" s="231"/>
      <c r="J321" s="231"/>
      <c r="K321" s="231"/>
      <c r="L321" s="231"/>
      <c r="M321" s="231"/>
      <c r="N321" s="231"/>
      <c r="O321" s="231"/>
      <c r="P321" s="231"/>
      <c r="Q321" s="231"/>
      <c r="R321" s="231"/>
      <c r="S321" s="231"/>
      <c r="T321" s="231"/>
      <c r="U321" s="231"/>
      <c r="V321" s="231"/>
      <c r="W321" s="231"/>
      <c r="X321" s="231"/>
      <c r="Y321" s="231"/>
      <c r="Z321" s="231"/>
    </row>
    <row r="322">
      <c r="A322" s="231"/>
      <c r="B322" s="231"/>
      <c r="C322" s="231"/>
      <c r="D322" s="231"/>
      <c r="E322" s="231"/>
      <c r="F322" s="231"/>
      <c r="G322" s="231"/>
      <c r="H322" s="231"/>
      <c r="I322" s="231"/>
      <c r="J322" s="231"/>
      <c r="K322" s="231"/>
      <c r="L322" s="231"/>
      <c r="M322" s="231"/>
      <c r="N322" s="231"/>
      <c r="O322" s="231"/>
      <c r="P322" s="231"/>
      <c r="Q322" s="231"/>
      <c r="R322" s="231"/>
      <c r="S322" s="231"/>
      <c r="T322" s="231"/>
      <c r="U322" s="231"/>
      <c r="V322" s="231"/>
      <c r="W322" s="231"/>
      <c r="X322" s="231"/>
      <c r="Y322" s="231"/>
      <c r="Z322" s="231"/>
    </row>
    <row r="323">
      <c r="A323" s="231"/>
      <c r="B323" s="231"/>
      <c r="C323" s="231"/>
      <c r="D323" s="231"/>
      <c r="E323" s="231"/>
      <c r="F323" s="231"/>
      <c r="G323" s="231"/>
      <c r="H323" s="231"/>
      <c r="I323" s="231"/>
      <c r="J323" s="231"/>
      <c r="K323" s="231"/>
      <c r="L323" s="231"/>
      <c r="M323" s="231"/>
      <c r="N323" s="231"/>
      <c r="O323" s="231"/>
      <c r="P323" s="231"/>
      <c r="Q323" s="231"/>
      <c r="R323" s="231"/>
      <c r="S323" s="231"/>
      <c r="T323" s="231"/>
      <c r="U323" s="231"/>
      <c r="V323" s="231"/>
      <c r="W323" s="231"/>
      <c r="X323" s="231"/>
      <c r="Y323" s="231"/>
      <c r="Z323" s="231"/>
    </row>
    <row r="324">
      <c r="A324" s="231"/>
      <c r="B324" s="231"/>
      <c r="C324" s="231"/>
      <c r="D324" s="231"/>
      <c r="E324" s="231"/>
      <c r="F324" s="231"/>
      <c r="G324" s="231"/>
      <c r="H324" s="231"/>
      <c r="I324" s="231"/>
      <c r="J324" s="231"/>
      <c r="K324" s="231"/>
      <c r="L324" s="231"/>
      <c r="M324" s="231"/>
      <c r="N324" s="231"/>
      <c r="O324" s="231"/>
      <c r="P324" s="231"/>
      <c r="Q324" s="231"/>
      <c r="R324" s="231"/>
      <c r="S324" s="231"/>
      <c r="T324" s="231"/>
      <c r="U324" s="231"/>
      <c r="V324" s="231"/>
      <c r="W324" s="231"/>
      <c r="X324" s="231"/>
      <c r="Y324" s="231"/>
      <c r="Z324" s="231"/>
    </row>
    <row r="325">
      <c r="A325" s="231"/>
      <c r="B325" s="231"/>
      <c r="C325" s="231"/>
      <c r="D325" s="231"/>
      <c r="E325" s="231"/>
      <c r="F325" s="231"/>
      <c r="G325" s="231"/>
      <c r="H325" s="231"/>
      <c r="I325" s="231"/>
      <c r="J325" s="231"/>
      <c r="K325" s="231"/>
      <c r="L325" s="231"/>
      <c r="M325" s="231"/>
      <c r="N325" s="231"/>
      <c r="O325" s="231"/>
      <c r="P325" s="231"/>
      <c r="Q325" s="231"/>
      <c r="R325" s="231"/>
      <c r="S325" s="231"/>
      <c r="T325" s="231"/>
      <c r="U325" s="231"/>
      <c r="V325" s="231"/>
      <c r="W325" s="231"/>
      <c r="X325" s="231"/>
      <c r="Y325" s="231"/>
      <c r="Z325" s="231"/>
    </row>
    <row r="326">
      <c r="A326" s="231"/>
      <c r="B326" s="231"/>
      <c r="C326" s="231"/>
      <c r="D326" s="231"/>
      <c r="E326" s="231"/>
      <c r="F326" s="231"/>
      <c r="G326" s="231"/>
      <c r="H326" s="231"/>
      <c r="I326" s="231"/>
      <c r="J326" s="231"/>
      <c r="K326" s="231"/>
      <c r="L326" s="231"/>
      <c r="M326" s="231"/>
      <c r="N326" s="231"/>
      <c r="O326" s="231"/>
      <c r="P326" s="231"/>
      <c r="Q326" s="231"/>
      <c r="R326" s="231"/>
      <c r="S326" s="231"/>
      <c r="T326" s="231"/>
      <c r="U326" s="231"/>
      <c r="V326" s="231"/>
      <c r="W326" s="231"/>
      <c r="X326" s="231"/>
      <c r="Y326" s="231"/>
      <c r="Z326" s="231"/>
    </row>
    <row r="327">
      <c r="A327" s="231"/>
      <c r="B327" s="231"/>
      <c r="C327" s="231"/>
      <c r="D327" s="231"/>
      <c r="E327" s="231"/>
      <c r="F327" s="231"/>
      <c r="G327" s="231"/>
      <c r="H327" s="231"/>
      <c r="I327" s="231"/>
      <c r="J327" s="231"/>
      <c r="K327" s="231"/>
      <c r="L327" s="231"/>
      <c r="M327" s="231"/>
      <c r="N327" s="231"/>
      <c r="O327" s="231"/>
      <c r="P327" s="231"/>
      <c r="Q327" s="231"/>
      <c r="R327" s="231"/>
      <c r="S327" s="231"/>
      <c r="T327" s="231"/>
      <c r="U327" s="231"/>
      <c r="V327" s="231"/>
      <c r="W327" s="231"/>
      <c r="X327" s="231"/>
      <c r="Y327" s="231"/>
      <c r="Z327" s="231"/>
    </row>
    <row r="328">
      <c r="A328" s="231"/>
      <c r="B328" s="231"/>
      <c r="C328" s="231"/>
      <c r="D328" s="231"/>
      <c r="E328" s="231"/>
      <c r="F328" s="231"/>
      <c r="G328" s="231"/>
      <c r="H328" s="231"/>
      <c r="I328" s="231"/>
      <c r="J328" s="231"/>
      <c r="K328" s="231"/>
      <c r="L328" s="231"/>
      <c r="M328" s="231"/>
      <c r="N328" s="231"/>
      <c r="O328" s="231"/>
      <c r="P328" s="231"/>
      <c r="Q328" s="231"/>
      <c r="R328" s="231"/>
      <c r="S328" s="231"/>
      <c r="T328" s="231"/>
      <c r="U328" s="231"/>
      <c r="V328" s="231"/>
      <c r="W328" s="231"/>
      <c r="X328" s="231"/>
      <c r="Y328" s="231"/>
      <c r="Z328" s="231"/>
    </row>
    <row r="329">
      <c r="A329" s="231"/>
      <c r="B329" s="231"/>
      <c r="C329" s="231"/>
      <c r="D329" s="231"/>
      <c r="E329" s="231"/>
      <c r="F329" s="231"/>
      <c r="G329" s="231"/>
      <c r="H329" s="231"/>
      <c r="I329" s="231"/>
      <c r="J329" s="231"/>
      <c r="K329" s="231"/>
      <c r="L329" s="231"/>
      <c r="M329" s="231"/>
      <c r="N329" s="231"/>
      <c r="O329" s="231"/>
      <c r="P329" s="231"/>
      <c r="Q329" s="231"/>
      <c r="R329" s="231"/>
      <c r="S329" s="231"/>
      <c r="T329" s="231"/>
      <c r="U329" s="231"/>
      <c r="V329" s="231"/>
      <c r="W329" s="231"/>
      <c r="X329" s="231"/>
      <c r="Y329" s="231"/>
      <c r="Z329" s="231"/>
    </row>
    <row r="330">
      <c r="A330" s="231"/>
      <c r="B330" s="231"/>
      <c r="C330" s="231"/>
      <c r="D330" s="231"/>
      <c r="E330" s="231"/>
      <c r="F330" s="231"/>
      <c r="G330" s="231"/>
      <c r="H330" s="231"/>
      <c r="I330" s="231"/>
      <c r="J330" s="231"/>
      <c r="K330" s="231"/>
      <c r="L330" s="231"/>
      <c r="M330" s="231"/>
      <c r="N330" s="231"/>
      <c r="O330" s="231"/>
      <c r="P330" s="231"/>
      <c r="Q330" s="231"/>
      <c r="R330" s="231"/>
      <c r="S330" s="231"/>
      <c r="T330" s="231"/>
      <c r="U330" s="231"/>
      <c r="V330" s="231"/>
      <c r="W330" s="231"/>
      <c r="X330" s="231"/>
      <c r="Y330" s="231"/>
      <c r="Z330" s="231"/>
    </row>
    <row r="331">
      <c r="A331" s="231"/>
      <c r="B331" s="231"/>
      <c r="C331" s="231"/>
      <c r="D331" s="231"/>
      <c r="E331" s="231"/>
      <c r="F331" s="231"/>
      <c r="G331" s="231"/>
      <c r="H331" s="231"/>
      <c r="I331" s="231"/>
      <c r="J331" s="231"/>
      <c r="K331" s="231"/>
      <c r="L331" s="231"/>
      <c r="M331" s="231"/>
      <c r="N331" s="231"/>
      <c r="O331" s="231"/>
      <c r="P331" s="231"/>
      <c r="Q331" s="231"/>
      <c r="R331" s="231"/>
      <c r="S331" s="231"/>
      <c r="T331" s="231"/>
      <c r="U331" s="231"/>
      <c r="V331" s="231"/>
      <c r="W331" s="231"/>
      <c r="X331" s="231"/>
      <c r="Y331" s="231"/>
      <c r="Z331" s="231"/>
    </row>
    <row r="332">
      <c r="A332" s="231"/>
      <c r="B332" s="231"/>
      <c r="C332" s="231"/>
      <c r="D332" s="231"/>
      <c r="E332" s="231"/>
      <c r="F332" s="231"/>
      <c r="G332" s="231"/>
      <c r="H332" s="231"/>
      <c r="I332" s="231"/>
      <c r="J332" s="231"/>
      <c r="K332" s="231"/>
      <c r="L332" s="231"/>
      <c r="M332" s="231"/>
      <c r="N332" s="231"/>
      <c r="O332" s="231"/>
      <c r="P332" s="231"/>
      <c r="Q332" s="231"/>
      <c r="R332" s="231"/>
      <c r="S332" s="231"/>
      <c r="T332" s="231"/>
      <c r="U332" s="231"/>
      <c r="V332" s="231"/>
      <c r="W332" s="231"/>
      <c r="X332" s="231"/>
      <c r="Y332" s="231"/>
      <c r="Z332" s="231"/>
    </row>
    <row r="333">
      <c r="A333" s="231"/>
      <c r="B333" s="231"/>
      <c r="C333" s="231"/>
      <c r="D333" s="231"/>
      <c r="E333" s="231"/>
      <c r="F333" s="231"/>
      <c r="G333" s="231"/>
      <c r="H333" s="231"/>
      <c r="I333" s="231"/>
      <c r="J333" s="231"/>
      <c r="K333" s="231"/>
      <c r="L333" s="231"/>
      <c r="M333" s="231"/>
      <c r="N333" s="231"/>
      <c r="O333" s="231"/>
      <c r="P333" s="231"/>
      <c r="Q333" s="231"/>
      <c r="R333" s="231"/>
      <c r="S333" s="231"/>
      <c r="T333" s="231"/>
      <c r="U333" s="231"/>
      <c r="V333" s="231"/>
      <c r="W333" s="231"/>
      <c r="X333" s="231"/>
      <c r="Y333" s="231"/>
      <c r="Z333" s="231"/>
    </row>
    <row r="334">
      <c r="A334" s="231"/>
      <c r="B334" s="231"/>
      <c r="C334" s="231"/>
      <c r="D334" s="231"/>
      <c r="E334" s="231"/>
      <c r="F334" s="231"/>
      <c r="G334" s="231"/>
      <c r="H334" s="231"/>
      <c r="I334" s="231"/>
      <c r="J334" s="231"/>
      <c r="K334" s="231"/>
      <c r="L334" s="231"/>
      <c r="M334" s="231"/>
      <c r="N334" s="231"/>
      <c r="O334" s="231"/>
      <c r="P334" s="231"/>
      <c r="Q334" s="231"/>
      <c r="R334" s="231"/>
      <c r="S334" s="231"/>
      <c r="T334" s="231"/>
      <c r="U334" s="231"/>
      <c r="V334" s="231"/>
      <c r="W334" s="231"/>
      <c r="X334" s="231"/>
      <c r="Y334" s="231"/>
      <c r="Z334" s="231"/>
    </row>
    <row r="335">
      <c r="A335" s="231"/>
      <c r="B335" s="231"/>
      <c r="C335" s="231"/>
      <c r="D335" s="231"/>
      <c r="E335" s="231"/>
      <c r="F335" s="231"/>
      <c r="G335" s="231"/>
      <c r="H335" s="231"/>
      <c r="I335" s="231"/>
      <c r="J335" s="231"/>
      <c r="K335" s="231"/>
      <c r="L335" s="231"/>
      <c r="M335" s="231"/>
      <c r="N335" s="231"/>
      <c r="O335" s="231"/>
      <c r="P335" s="231"/>
      <c r="Q335" s="231"/>
      <c r="R335" s="231"/>
      <c r="S335" s="231"/>
      <c r="T335" s="231"/>
      <c r="U335" s="231"/>
      <c r="V335" s="231"/>
      <c r="W335" s="231"/>
      <c r="X335" s="231"/>
      <c r="Y335" s="231"/>
      <c r="Z335" s="231"/>
    </row>
    <row r="336">
      <c r="A336" s="231"/>
      <c r="B336" s="231"/>
      <c r="C336" s="231"/>
      <c r="D336" s="231"/>
      <c r="E336" s="231"/>
      <c r="F336" s="231"/>
      <c r="G336" s="231"/>
      <c r="H336" s="231"/>
      <c r="I336" s="231"/>
      <c r="J336" s="231"/>
      <c r="K336" s="231"/>
      <c r="L336" s="231"/>
      <c r="M336" s="231"/>
      <c r="N336" s="231"/>
      <c r="O336" s="231"/>
      <c r="P336" s="231"/>
      <c r="Q336" s="231"/>
      <c r="R336" s="231"/>
      <c r="S336" s="231"/>
      <c r="T336" s="231"/>
      <c r="U336" s="231"/>
      <c r="V336" s="231"/>
      <c r="W336" s="231"/>
      <c r="X336" s="231"/>
      <c r="Y336" s="231"/>
      <c r="Z336" s="231"/>
    </row>
    <row r="337">
      <c r="A337" s="231"/>
      <c r="B337" s="231"/>
      <c r="C337" s="231"/>
      <c r="D337" s="231"/>
      <c r="E337" s="231"/>
      <c r="F337" s="231"/>
      <c r="G337" s="231"/>
      <c r="H337" s="231"/>
      <c r="I337" s="231"/>
      <c r="J337" s="231"/>
      <c r="K337" s="231"/>
      <c r="L337" s="231"/>
      <c r="M337" s="231"/>
      <c r="N337" s="231"/>
      <c r="O337" s="231"/>
      <c r="P337" s="231"/>
      <c r="Q337" s="231"/>
      <c r="R337" s="231"/>
      <c r="S337" s="231"/>
      <c r="T337" s="231"/>
      <c r="U337" s="231"/>
      <c r="V337" s="231"/>
      <c r="W337" s="231"/>
      <c r="X337" s="231"/>
      <c r="Y337" s="231"/>
      <c r="Z337" s="231"/>
    </row>
    <row r="338">
      <c r="A338" s="231"/>
      <c r="B338" s="231"/>
      <c r="C338" s="231"/>
      <c r="D338" s="231"/>
      <c r="E338" s="231"/>
      <c r="F338" s="231"/>
      <c r="G338" s="231"/>
      <c r="H338" s="231"/>
      <c r="I338" s="231"/>
      <c r="J338" s="231"/>
      <c r="K338" s="231"/>
      <c r="L338" s="231"/>
      <c r="M338" s="231"/>
      <c r="N338" s="231"/>
      <c r="O338" s="231"/>
      <c r="P338" s="231"/>
      <c r="Q338" s="231"/>
      <c r="R338" s="231"/>
      <c r="S338" s="231"/>
      <c r="T338" s="231"/>
      <c r="U338" s="231"/>
      <c r="V338" s="231"/>
      <c r="W338" s="231"/>
      <c r="X338" s="231"/>
      <c r="Y338" s="231"/>
      <c r="Z338" s="231"/>
    </row>
    <row r="339">
      <c r="A339" s="231"/>
      <c r="B339" s="231"/>
      <c r="C339" s="231"/>
      <c r="D339" s="231"/>
      <c r="E339" s="231"/>
      <c r="F339" s="231"/>
      <c r="G339" s="231"/>
      <c r="H339" s="231"/>
      <c r="I339" s="231"/>
      <c r="J339" s="231"/>
      <c r="K339" s="231"/>
      <c r="L339" s="231"/>
      <c r="M339" s="231"/>
      <c r="N339" s="231"/>
      <c r="O339" s="231"/>
      <c r="P339" s="231"/>
      <c r="Q339" s="231"/>
      <c r="R339" s="231"/>
      <c r="S339" s="231"/>
      <c r="T339" s="231"/>
      <c r="U339" s="231"/>
      <c r="V339" s="231"/>
      <c r="W339" s="231"/>
      <c r="X339" s="231"/>
      <c r="Y339" s="231"/>
      <c r="Z339" s="231"/>
    </row>
    <row r="340">
      <c r="A340" s="231"/>
      <c r="B340" s="231"/>
      <c r="C340" s="231"/>
      <c r="D340" s="231"/>
      <c r="E340" s="231"/>
      <c r="F340" s="231"/>
      <c r="G340" s="231"/>
      <c r="H340" s="231"/>
      <c r="I340" s="231"/>
      <c r="J340" s="231"/>
      <c r="K340" s="231"/>
      <c r="L340" s="231"/>
      <c r="M340" s="231"/>
      <c r="N340" s="231"/>
      <c r="O340" s="231"/>
      <c r="P340" s="231"/>
      <c r="Q340" s="231"/>
      <c r="R340" s="231"/>
      <c r="S340" s="231"/>
      <c r="T340" s="231"/>
      <c r="U340" s="231"/>
      <c r="V340" s="231"/>
      <c r="W340" s="231"/>
      <c r="X340" s="231"/>
      <c r="Y340" s="231"/>
      <c r="Z340" s="231"/>
    </row>
    <row r="341">
      <c r="A341" s="231"/>
      <c r="B341" s="231"/>
      <c r="C341" s="231"/>
      <c r="D341" s="231"/>
      <c r="E341" s="231"/>
      <c r="F341" s="231"/>
      <c r="G341" s="231"/>
      <c r="H341" s="231"/>
      <c r="I341" s="231"/>
      <c r="J341" s="231"/>
      <c r="K341" s="231"/>
      <c r="L341" s="231"/>
      <c r="M341" s="231"/>
      <c r="N341" s="231"/>
      <c r="O341" s="231"/>
      <c r="P341" s="231"/>
      <c r="Q341" s="231"/>
      <c r="R341" s="231"/>
      <c r="S341" s="231"/>
      <c r="T341" s="231"/>
      <c r="U341" s="231"/>
      <c r="V341" s="231"/>
      <c r="W341" s="231"/>
      <c r="X341" s="231"/>
      <c r="Y341" s="231"/>
      <c r="Z341" s="231"/>
    </row>
    <row r="342">
      <c r="A342" s="231"/>
      <c r="B342" s="231"/>
      <c r="C342" s="231"/>
      <c r="D342" s="231"/>
      <c r="E342" s="231"/>
      <c r="F342" s="231"/>
      <c r="G342" s="231"/>
      <c r="H342" s="231"/>
      <c r="I342" s="231"/>
      <c r="J342" s="231"/>
      <c r="K342" s="231"/>
      <c r="L342" s="231"/>
      <c r="M342" s="231"/>
      <c r="N342" s="231"/>
      <c r="O342" s="231"/>
      <c r="P342" s="231"/>
      <c r="Q342" s="231"/>
      <c r="R342" s="231"/>
      <c r="S342" s="231"/>
      <c r="T342" s="231"/>
      <c r="U342" s="231"/>
      <c r="V342" s="231"/>
      <c r="W342" s="231"/>
      <c r="X342" s="231"/>
      <c r="Y342" s="231"/>
      <c r="Z342" s="231"/>
    </row>
    <row r="343">
      <c r="A343" s="231"/>
      <c r="B343" s="231"/>
      <c r="C343" s="231"/>
      <c r="D343" s="231"/>
      <c r="E343" s="231"/>
      <c r="F343" s="231"/>
      <c r="G343" s="231"/>
      <c r="H343" s="231"/>
      <c r="I343" s="231"/>
      <c r="J343" s="231"/>
      <c r="K343" s="231"/>
      <c r="L343" s="231"/>
      <c r="M343" s="231"/>
      <c r="N343" s="231"/>
      <c r="O343" s="231"/>
      <c r="P343" s="231"/>
      <c r="Q343" s="231"/>
      <c r="R343" s="231"/>
      <c r="S343" s="231"/>
      <c r="T343" s="231"/>
      <c r="U343" s="231"/>
      <c r="V343" s="231"/>
      <c r="W343" s="231"/>
      <c r="X343" s="231"/>
      <c r="Y343" s="231"/>
      <c r="Z343" s="231"/>
    </row>
    <row r="344">
      <c r="A344" s="231"/>
      <c r="B344" s="231"/>
      <c r="C344" s="231"/>
      <c r="D344" s="231"/>
      <c r="E344" s="231"/>
      <c r="F344" s="231"/>
      <c r="G344" s="231"/>
      <c r="H344" s="231"/>
      <c r="I344" s="231"/>
      <c r="J344" s="231"/>
      <c r="K344" s="231"/>
      <c r="L344" s="231"/>
      <c r="M344" s="231"/>
      <c r="N344" s="231"/>
      <c r="O344" s="231"/>
      <c r="P344" s="231"/>
      <c r="Q344" s="231"/>
      <c r="R344" s="231"/>
      <c r="S344" s="231"/>
      <c r="T344" s="231"/>
      <c r="U344" s="231"/>
      <c r="V344" s="231"/>
      <c r="W344" s="231"/>
      <c r="X344" s="231"/>
      <c r="Y344" s="231"/>
      <c r="Z344" s="231"/>
    </row>
    <row r="345">
      <c r="A345" s="231"/>
      <c r="B345" s="231"/>
      <c r="C345" s="231"/>
      <c r="D345" s="231"/>
      <c r="E345" s="231"/>
      <c r="F345" s="231"/>
      <c r="G345" s="231"/>
      <c r="H345" s="231"/>
      <c r="I345" s="231"/>
      <c r="J345" s="231"/>
      <c r="K345" s="231"/>
      <c r="L345" s="231"/>
      <c r="M345" s="231"/>
      <c r="N345" s="231"/>
      <c r="O345" s="231"/>
      <c r="P345" s="231"/>
      <c r="Q345" s="231"/>
      <c r="R345" s="231"/>
      <c r="S345" s="231"/>
      <c r="T345" s="231"/>
      <c r="U345" s="231"/>
      <c r="V345" s="231"/>
      <c r="W345" s="231"/>
      <c r="X345" s="231"/>
      <c r="Y345" s="231"/>
      <c r="Z345" s="231"/>
    </row>
    <row r="346">
      <c r="A346" s="231"/>
      <c r="B346" s="231"/>
      <c r="C346" s="231"/>
      <c r="D346" s="231"/>
      <c r="E346" s="231"/>
      <c r="F346" s="231"/>
      <c r="G346" s="231"/>
      <c r="H346" s="231"/>
      <c r="I346" s="231"/>
      <c r="J346" s="231"/>
      <c r="K346" s="231"/>
      <c r="L346" s="231"/>
      <c r="M346" s="231"/>
      <c r="N346" s="231"/>
      <c r="O346" s="231"/>
      <c r="P346" s="231"/>
      <c r="Q346" s="231"/>
      <c r="R346" s="231"/>
      <c r="S346" s="231"/>
      <c r="T346" s="231"/>
      <c r="U346" s="231"/>
      <c r="V346" s="231"/>
      <c r="W346" s="231"/>
      <c r="X346" s="231"/>
      <c r="Y346" s="231"/>
      <c r="Z346" s="231"/>
    </row>
    <row r="347">
      <c r="A347" s="231"/>
      <c r="B347" s="231"/>
      <c r="C347" s="231"/>
      <c r="D347" s="231"/>
      <c r="E347" s="231"/>
      <c r="F347" s="231"/>
      <c r="G347" s="231"/>
      <c r="H347" s="231"/>
      <c r="I347" s="231"/>
      <c r="J347" s="231"/>
      <c r="K347" s="231"/>
      <c r="L347" s="231"/>
      <c r="M347" s="231"/>
      <c r="N347" s="231"/>
      <c r="O347" s="231"/>
      <c r="P347" s="231"/>
      <c r="Q347" s="231"/>
      <c r="R347" s="231"/>
      <c r="S347" s="231"/>
      <c r="T347" s="231"/>
      <c r="U347" s="231"/>
      <c r="V347" s="231"/>
      <c r="W347" s="231"/>
      <c r="X347" s="231"/>
      <c r="Y347" s="231"/>
      <c r="Z347" s="231"/>
    </row>
    <row r="348">
      <c r="A348" s="231"/>
      <c r="B348" s="231"/>
      <c r="C348" s="231"/>
      <c r="D348" s="231"/>
      <c r="E348" s="231"/>
      <c r="F348" s="231"/>
      <c r="G348" s="231"/>
      <c r="H348" s="231"/>
      <c r="I348" s="231"/>
      <c r="J348" s="231"/>
      <c r="K348" s="231"/>
      <c r="L348" s="231"/>
      <c r="M348" s="231"/>
      <c r="N348" s="231"/>
      <c r="O348" s="231"/>
      <c r="P348" s="231"/>
      <c r="Q348" s="231"/>
      <c r="R348" s="231"/>
      <c r="S348" s="231"/>
      <c r="T348" s="231"/>
      <c r="U348" s="231"/>
      <c r="V348" s="231"/>
      <c r="W348" s="231"/>
      <c r="X348" s="231"/>
      <c r="Y348" s="231"/>
      <c r="Z348" s="231"/>
    </row>
    <row r="349">
      <c r="A349" s="231"/>
      <c r="B349" s="231"/>
      <c r="C349" s="231"/>
      <c r="D349" s="231"/>
      <c r="E349" s="231"/>
      <c r="F349" s="231"/>
      <c r="G349" s="231"/>
      <c r="H349" s="231"/>
      <c r="I349" s="231"/>
      <c r="J349" s="231"/>
      <c r="K349" s="231"/>
      <c r="L349" s="231"/>
      <c r="M349" s="231"/>
      <c r="N349" s="231"/>
      <c r="O349" s="231"/>
      <c r="P349" s="231"/>
      <c r="Q349" s="231"/>
      <c r="R349" s="231"/>
      <c r="S349" s="231"/>
      <c r="T349" s="231"/>
      <c r="U349" s="231"/>
      <c r="V349" s="231"/>
      <c r="W349" s="231"/>
      <c r="X349" s="231"/>
      <c r="Y349" s="231"/>
      <c r="Z349" s="231"/>
    </row>
    <row r="350">
      <c r="A350" s="231"/>
      <c r="B350" s="231"/>
      <c r="C350" s="231"/>
      <c r="D350" s="231"/>
      <c r="E350" s="231"/>
      <c r="F350" s="231"/>
      <c r="G350" s="231"/>
      <c r="H350" s="231"/>
      <c r="I350" s="231"/>
      <c r="J350" s="231"/>
      <c r="K350" s="231"/>
      <c r="L350" s="231"/>
      <c r="M350" s="231"/>
      <c r="N350" s="231"/>
      <c r="O350" s="231"/>
      <c r="P350" s="231"/>
      <c r="Q350" s="231"/>
      <c r="R350" s="231"/>
      <c r="S350" s="231"/>
      <c r="T350" s="231"/>
      <c r="U350" s="231"/>
      <c r="V350" s="231"/>
      <c r="W350" s="231"/>
      <c r="X350" s="231"/>
      <c r="Y350" s="231"/>
      <c r="Z350" s="231"/>
    </row>
    <row r="351">
      <c r="A351" s="231"/>
      <c r="B351" s="231"/>
      <c r="C351" s="231"/>
      <c r="D351" s="231"/>
      <c r="E351" s="231"/>
      <c r="F351" s="231"/>
      <c r="G351" s="231"/>
      <c r="H351" s="231"/>
      <c r="I351" s="231"/>
      <c r="J351" s="231"/>
      <c r="K351" s="231"/>
      <c r="L351" s="231"/>
      <c r="M351" s="231"/>
      <c r="N351" s="231"/>
      <c r="O351" s="231"/>
      <c r="P351" s="231"/>
      <c r="Q351" s="231"/>
      <c r="R351" s="231"/>
      <c r="S351" s="231"/>
      <c r="T351" s="231"/>
      <c r="U351" s="231"/>
      <c r="V351" s="231"/>
      <c r="W351" s="231"/>
      <c r="X351" s="231"/>
      <c r="Y351" s="231"/>
      <c r="Z351" s="231"/>
    </row>
    <row r="352">
      <c r="A352" s="231"/>
      <c r="B352" s="231"/>
      <c r="C352" s="231"/>
      <c r="D352" s="231"/>
      <c r="E352" s="231"/>
      <c r="F352" s="231"/>
      <c r="G352" s="231"/>
      <c r="H352" s="231"/>
      <c r="I352" s="231"/>
      <c r="J352" s="231"/>
      <c r="K352" s="231"/>
      <c r="L352" s="231"/>
      <c r="M352" s="231"/>
      <c r="N352" s="231"/>
      <c r="O352" s="231"/>
      <c r="P352" s="231"/>
      <c r="Q352" s="231"/>
      <c r="R352" s="231"/>
      <c r="S352" s="231"/>
      <c r="T352" s="231"/>
      <c r="U352" s="231"/>
      <c r="V352" s="231"/>
      <c r="W352" s="231"/>
      <c r="X352" s="231"/>
      <c r="Y352" s="231"/>
      <c r="Z352" s="231"/>
    </row>
    <row r="353">
      <c r="A353" s="231"/>
      <c r="B353" s="231"/>
      <c r="C353" s="231"/>
      <c r="D353" s="231"/>
      <c r="E353" s="231"/>
      <c r="F353" s="231"/>
      <c r="G353" s="231"/>
      <c r="H353" s="231"/>
      <c r="I353" s="231"/>
      <c r="J353" s="231"/>
      <c r="K353" s="231"/>
      <c r="L353" s="231"/>
      <c r="M353" s="231"/>
      <c r="N353" s="231"/>
      <c r="O353" s="231"/>
      <c r="P353" s="231"/>
      <c r="Q353" s="231"/>
      <c r="R353" s="231"/>
      <c r="S353" s="231"/>
      <c r="T353" s="231"/>
      <c r="U353" s="231"/>
      <c r="V353" s="231"/>
      <c r="W353" s="231"/>
      <c r="X353" s="231"/>
      <c r="Y353" s="231"/>
      <c r="Z353" s="231"/>
    </row>
    <row r="354">
      <c r="A354" s="231"/>
      <c r="B354" s="231"/>
      <c r="C354" s="231"/>
      <c r="D354" s="231"/>
      <c r="E354" s="231"/>
      <c r="F354" s="231"/>
      <c r="G354" s="231"/>
      <c r="H354" s="231"/>
      <c r="I354" s="231"/>
      <c r="J354" s="231"/>
      <c r="K354" s="231"/>
      <c r="L354" s="231"/>
      <c r="M354" s="231"/>
      <c r="N354" s="231"/>
      <c r="O354" s="231"/>
      <c r="P354" s="231"/>
      <c r="Q354" s="231"/>
      <c r="R354" s="231"/>
      <c r="S354" s="231"/>
      <c r="T354" s="231"/>
      <c r="U354" s="231"/>
      <c r="V354" s="231"/>
      <c r="W354" s="231"/>
      <c r="X354" s="231"/>
      <c r="Y354" s="231"/>
      <c r="Z354" s="231"/>
    </row>
    <row r="355">
      <c r="A355" s="231"/>
      <c r="B355" s="231"/>
      <c r="C355" s="231"/>
      <c r="D355" s="231"/>
      <c r="E355" s="231"/>
      <c r="F355" s="231"/>
      <c r="G355" s="231"/>
      <c r="H355" s="231"/>
      <c r="I355" s="231"/>
      <c r="J355" s="231"/>
      <c r="K355" s="231"/>
      <c r="L355" s="231"/>
      <c r="M355" s="231"/>
      <c r="N355" s="231"/>
      <c r="O355" s="231"/>
      <c r="P355" s="231"/>
      <c r="Q355" s="231"/>
      <c r="R355" s="231"/>
      <c r="S355" s="231"/>
      <c r="T355" s="231"/>
      <c r="U355" s="231"/>
      <c r="V355" s="231"/>
      <c r="W355" s="231"/>
      <c r="X355" s="231"/>
      <c r="Y355" s="231"/>
      <c r="Z355" s="231"/>
    </row>
    <row r="356">
      <c r="A356" s="231"/>
      <c r="B356" s="231"/>
      <c r="C356" s="231"/>
      <c r="D356" s="231"/>
      <c r="E356" s="231"/>
      <c r="F356" s="231"/>
      <c r="G356" s="231"/>
      <c r="H356" s="231"/>
      <c r="I356" s="231"/>
      <c r="J356" s="231"/>
      <c r="K356" s="231"/>
      <c r="L356" s="231"/>
      <c r="M356" s="231"/>
      <c r="N356" s="231"/>
      <c r="O356" s="231"/>
      <c r="P356" s="231"/>
      <c r="Q356" s="231"/>
      <c r="R356" s="231"/>
      <c r="S356" s="231"/>
      <c r="T356" s="231"/>
      <c r="U356" s="231"/>
      <c r="V356" s="231"/>
      <c r="W356" s="231"/>
      <c r="X356" s="231"/>
      <c r="Y356" s="231"/>
      <c r="Z356" s="231"/>
    </row>
    <row r="357">
      <c r="A357" s="231"/>
      <c r="B357" s="231"/>
      <c r="C357" s="231"/>
      <c r="D357" s="231"/>
      <c r="E357" s="231"/>
      <c r="F357" s="231"/>
      <c r="G357" s="231"/>
      <c r="H357" s="231"/>
      <c r="I357" s="231"/>
      <c r="J357" s="231"/>
      <c r="K357" s="231"/>
      <c r="L357" s="231"/>
      <c r="M357" s="231"/>
      <c r="N357" s="231"/>
      <c r="O357" s="231"/>
      <c r="P357" s="231"/>
      <c r="Q357" s="231"/>
      <c r="R357" s="231"/>
      <c r="S357" s="231"/>
      <c r="T357" s="231"/>
      <c r="U357" s="231"/>
      <c r="V357" s="231"/>
      <c r="W357" s="231"/>
      <c r="X357" s="231"/>
      <c r="Y357" s="231"/>
      <c r="Z357" s="231"/>
    </row>
    <row r="358">
      <c r="A358" s="231"/>
      <c r="B358" s="231"/>
      <c r="C358" s="231"/>
      <c r="D358" s="231"/>
      <c r="E358" s="231"/>
      <c r="F358" s="231"/>
      <c r="G358" s="231"/>
      <c r="H358" s="231"/>
      <c r="I358" s="231"/>
      <c r="J358" s="231"/>
      <c r="K358" s="231"/>
      <c r="L358" s="231"/>
      <c r="M358" s="231"/>
      <c r="N358" s="231"/>
      <c r="O358" s="231"/>
      <c r="P358" s="231"/>
      <c r="Q358" s="231"/>
      <c r="R358" s="231"/>
      <c r="S358" s="231"/>
      <c r="T358" s="231"/>
      <c r="U358" s="231"/>
      <c r="V358" s="231"/>
      <c r="W358" s="231"/>
      <c r="X358" s="231"/>
      <c r="Y358" s="231"/>
      <c r="Z358" s="231"/>
    </row>
    <row r="359">
      <c r="A359" s="231"/>
      <c r="B359" s="231"/>
      <c r="C359" s="231"/>
      <c r="D359" s="231"/>
      <c r="E359" s="231"/>
      <c r="F359" s="231"/>
      <c r="G359" s="231"/>
      <c r="H359" s="231"/>
      <c r="I359" s="231"/>
      <c r="J359" s="231"/>
      <c r="K359" s="231"/>
      <c r="L359" s="231"/>
      <c r="M359" s="231"/>
      <c r="N359" s="231"/>
      <c r="O359" s="231"/>
      <c r="P359" s="231"/>
      <c r="Q359" s="231"/>
      <c r="R359" s="231"/>
      <c r="S359" s="231"/>
      <c r="T359" s="231"/>
      <c r="U359" s="231"/>
      <c r="V359" s="231"/>
      <c r="W359" s="231"/>
      <c r="X359" s="231"/>
      <c r="Y359" s="231"/>
      <c r="Z359" s="231"/>
    </row>
    <row r="360">
      <c r="A360" s="231"/>
      <c r="B360" s="231"/>
      <c r="C360" s="231"/>
      <c r="D360" s="231"/>
      <c r="E360" s="231"/>
      <c r="F360" s="231"/>
      <c r="G360" s="231"/>
      <c r="H360" s="231"/>
      <c r="I360" s="231"/>
      <c r="J360" s="231"/>
      <c r="K360" s="231"/>
      <c r="L360" s="231"/>
      <c r="M360" s="231"/>
      <c r="N360" s="231"/>
      <c r="O360" s="231"/>
      <c r="P360" s="231"/>
      <c r="Q360" s="231"/>
      <c r="R360" s="231"/>
      <c r="S360" s="231"/>
      <c r="T360" s="231"/>
      <c r="U360" s="231"/>
      <c r="V360" s="231"/>
      <c r="W360" s="231"/>
      <c r="X360" s="231"/>
      <c r="Y360" s="231"/>
      <c r="Z360" s="231"/>
    </row>
    <row r="361">
      <c r="A361" s="231"/>
      <c r="B361" s="231"/>
      <c r="C361" s="231"/>
      <c r="D361" s="231"/>
      <c r="E361" s="231"/>
      <c r="F361" s="231"/>
      <c r="G361" s="231"/>
      <c r="H361" s="231"/>
      <c r="I361" s="231"/>
      <c r="J361" s="231"/>
      <c r="K361" s="231"/>
      <c r="L361" s="231"/>
      <c r="M361" s="231"/>
      <c r="N361" s="231"/>
      <c r="O361" s="231"/>
      <c r="P361" s="231"/>
      <c r="Q361" s="231"/>
      <c r="R361" s="231"/>
      <c r="S361" s="231"/>
      <c r="T361" s="231"/>
      <c r="U361" s="231"/>
      <c r="V361" s="231"/>
      <c r="W361" s="231"/>
      <c r="X361" s="231"/>
      <c r="Y361" s="231"/>
      <c r="Z361" s="231"/>
    </row>
    <row r="362">
      <c r="A362" s="231"/>
      <c r="B362" s="231"/>
      <c r="C362" s="231"/>
      <c r="D362" s="231"/>
      <c r="E362" s="231"/>
      <c r="F362" s="231"/>
      <c r="G362" s="231"/>
      <c r="H362" s="231"/>
      <c r="I362" s="231"/>
      <c r="J362" s="231"/>
      <c r="K362" s="231"/>
      <c r="L362" s="231"/>
      <c r="M362" s="231"/>
      <c r="N362" s="231"/>
      <c r="O362" s="231"/>
      <c r="P362" s="231"/>
      <c r="Q362" s="231"/>
      <c r="R362" s="231"/>
      <c r="S362" s="231"/>
      <c r="T362" s="231"/>
      <c r="U362" s="231"/>
      <c r="V362" s="231"/>
      <c r="W362" s="231"/>
      <c r="X362" s="231"/>
      <c r="Y362" s="231"/>
      <c r="Z362" s="231"/>
    </row>
    <row r="363">
      <c r="A363" s="231"/>
      <c r="B363" s="231"/>
      <c r="C363" s="231"/>
      <c r="D363" s="231"/>
      <c r="E363" s="231"/>
      <c r="F363" s="231"/>
      <c r="G363" s="231"/>
      <c r="H363" s="231"/>
      <c r="I363" s="231"/>
      <c r="J363" s="231"/>
      <c r="K363" s="231"/>
      <c r="L363" s="231"/>
      <c r="M363" s="231"/>
      <c r="N363" s="231"/>
      <c r="O363" s="231"/>
      <c r="P363" s="231"/>
      <c r="Q363" s="231"/>
      <c r="R363" s="231"/>
      <c r="S363" s="231"/>
      <c r="T363" s="231"/>
      <c r="U363" s="231"/>
      <c r="V363" s="231"/>
      <c r="W363" s="231"/>
      <c r="X363" s="231"/>
      <c r="Y363" s="231"/>
      <c r="Z363" s="231"/>
    </row>
    <row r="364">
      <c r="A364" s="231"/>
      <c r="B364" s="231"/>
      <c r="C364" s="231"/>
      <c r="D364" s="231"/>
      <c r="E364" s="231"/>
      <c r="F364" s="231"/>
      <c r="G364" s="231"/>
      <c r="H364" s="231"/>
      <c r="I364" s="231"/>
      <c r="J364" s="231"/>
      <c r="K364" s="231"/>
      <c r="L364" s="231"/>
      <c r="M364" s="231"/>
      <c r="N364" s="231"/>
      <c r="O364" s="231"/>
      <c r="P364" s="231"/>
      <c r="Q364" s="231"/>
      <c r="R364" s="231"/>
      <c r="S364" s="231"/>
      <c r="T364" s="231"/>
      <c r="U364" s="231"/>
      <c r="V364" s="231"/>
      <c r="W364" s="231"/>
      <c r="X364" s="231"/>
      <c r="Y364" s="231"/>
      <c r="Z364" s="231"/>
    </row>
    <row r="365">
      <c r="A365" s="231"/>
      <c r="B365" s="231"/>
      <c r="C365" s="231"/>
      <c r="D365" s="231"/>
      <c r="E365" s="231"/>
      <c r="F365" s="231"/>
      <c r="G365" s="231"/>
      <c r="H365" s="231"/>
      <c r="I365" s="231"/>
      <c r="J365" s="231"/>
      <c r="K365" s="231"/>
      <c r="L365" s="231"/>
      <c r="M365" s="231"/>
      <c r="N365" s="231"/>
      <c r="O365" s="231"/>
      <c r="P365" s="231"/>
      <c r="Q365" s="231"/>
      <c r="R365" s="231"/>
      <c r="S365" s="231"/>
      <c r="T365" s="231"/>
      <c r="U365" s="231"/>
      <c r="V365" s="231"/>
      <c r="W365" s="231"/>
      <c r="X365" s="231"/>
      <c r="Y365" s="231"/>
      <c r="Z365" s="231"/>
    </row>
    <row r="366">
      <c r="A366" s="231"/>
      <c r="B366" s="231"/>
      <c r="C366" s="231"/>
      <c r="D366" s="231"/>
      <c r="E366" s="231"/>
      <c r="F366" s="231"/>
      <c r="G366" s="231"/>
      <c r="H366" s="231"/>
      <c r="I366" s="231"/>
      <c r="J366" s="231"/>
      <c r="K366" s="231"/>
      <c r="L366" s="231"/>
      <c r="M366" s="231"/>
      <c r="N366" s="231"/>
      <c r="O366" s="231"/>
      <c r="P366" s="231"/>
      <c r="Q366" s="231"/>
      <c r="R366" s="231"/>
      <c r="S366" s="231"/>
      <c r="T366" s="231"/>
      <c r="U366" s="231"/>
      <c r="V366" s="231"/>
      <c r="W366" s="231"/>
      <c r="X366" s="231"/>
      <c r="Y366" s="231"/>
      <c r="Z366" s="231"/>
    </row>
    <row r="367">
      <c r="A367" s="231"/>
      <c r="B367" s="231"/>
      <c r="C367" s="231"/>
      <c r="D367" s="231"/>
      <c r="E367" s="231"/>
      <c r="F367" s="231"/>
      <c r="G367" s="231"/>
      <c r="H367" s="231"/>
      <c r="I367" s="231"/>
      <c r="J367" s="231"/>
      <c r="K367" s="231"/>
      <c r="L367" s="231"/>
      <c r="M367" s="231"/>
      <c r="N367" s="231"/>
      <c r="O367" s="231"/>
      <c r="P367" s="231"/>
      <c r="Q367" s="231"/>
      <c r="R367" s="231"/>
      <c r="S367" s="231"/>
      <c r="T367" s="231"/>
      <c r="U367" s="231"/>
      <c r="V367" s="231"/>
      <c r="W367" s="231"/>
      <c r="X367" s="231"/>
      <c r="Y367" s="231"/>
      <c r="Z367" s="231"/>
    </row>
    <row r="368">
      <c r="A368" s="231"/>
      <c r="B368" s="231"/>
      <c r="C368" s="231"/>
      <c r="D368" s="231"/>
      <c r="E368" s="231"/>
      <c r="F368" s="231"/>
      <c r="G368" s="231"/>
      <c r="H368" s="231"/>
      <c r="I368" s="231"/>
      <c r="J368" s="231"/>
      <c r="K368" s="231"/>
      <c r="L368" s="231"/>
      <c r="M368" s="231"/>
      <c r="N368" s="231"/>
      <c r="O368" s="231"/>
      <c r="P368" s="231"/>
      <c r="Q368" s="231"/>
      <c r="R368" s="231"/>
      <c r="S368" s="231"/>
      <c r="T368" s="231"/>
      <c r="U368" s="231"/>
      <c r="V368" s="231"/>
      <c r="W368" s="231"/>
      <c r="X368" s="231"/>
      <c r="Y368" s="231"/>
      <c r="Z368" s="231"/>
    </row>
    <row r="369">
      <c r="A369" s="231"/>
      <c r="B369" s="231"/>
      <c r="C369" s="231"/>
      <c r="D369" s="231"/>
      <c r="E369" s="231"/>
      <c r="F369" s="231"/>
      <c r="G369" s="231"/>
      <c r="H369" s="231"/>
      <c r="I369" s="231"/>
      <c r="J369" s="231"/>
      <c r="K369" s="231"/>
      <c r="L369" s="231"/>
      <c r="M369" s="231"/>
      <c r="N369" s="231"/>
      <c r="O369" s="231"/>
      <c r="P369" s="231"/>
      <c r="Q369" s="231"/>
      <c r="R369" s="231"/>
      <c r="S369" s="231"/>
      <c r="T369" s="231"/>
      <c r="U369" s="231"/>
      <c r="V369" s="231"/>
      <c r="W369" s="231"/>
      <c r="X369" s="231"/>
      <c r="Y369" s="231"/>
      <c r="Z369" s="231"/>
    </row>
    <row r="370">
      <c r="A370" s="231"/>
      <c r="B370" s="231"/>
      <c r="C370" s="231"/>
      <c r="D370" s="231"/>
      <c r="E370" s="231"/>
      <c r="F370" s="231"/>
      <c r="G370" s="231"/>
      <c r="H370" s="231"/>
      <c r="I370" s="231"/>
      <c r="J370" s="231"/>
      <c r="K370" s="231"/>
      <c r="L370" s="231"/>
      <c r="M370" s="231"/>
      <c r="N370" s="231"/>
      <c r="O370" s="231"/>
      <c r="P370" s="231"/>
      <c r="Q370" s="231"/>
      <c r="R370" s="231"/>
      <c r="S370" s="231"/>
      <c r="T370" s="231"/>
      <c r="U370" s="231"/>
      <c r="V370" s="231"/>
      <c r="W370" s="231"/>
      <c r="X370" s="231"/>
      <c r="Y370" s="231"/>
      <c r="Z370" s="231"/>
    </row>
    <row r="371">
      <c r="A371" s="231"/>
      <c r="B371" s="231"/>
      <c r="C371" s="231"/>
      <c r="D371" s="231"/>
      <c r="E371" s="231"/>
      <c r="F371" s="231"/>
      <c r="G371" s="231"/>
      <c r="H371" s="231"/>
      <c r="I371" s="231"/>
      <c r="J371" s="231"/>
      <c r="K371" s="231"/>
      <c r="L371" s="231"/>
      <c r="M371" s="231"/>
      <c r="N371" s="231"/>
      <c r="O371" s="231"/>
      <c r="P371" s="231"/>
      <c r="Q371" s="231"/>
      <c r="R371" s="231"/>
      <c r="S371" s="231"/>
      <c r="T371" s="231"/>
      <c r="U371" s="231"/>
      <c r="V371" s="231"/>
      <c r="W371" s="231"/>
      <c r="X371" s="231"/>
      <c r="Y371" s="231"/>
      <c r="Z371" s="231"/>
    </row>
    <row r="372">
      <c r="A372" s="231"/>
      <c r="B372" s="231"/>
      <c r="C372" s="231"/>
      <c r="D372" s="231"/>
      <c r="E372" s="231"/>
      <c r="F372" s="231"/>
      <c r="G372" s="231"/>
      <c r="H372" s="231"/>
      <c r="I372" s="231"/>
      <c r="J372" s="231"/>
      <c r="K372" s="231"/>
      <c r="L372" s="231"/>
      <c r="M372" s="231"/>
      <c r="N372" s="231"/>
      <c r="O372" s="231"/>
      <c r="P372" s="231"/>
      <c r="Q372" s="231"/>
      <c r="R372" s="231"/>
      <c r="S372" s="231"/>
      <c r="T372" s="231"/>
      <c r="U372" s="231"/>
      <c r="V372" s="231"/>
      <c r="W372" s="231"/>
      <c r="X372" s="231"/>
      <c r="Y372" s="231"/>
      <c r="Z372" s="231"/>
    </row>
    <row r="373">
      <c r="A373" s="231"/>
      <c r="B373" s="231"/>
      <c r="C373" s="231"/>
      <c r="D373" s="231"/>
      <c r="E373" s="231"/>
      <c r="F373" s="231"/>
      <c r="G373" s="231"/>
      <c r="H373" s="231"/>
      <c r="I373" s="231"/>
      <c r="J373" s="231"/>
      <c r="K373" s="231"/>
      <c r="L373" s="231"/>
      <c r="M373" s="231"/>
      <c r="N373" s="231"/>
      <c r="O373" s="231"/>
      <c r="P373" s="231"/>
      <c r="Q373" s="231"/>
      <c r="R373" s="231"/>
      <c r="S373" s="231"/>
      <c r="T373" s="231"/>
      <c r="U373" s="231"/>
      <c r="V373" s="231"/>
      <c r="W373" s="231"/>
      <c r="X373" s="231"/>
      <c r="Y373" s="231"/>
      <c r="Z373" s="231"/>
    </row>
    <row r="374">
      <c r="A374" s="231"/>
      <c r="B374" s="231"/>
      <c r="C374" s="231"/>
      <c r="D374" s="231"/>
      <c r="E374" s="231"/>
      <c r="F374" s="231"/>
      <c r="G374" s="231"/>
      <c r="H374" s="231"/>
      <c r="I374" s="231"/>
      <c r="J374" s="231"/>
      <c r="K374" s="231"/>
      <c r="L374" s="231"/>
      <c r="M374" s="231"/>
      <c r="N374" s="231"/>
      <c r="O374" s="231"/>
      <c r="P374" s="231"/>
      <c r="Q374" s="231"/>
      <c r="R374" s="231"/>
      <c r="S374" s="231"/>
      <c r="T374" s="231"/>
      <c r="U374" s="231"/>
      <c r="V374" s="231"/>
      <c r="W374" s="231"/>
      <c r="X374" s="231"/>
      <c r="Y374" s="231"/>
      <c r="Z374" s="231"/>
    </row>
    <row r="375">
      <c r="A375" s="231"/>
      <c r="B375" s="231"/>
      <c r="C375" s="231"/>
      <c r="D375" s="231"/>
      <c r="E375" s="231"/>
      <c r="F375" s="231"/>
      <c r="G375" s="231"/>
      <c r="H375" s="231"/>
      <c r="I375" s="231"/>
      <c r="J375" s="231"/>
      <c r="K375" s="231"/>
      <c r="L375" s="231"/>
      <c r="M375" s="231"/>
      <c r="N375" s="231"/>
      <c r="O375" s="231"/>
      <c r="P375" s="231"/>
      <c r="Q375" s="231"/>
      <c r="R375" s="231"/>
      <c r="S375" s="231"/>
      <c r="T375" s="231"/>
      <c r="U375" s="231"/>
      <c r="V375" s="231"/>
      <c r="W375" s="231"/>
      <c r="X375" s="231"/>
      <c r="Y375" s="231"/>
      <c r="Z375" s="231"/>
    </row>
    <row r="376">
      <c r="A376" s="231"/>
      <c r="B376" s="231"/>
      <c r="C376" s="231"/>
      <c r="D376" s="231"/>
      <c r="E376" s="231"/>
      <c r="F376" s="231"/>
      <c r="G376" s="231"/>
      <c r="H376" s="231"/>
      <c r="I376" s="231"/>
      <c r="J376" s="231"/>
      <c r="K376" s="231"/>
      <c r="L376" s="231"/>
      <c r="M376" s="231"/>
      <c r="N376" s="231"/>
      <c r="O376" s="231"/>
      <c r="P376" s="231"/>
      <c r="Q376" s="231"/>
      <c r="R376" s="231"/>
      <c r="S376" s="231"/>
      <c r="T376" s="231"/>
      <c r="U376" s="231"/>
      <c r="V376" s="231"/>
      <c r="W376" s="231"/>
      <c r="X376" s="231"/>
      <c r="Y376" s="231"/>
      <c r="Z376" s="231"/>
    </row>
    <row r="377">
      <c r="A377" s="231"/>
      <c r="B377" s="231"/>
      <c r="C377" s="231"/>
      <c r="D377" s="231"/>
      <c r="E377" s="231"/>
      <c r="F377" s="231"/>
      <c r="G377" s="231"/>
      <c r="H377" s="231"/>
      <c r="I377" s="231"/>
      <c r="J377" s="231"/>
      <c r="K377" s="231"/>
      <c r="L377" s="231"/>
      <c r="M377" s="231"/>
      <c r="N377" s="231"/>
      <c r="O377" s="231"/>
      <c r="P377" s="231"/>
      <c r="Q377" s="231"/>
      <c r="R377" s="231"/>
      <c r="S377" s="231"/>
      <c r="T377" s="231"/>
      <c r="U377" s="231"/>
      <c r="V377" s="231"/>
      <c r="W377" s="231"/>
      <c r="X377" s="231"/>
      <c r="Y377" s="231"/>
      <c r="Z377" s="231"/>
    </row>
    <row r="378">
      <c r="A378" s="231"/>
      <c r="B378" s="231"/>
      <c r="C378" s="231"/>
      <c r="D378" s="231"/>
      <c r="E378" s="231"/>
      <c r="F378" s="231"/>
      <c r="G378" s="231"/>
      <c r="H378" s="231"/>
      <c r="I378" s="231"/>
      <c r="J378" s="231"/>
      <c r="K378" s="231"/>
      <c r="L378" s="231"/>
      <c r="M378" s="231"/>
      <c r="N378" s="231"/>
      <c r="O378" s="231"/>
      <c r="P378" s="231"/>
      <c r="Q378" s="231"/>
      <c r="R378" s="231"/>
      <c r="S378" s="231"/>
      <c r="T378" s="231"/>
      <c r="U378" s="231"/>
      <c r="V378" s="231"/>
      <c r="W378" s="231"/>
      <c r="X378" s="231"/>
      <c r="Y378" s="231"/>
      <c r="Z378" s="231"/>
    </row>
    <row r="379">
      <c r="A379" s="231"/>
      <c r="B379" s="231"/>
      <c r="C379" s="231"/>
      <c r="D379" s="231"/>
      <c r="E379" s="231"/>
      <c r="F379" s="231"/>
      <c r="G379" s="231"/>
      <c r="H379" s="231"/>
      <c r="I379" s="231"/>
      <c r="J379" s="231"/>
      <c r="K379" s="231"/>
      <c r="L379" s="231"/>
      <c r="M379" s="231"/>
      <c r="N379" s="231"/>
      <c r="O379" s="231"/>
      <c r="P379" s="231"/>
      <c r="Q379" s="231"/>
      <c r="R379" s="231"/>
      <c r="S379" s="231"/>
      <c r="T379" s="231"/>
      <c r="U379" s="231"/>
      <c r="V379" s="231"/>
      <c r="W379" s="231"/>
      <c r="X379" s="231"/>
      <c r="Y379" s="231"/>
      <c r="Z379" s="231"/>
    </row>
    <row r="380">
      <c r="A380" s="231"/>
      <c r="B380" s="231"/>
      <c r="C380" s="231"/>
      <c r="D380" s="231"/>
      <c r="E380" s="231"/>
      <c r="F380" s="231"/>
      <c r="G380" s="231"/>
      <c r="H380" s="231"/>
      <c r="I380" s="231"/>
      <c r="J380" s="231"/>
      <c r="K380" s="231"/>
      <c r="L380" s="231"/>
      <c r="M380" s="231"/>
      <c r="N380" s="231"/>
      <c r="O380" s="231"/>
      <c r="P380" s="231"/>
      <c r="Q380" s="231"/>
      <c r="R380" s="231"/>
      <c r="S380" s="231"/>
      <c r="T380" s="231"/>
      <c r="U380" s="231"/>
      <c r="V380" s="231"/>
      <c r="W380" s="231"/>
      <c r="X380" s="231"/>
      <c r="Y380" s="231"/>
      <c r="Z380" s="231"/>
    </row>
    <row r="381">
      <c r="A381" s="231"/>
      <c r="B381" s="231"/>
      <c r="C381" s="231"/>
      <c r="D381" s="231"/>
      <c r="E381" s="231"/>
      <c r="F381" s="231"/>
      <c r="G381" s="231"/>
      <c r="H381" s="231"/>
      <c r="I381" s="231"/>
      <c r="J381" s="231"/>
      <c r="K381" s="231"/>
      <c r="L381" s="231"/>
      <c r="M381" s="231"/>
      <c r="N381" s="231"/>
      <c r="O381" s="231"/>
      <c r="P381" s="231"/>
      <c r="Q381" s="231"/>
      <c r="R381" s="231"/>
      <c r="S381" s="231"/>
      <c r="T381" s="231"/>
      <c r="U381" s="231"/>
      <c r="V381" s="231"/>
      <c r="W381" s="231"/>
      <c r="X381" s="231"/>
      <c r="Y381" s="231"/>
      <c r="Z381" s="231"/>
    </row>
    <row r="382">
      <c r="A382" s="231"/>
      <c r="B382" s="231"/>
      <c r="C382" s="231"/>
      <c r="D382" s="231"/>
      <c r="E382" s="231"/>
      <c r="F382" s="231"/>
      <c r="G382" s="231"/>
      <c r="H382" s="231"/>
      <c r="I382" s="231"/>
      <c r="J382" s="231"/>
      <c r="K382" s="231"/>
      <c r="L382" s="231"/>
      <c r="M382" s="231"/>
      <c r="N382" s="231"/>
      <c r="O382" s="231"/>
      <c r="P382" s="231"/>
      <c r="Q382" s="231"/>
      <c r="R382" s="231"/>
      <c r="S382" s="231"/>
      <c r="T382" s="231"/>
      <c r="U382" s="231"/>
      <c r="V382" s="231"/>
      <c r="W382" s="231"/>
      <c r="X382" s="231"/>
      <c r="Y382" s="231"/>
      <c r="Z382" s="231"/>
    </row>
    <row r="383">
      <c r="A383" s="231"/>
      <c r="B383" s="231"/>
      <c r="C383" s="231"/>
      <c r="D383" s="231"/>
      <c r="E383" s="231"/>
      <c r="F383" s="231"/>
      <c r="G383" s="231"/>
      <c r="H383" s="231"/>
      <c r="I383" s="231"/>
      <c r="J383" s="231"/>
      <c r="K383" s="231"/>
      <c r="L383" s="231"/>
      <c r="M383" s="231"/>
      <c r="N383" s="231"/>
      <c r="O383" s="231"/>
      <c r="P383" s="231"/>
      <c r="Q383" s="231"/>
      <c r="R383" s="231"/>
      <c r="S383" s="231"/>
      <c r="T383" s="231"/>
      <c r="U383" s="231"/>
      <c r="V383" s="231"/>
      <c r="W383" s="231"/>
      <c r="X383" s="231"/>
      <c r="Y383" s="231"/>
      <c r="Z383" s="231"/>
    </row>
    <row r="384">
      <c r="A384" s="231"/>
      <c r="B384" s="231"/>
      <c r="C384" s="231"/>
      <c r="D384" s="231"/>
      <c r="E384" s="231"/>
      <c r="F384" s="231"/>
      <c r="G384" s="231"/>
      <c r="H384" s="231"/>
      <c r="I384" s="231"/>
      <c r="J384" s="231"/>
      <c r="K384" s="231"/>
      <c r="L384" s="231"/>
      <c r="M384" s="231"/>
      <c r="N384" s="231"/>
      <c r="O384" s="231"/>
      <c r="P384" s="231"/>
      <c r="Q384" s="231"/>
      <c r="R384" s="231"/>
      <c r="S384" s="231"/>
      <c r="T384" s="231"/>
      <c r="U384" s="231"/>
      <c r="V384" s="231"/>
      <c r="W384" s="231"/>
      <c r="X384" s="231"/>
      <c r="Y384" s="231"/>
      <c r="Z384" s="231"/>
    </row>
    <row r="385">
      <c r="A385" s="231"/>
      <c r="B385" s="231"/>
      <c r="C385" s="231"/>
      <c r="D385" s="231"/>
      <c r="E385" s="231"/>
      <c r="F385" s="231"/>
      <c r="G385" s="231"/>
      <c r="H385" s="231"/>
      <c r="I385" s="231"/>
      <c r="J385" s="231"/>
      <c r="K385" s="231"/>
      <c r="L385" s="231"/>
      <c r="M385" s="231"/>
      <c r="N385" s="231"/>
      <c r="O385" s="231"/>
      <c r="P385" s="231"/>
      <c r="Q385" s="231"/>
      <c r="R385" s="231"/>
      <c r="S385" s="231"/>
      <c r="T385" s="231"/>
      <c r="U385" s="231"/>
      <c r="V385" s="231"/>
      <c r="W385" s="231"/>
      <c r="X385" s="231"/>
      <c r="Y385" s="231"/>
      <c r="Z385" s="231"/>
    </row>
    <row r="386">
      <c r="A386" s="231"/>
      <c r="B386" s="231"/>
      <c r="C386" s="231"/>
      <c r="D386" s="231"/>
      <c r="E386" s="231"/>
      <c r="F386" s="231"/>
      <c r="G386" s="231"/>
      <c r="H386" s="231"/>
      <c r="I386" s="231"/>
      <c r="J386" s="231"/>
      <c r="K386" s="231"/>
      <c r="L386" s="231"/>
      <c r="M386" s="231"/>
      <c r="N386" s="231"/>
      <c r="O386" s="231"/>
      <c r="P386" s="231"/>
      <c r="Q386" s="231"/>
      <c r="R386" s="231"/>
      <c r="S386" s="231"/>
      <c r="T386" s="231"/>
      <c r="U386" s="231"/>
      <c r="V386" s="231"/>
      <c r="W386" s="231"/>
      <c r="X386" s="231"/>
      <c r="Y386" s="231"/>
      <c r="Z386" s="231"/>
    </row>
    <row r="387">
      <c r="A387" s="231"/>
      <c r="B387" s="231"/>
      <c r="C387" s="231"/>
      <c r="D387" s="231"/>
      <c r="E387" s="231"/>
      <c r="F387" s="231"/>
      <c r="G387" s="231"/>
      <c r="H387" s="231"/>
      <c r="I387" s="231"/>
      <c r="J387" s="231"/>
      <c r="K387" s="231"/>
      <c r="L387" s="231"/>
      <c r="M387" s="231"/>
      <c r="N387" s="231"/>
      <c r="O387" s="231"/>
      <c r="P387" s="231"/>
      <c r="Q387" s="231"/>
      <c r="R387" s="231"/>
      <c r="S387" s="231"/>
      <c r="T387" s="231"/>
      <c r="U387" s="231"/>
      <c r="V387" s="231"/>
      <c r="W387" s="231"/>
      <c r="X387" s="231"/>
      <c r="Y387" s="231"/>
      <c r="Z387" s="231"/>
    </row>
    <row r="388">
      <c r="A388" s="231"/>
      <c r="B388" s="231"/>
      <c r="C388" s="231"/>
      <c r="D388" s="231"/>
      <c r="E388" s="231"/>
      <c r="F388" s="231"/>
      <c r="G388" s="231"/>
      <c r="H388" s="231"/>
      <c r="I388" s="231"/>
      <c r="J388" s="231"/>
      <c r="K388" s="231"/>
      <c r="L388" s="231"/>
      <c r="M388" s="231"/>
      <c r="N388" s="231"/>
      <c r="O388" s="231"/>
      <c r="P388" s="231"/>
      <c r="Q388" s="231"/>
      <c r="R388" s="231"/>
      <c r="S388" s="231"/>
      <c r="T388" s="231"/>
      <c r="U388" s="231"/>
      <c r="V388" s="231"/>
      <c r="W388" s="231"/>
      <c r="X388" s="231"/>
      <c r="Y388" s="231"/>
      <c r="Z388" s="231"/>
    </row>
    <row r="389">
      <c r="A389" s="231"/>
      <c r="B389" s="231"/>
      <c r="C389" s="231"/>
      <c r="D389" s="231"/>
      <c r="E389" s="231"/>
      <c r="F389" s="231"/>
      <c r="G389" s="231"/>
      <c r="H389" s="231"/>
      <c r="I389" s="231"/>
      <c r="J389" s="231"/>
      <c r="K389" s="231"/>
      <c r="L389" s="231"/>
      <c r="M389" s="231"/>
      <c r="N389" s="231"/>
      <c r="O389" s="231"/>
      <c r="P389" s="231"/>
      <c r="Q389" s="231"/>
      <c r="R389" s="231"/>
      <c r="S389" s="231"/>
      <c r="T389" s="231"/>
      <c r="U389" s="231"/>
      <c r="V389" s="231"/>
      <c r="W389" s="231"/>
      <c r="X389" s="231"/>
      <c r="Y389" s="231"/>
      <c r="Z389" s="231"/>
    </row>
    <row r="390">
      <c r="A390" s="231"/>
      <c r="B390" s="231"/>
      <c r="C390" s="231"/>
      <c r="D390" s="231"/>
      <c r="E390" s="231"/>
      <c r="F390" s="231"/>
      <c r="G390" s="231"/>
      <c r="H390" s="231"/>
      <c r="I390" s="231"/>
      <c r="J390" s="231"/>
      <c r="K390" s="231"/>
      <c r="L390" s="231"/>
      <c r="M390" s="231"/>
      <c r="N390" s="231"/>
      <c r="O390" s="231"/>
      <c r="P390" s="231"/>
      <c r="Q390" s="231"/>
      <c r="R390" s="231"/>
      <c r="S390" s="231"/>
      <c r="T390" s="231"/>
      <c r="U390" s="231"/>
      <c r="V390" s="231"/>
      <c r="W390" s="231"/>
      <c r="X390" s="231"/>
      <c r="Y390" s="231"/>
      <c r="Z390" s="231"/>
    </row>
    <row r="391">
      <c r="A391" s="231"/>
      <c r="B391" s="231"/>
      <c r="C391" s="231"/>
      <c r="D391" s="231"/>
      <c r="E391" s="231"/>
      <c r="F391" s="231"/>
      <c r="G391" s="231"/>
      <c r="H391" s="231"/>
      <c r="I391" s="231"/>
      <c r="J391" s="231"/>
      <c r="K391" s="231"/>
      <c r="L391" s="231"/>
      <c r="M391" s="231"/>
      <c r="N391" s="231"/>
      <c r="O391" s="231"/>
      <c r="P391" s="231"/>
      <c r="Q391" s="231"/>
      <c r="R391" s="231"/>
      <c r="S391" s="231"/>
      <c r="T391" s="231"/>
      <c r="U391" s="231"/>
      <c r="V391" s="231"/>
      <c r="W391" s="231"/>
      <c r="X391" s="231"/>
      <c r="Y391" s="231"/>
      <c r="Z391" s="231"/>
    </row>
    <row r="392">
      <c r="A392" s="231"/>
      <c r="B392" s="231"/>
      <c r="C392" s="231"/>
      <c r="D392" s="231"/>
      <c r="E392" s="231"/>
      <c r="F392" s="231"/>
      <c r="G392" s="231"/>
      <c r="H392" s="231"/>
      <c r="I392" s="231"/>
      <c r="J392" s="231"/>
      <c r="K392" s="231"/>
      <c r="L392" s="231"/>
      <c r="M392" s="231"/>
      <c r="N392" s="231"/>
      <c r="O392" s="231"/>
      <c r="P392" s="231"/>
      <c r="Q392" s="231"/>
      <c r="R392" s="231"/>
      <c r="S392" s="231"/>
      <c r="T392" s="231"/>
      <c r="U392" s="231"/>
      <c r="V392" s="231"/>
      <c r="W392" s="231"/>
      <c r="X392" s="231"/>
      <c r="Y392" s="231"/>
      <c r="Z392" s="231"/>
    </row>
    <row r="393">
      <c r="A393" s="231"/>
      <c r="B393" s="231"/>
      <c r="C393" s="231"/>
      <c r="D393" s="231"/>
      <c r="E393" s="231"/>
      <c r="F393" s="231"/>
      <c r="G393" s="231"/>
      <c r="H393" s="231"/>
      <c r="I393" s="231"/>
      <c r="J393" s="231"/>
      <c r="K393" s="231"/>
      <c r="L393" s="231"/>
      <c r="M393" s="231"/>
      <c r="N393" s="231"/>
      <c r="O393" s="231"/>
      <c r="P393" s="231"/>
      <c r="Q393" s="231"/>
      <c r="R393" s="231"/>
      <c r="S393" s="231"/>
      <c r="T393" s="231"/>
      <c r="U393" s="231"/>
      <c r="V393" s="231"/>
      <c r="W393" s="231"/>
      <c r="X393" s="231"/>
      <c r="Y393" s="231"/>
      <c r="Z393" s="231"/>
    </row>
    <row r="394">
      <c r="A394" s="231"/>
      <c r="B394" s="231"/>
      <c r="C394" s="231"/>
      <c r="D394" s="231"/>
      <c r="E394" s="231"/>
      <c r="F394" s="231"/>
      <c r="G394" s="231"/>
      <c r="H394" s="231"/>
      <c r="I394" s="231"/>
      <c r="J394" s="231"/>
      <c r="K394" s="231"/>
      <c r="L394" s="231"/>
      <c r="M394" s="231"/>
      <c r="N394" s="231"/>
      <c r="O394" s="231"/>
      <c r="P394" s="231"/>
      <c r="Q394" s="231"/>
      <c r="R394" s="231"/>
      <c r="S394" s="231"/>
      <c r="T394" s="231"/>
      <c r="U394" s="231"/>
      <c r="V394" s="231"/>
      <c r="W394" s="231"/>
      <c r="X394" s="231"/>
      <c r="Y394" s="231"/>
      <c r="Z394" s="231"/>
    </row>
    <row r="395">
      <c r="A395" s="231"/>
      <c r="B395" s="231"/>
      <c r="C395" s="231"/>
      <c r="D395" s="231"/>
      <c r="E395" s="231"/>
      <c r="F395" s="231"/>
      <c r="G395" s="231"/>
      <c r="H395" s="231"/>
      <c r="I395" s="231"/>
      <c r="J395" s="231"/>
      <c r="K395" s="231"/>
      <c r="L395" s="231"/>
      <c r="M395" s="231"/>
      <c r="N395" s="231"/>
      <c r="O395" s="231"/>
      <c r="P395" s="231"/>
      <c r="Q395" s="231"/>
      <c r="R395" s="231"/>
      <c r="S395" s="231"/>
      <c r="T395" s="231"/>
      <c r="U395" s="231"/>
      <c r="V395" s="231"/>
      <c r="W395" s="231"/>
      <c r="X395" s="231"/>
      <c r="Y395" s="231"/>
      <c r="Z395" s="231"/>
    </row>
    <row r="396">
      <c r="A396" s="231"/>
      <c r="B396" s="231"/>
      <c r="C396" s="231"/>
      <c r="D396" s="231"/>
      <c r="E396" s="231"/>
      <c r="F396" s="231"/>
      <c r="G396" s="231"/>
      <c r="H396" s="231"/>
      <c r="I396" s="231"/>
      <c r="J396" s="231"/>
      <c r="K396" s="231"/>
      <c r="L396" s="231"/>
      <c r="M396" s="231"/>
      <c r="N396" s="231"/>
      <c r="O396" s="231"/>
      <c r="P396" s="231"/>
      <c r="Q396" s="231"/>
      <c r="R396" s="231"/>
      <c r="S396" s="231"/>
      <c r="T396" s="231"/>
      <c r="U396" s="231"/>
      <c r="V396" s="231"/>
      <c r="W396" s="231"/>
      <c r="X396" s="231"/>
      <c r="Y396" s="231"/>
      <c r="Z396" s="231"/>
    </row>
    <row r="397">
      <c r="A397" s="231"/>
      <c r="B397" s="231"/>
      <c r="C397" s="231"/>
      <c r="D397" s="231"/>
      <c r="E397" s="231"/>
      <c r="F397" s="231"/>
      <c r="G397" s="231"/>
      <c r="H397" s="231"/>
      <c r="I397" s="231"/>
      <c r="J397" s="231"/>
      <c r="K397" s="231"/>
      <c r="L397" s="231"/>
      <c r="M397" s="231"/>
      <c r="N397" s="231"/>
      <c r="O397" s="231"/>
      <c r="P397" s="231"/>
      <c r="Q397" s="231"/>
      <c r="R397" s="231"/>
      <c r="S397" s="231"/>
      <c r="T397" s="231"/>
      <c r="U397" s="231"/>
      <c r="V397" s="231"/>
      <c r="W397" s="231"/>
      <c r="X397" s="231"/>
      <c r="Y397" s="231"/>
      <c r="Z397" s="231"/>
    </row>
    <row r="398">
      <c r="A398" s="231"/>
      <c r="B398" s="231"/>
      <c r="C398" s="231"/>
      <c r="D398" s="231"/>
      <c r="E398" s="231"/>
      <c r="F398" s="231"/>
      <c r="G398" s="231"/>
      <c r="H398" s="231"/>
      <c r="I398" s="231"/>
      <c r="J398" s="231"/>
      <c r="K398" s="231"/>
      <c r="L398" s="231"/>
      <c r="M398" s="231"/>
      <c r="N398" s="231"/>
      <c r="O398" s="231"/>
      <c r="P398" s="231"/>
      <c r="Q398" s="231"/>
      <c r="R398" s="231"/>
      <c r="S398" s="231"/>
      <c r="T398" s="231"/>
      <c r="U398" s="231"/>
      <c r="V398" s="231"/>
      <c r="W398" s="231"/>
      <c r="X398" s="231"/>
      <c r="Y398" s="231"/>
      <c r="Z398" s="231"/>
    </row>
    <row r="399">
      <c r="A399" s="231"/>
      <c r="B399" s="231"/>
      <c r="C399" s="231"/>
      <c r="D399" s="231"/>
      <c r="E399" s="231"/>
      <c r="F399" s="231"/>
      <c r="G399" s="231"/>
      <c r="H399" s="231"/>
      <c r="I399" s="231"/>
      <c r="J399" s="231"/>
      <c r="K399" s="231"/>
      <c r="L399" s="231"/>
      <c r="M399" s="231"/>
      <c r="N399" s="231"/>
      <c r="O399" s="231"/>
      <c r="P399" s="231"/>
      <c r="Q399" s="231"/>
      <c r="R399" s="231"/>
      <c r="S399" s="231"/>
      <c r="T399" s="231"/>
      <c r="U399" s="231"/>
      <c r="V399" s="231"/>
      <c r="W399" s="231"/>
      <c r="X399" s="231"/>
      <c r="Y399" s="231"/>
      <c r="Z399" s="231"/>
    </row>
    <row r="400">
      <c r="A400" s="231"/>
      <c r="B400" s="231"/>
      <c r="C400" s="231"/>
      <c r="D400" s="231"/>
      <c r="E400" s="231"/>
      <c r="F400" s="231"/>
      <c r="G400" s="231"/>
      <c r="H400" s="231"/>
      <c r="I400" s="231"/>
      <c r="J400" s="231"/>
      <c r="K400" s="231"/>
      <c r="L400" s="231"/>
      <c r="M400" s="231"/>
      <c r="N400" s="231"/>
      <c r="O400" s="231"/>
      <c r="P400" s="231"/>
      <c r="Q400" s="231"/>
      <c r="R400" s="231"/>
      <c r="S400" s="231"/>
      <c r="T400" s="231"/>
      <c r="U400" s="231"/>
      <c r="V400" s="231"/>
      <c r="W400" s="231"/>
      <c r="X400" s="231"/>
      <c r="Y400" s="231"/>
      <c r="Z400" s="231"/>
    </row>
    <row r="401">
      <c r="A401" s="231"/>
      <c r="B401" s="231"/>
      <c r="C401" s="231"/>
      <c r="D401" s="231"/>
      <c r="E401" s="231"/>
      <c r="F401" s="231"/>
      <c r="G401" s="231"/>
      <c r="H401" s="231"/>
      <c r="I401" s="231"/>
      <c r="J401" s="231"/>
      <c r="K401" s="231"/>
      <c r="L401" s="231"/>
      <c r="M401" s="231"/>
      <c r="N401" s="231"/>
      <c r="O401" s="231"/>
      <c r="P401" s="231"/>
      <c r="Q401" s="231"/>
      <c r="R401" s="231"/>
      <c r="S401" s="231"/>
      <c r="T401" s="231"/>
      <c r="U401" s="231"/>
      <c r="V401" s="231"/>
      <c r="W401" s="231"/>
      <c r="X401" s="231"/>
      <c r="Y401" s="231"/>
      <c r="Z401" s="231"/>
    </row>
    <row r="402">
      <c r="A402" s="231"/>
      <c r="B402" s="231"/>
      <c r="C402" s="231"/>
      <c r="D402" s="231"/>
      <c r="E402" s="231"/>
      <c r="F402" s="231"/>
      <c r="G402" s="231"/>
      <c r="H402" s="231"/>
      <c r="I402" s="231"/>
      <c r="J402" s="231"/>
      <c r="K402" s="231"/>
      <c r="L402" s="231"/>
      <c r="M402" s="231"/>
      <c r="N402" s="231"/>
      <c r="O402" s="231"/>
      <c r="P402" s="231"/>
      <c r="Q402" s="231"/>
      <c r="R402" s="231"/>
      <c r="S402" s="231"/>
      <c r="T402" s="231"/>
      <c r="U402" s="231"/>
      <c r="V402" s="231"/>
      <c r="W402" s="231"/>
      <c r="X402" s="231"/>
      <c r="Y402" s="231"/>
      <c r="Z402" s="231"/>
    </row>
    <row r="403">
      <c r="A403" s="231"/>
      <c r="B403" s="231"/>
      <c r="C403" s="231"/>
      <c r="D403" s="231"/>
      <c r="E403" s="231"/>
      <c r="F403" s="231"/>
      <c r="G403" s="231"/>
      <c r="H403" s="231"/>
      <c r="I403" s="231"/>
      <c r="J403" s="231"/>
      <c r="K403" s="231"/>
      <c r="L403" s="231"/>
      <c r="M403" s="231"/>
      <c r="N403" s="231"/>
      <c r="O403" s="231"/>
      <c r="P403" s="231"/>
      <c r="Q403" s="231"/>
      <c r="R403" s="231"/>
      <c r="S403" s="231"/>
      <c r="T403" s="231"/>
      <c r="U403" s="231"/>
      <c r="V403" s="231"/>
      <c r="W403" s="231"/>
      <c r="X403" s="231"/>
      <c r="Y403" s="231"/>
      <c r="Z403" s="231"/>
    </row>
    <row r="404">
      <c r="A404" s="231"/>
      <c r="B404" s="231"/>
      <c r="C404" s="231"/>
      <c r="D404" s="231"/>
      <c r="E404" s="231"/>
      <c r="F404" s="231"/>
      <c r="G404" s="231"/>
      <c r="H404" s="231"/>
      <c r="I404" s="231"/>
      <c r="J404" s="231"/>
      <c r="K404" s="231"/>
      <c r="L404" s="231"/>
      <c r="M404" s="231"/>
      <c r="N404" s="231"/>
      <c r="O404" s="231"/>
      <c r="P404" s="231"/>
      <c r="Q404" s="231"/>
      <c r="R404" s="231"/>
      <c r="S404" s="231"/>
      <c r="T404" s="231"/>
      <c r="U404" s="231"/>
      <c r="V404" s="231"/>
      <c r="W404" s="231"/>
      <c r="X404" s="231"/>
      <c r="Y404" s="231"/>
      <c r="Z404" s="231"/>
    </row>
    <row r="405">
      <c r="A405" s="231"/>
      <c r="B405" s="231"/>
      <c r="C405" s="231"/>
      <c r="D405" s="231"/>
      <c r="E405" s="231"/>
      <c r="F405" s="231"/>
      <c r="G405" s="231"/>
      <c r="H405" s="231"/>
      <c r="I405" s="231"/>
      <c r="J405" s="231"/>
      <c r="K405" s="231"/>
      <c r="L405" s="231"/>
      <c r="M405" s="231"/>
      <c r="N405" s="231"/>
      <c r="O405" s="231"/>
      <c r="P405" s="231"/>
      <c r="Q405" s="231"/>
      <c r="R405" s="231"/>
      <c r="S405" s="231"/>
      <c r="T405" s="231"/>
      <c r="U405" s="231"/>
      <c r="V405" s="231"/>
      <c r="W405" s="231"/>
      <c r="X405" s="231"/>
      <c r="Y405" s="231"/>
      <c r="Z405" s="231"/>
    </row>
    <row r="406">
      <c r="A406" s="231"/>
      <c r="B406" s="231"/>
      <c r="C406" s="231"/>
      <c r="D406" s="231"/>
      <c r="E406" s="231"/>
      <c r="F406" s="231"/>
      <c r="G406" s="231"/>
      <c r="H406" s="231"/>
      <c r="I406" s="231"/>
      <c r="J406" s="231"/>
      <c r="K406" s="231"/>
      <c r="L406" s="231"/>
      <c r="M406" s="231"/>
      <c r="N406" s="231"/>
      <c r="O406" s="231"/>
      <c r="P406" s="231"/>
      <c r="Q406" s="231"/>
      <c r="R406" s="231"/>
      <c r="S406" s="231"/>
      <c r="T406" s="231"/>
      <c r="U406" s="231"/>
      <c r="V406" s="231"/>
      <c r="W406" s="231"/>
      <c r="X406" s="231"/>
      <c r="Y406" s="231"/>
      <c r="Z406" s="231"/>
    </row>
    <row r="407">
      <c r="A407" s="231"/>
      <c r="B407" s="231"/>
      <c r="C407" s="231"/>
      <c r="D407" s="231"/>
      <c r="E407" s="231"/>
      <c r="F407" s="231"/>
      <c r="G407" s="231"/>
      <c r="H407" s="231"/>
      <c r="I407" s="231"/>
      <c r="J407" s="231"/>
      <c r="K407" s="231"/>
      <c r="L407" s="231"/>
      <c r="M407" s="231"/>
      <c r="N407" s="231"/>
      <c r="O407" s="231"/>
      <c r="P407" s="231"/>
      <c r="Q407" s="231"/>
      <c r="R407" s="231"/>
      <c r="S407" s="231"/>
      <c r="T407" s="231"/>
      <c r="U407" s="231"/>
      <c r="V407" s="231"/>
      <c r="W407" s="231"/>
      <c r="X407" s="231"/>
      <c r="Y407" s="231"/>
      <c r="Z407" s="231"/>
    </row>
    <row r="408">
      <c r="A408" s="231"/>
      <c r="B408" s="231"/>
      <c r="C408" s="231"/>
      <c r="D408" s="231"/>
      <c r="E408" s="231"/>
      <c r="F408" s="231"/>
      <c r="G408" s="231"/>
      <c r="H408" s="231"/>
      <c r="I408" s="231"/>
      <c r="J408" s="231"/>
      <c r="K408" s="231"/>
      <c r="L408" s="231"/>
      <c r="M408" s="231"/>
      <c r="N408" s="231"/>
      <c r="O408" s="231"/>
      <c r="P408" s="231"/>
      <c r="Q408" s="231"/>
      <c r="R408" s="231"/>
      <c r="S408" s="231"/>
      <c r="T408" s="231"/>
      <c r="U408" s="231"/>
      <c r="V408" s="231"/>
      <c r="W408" s="231"/>
      <c r="X408" s="231"/>
      <c r="Y408" s="231"/>
      <c r="Z408" s="231"/>
    </row>
    <row r="409">
      <c r="A409" s="231"/>
      <c r="B409" s="231"/>
      <c r="C409" s="231"/>
      <c r="D409" s="231"/>
      <c r="E409" s="231"/>
      <c r="F409" s="231"/>
      <c r="G409" s="231"/>
      <c r="H409" s="231"/>
      <c r="I409" s="231"/>
      <c r="J409" s="231"/>
      <c r="K409" s="231"/>
      <c r="L409" s="231"/>
      <c r="M409" s="231"/>
      <c r="N409" s="231"/>
      <c r="O409" s="231"/>
      <c r="P409" s="231"/>
      <c r="Q409" s="231"/>
      <c r="R409" s="231"/>
      <c r="S409" s="231"/>
      <c r="T409" s="231"/>
      <c r="U409" s="231"/>
      <c r="V409" s="231"/>
      <c r="W409" s="231"/>
      <c r="X409" s="231"/>
      <c r="Y409" s="231"/>
      <c r="Z409" s="231"/>
    </row>
    <row r="410">
      <c r="A410" s="231"/>
      <c r="B410" s="231"/>
      <c r="C410" s="231"/>
      <c r="D410" s="231"/>
      <c r="E410" s="231"/>
      <c r="F410" s="231"/>
      <c r="G410" s="231"/>
      <c r="H410" s="231"/>
      <c r="I410" s="231"/>
      <c r="J410" s="231"/>
      <c r="K410" s="231"/>
      <c r="L410" s="231"/>
      <c r="M410" s="231"/>
      <c r="N410" s="231"/>
      <c r="O410" s="231"/>
      <c r="P410" s="231"/>
      <c r="Q410" s="231"/>
      <c r="R410" s="231"/>
      <c r="S410" s="231"/>
      <c r="T410" s="231"/>
      <c r="U410" s="231"/>
      <c r="V410" s="231"/>
      <c r="W410" s="231"/>
      <c r="X410" s="231"/>
      <c r="Y410" s="231"/>
      <c r="Z410" s="231"/>
    </row>
    <row r="411">
      <c r="A411" s="231"/>
      <c r="B411" s="231"/>
      <c r="C411" s="231"/>
      <c r="D411" s="231"/>
      <c r="E411" s="231"/>
      <c r="F411" s="231"/>
      <c r="G411" s="231"/>
      <c r="H411" s="231"/>
      <c r="I411" s="231"/>
      <c r="J411" s="231"/>
      <c r="K411" s="231"/>
      <c r="L411" s="231"/>
      <c r="M411" s="231"/>
      <c r="N411" s="231"/>
      <c r="O411" s="231"/>
      <c r="P411" s="231"/>
      <c r="Q411" s="231"/>
      <c r="R411" s="231"/>
      <c r="S411" s="231"/>
      <c r="T411" s="231"/>
      <c r="U411" s="231"/>
      <c r="V411" s="231"/>
      <c r="W411" s="231"/>
      <c r="X411" s="231"/>
      <c r="Y411" s="231"/>
      <c r="Z411" s="231"/>
    </row>
    <row r="412">
      <c r="A412" s="231"/>
      <c r="B412" s="231"/>
      <c r="C412" s="231"/>
      <c r="D412" s="231"/>
      <c r="E412" s="231"/>
      <c r="F412" s="231"/>
      <c r="G412" s="231"/>
      <c r="H412" s="231"/>
      <c r="I412" s="231"/>
      <c r="J412" s="231"/>
      <c r="K412" s="231"/>
      <c r="L412" s="231"/>
      <c r="M412" s="231"/>
      <c r="N412" s="231"/>
      <c r="O412" s="231"/>
      <c r="P412" s="231"/>
      <c r="Q412" s="231"/>
      <c r="R412" s="231"/>
      <c r="S412" s="231"/>
      <c r="T412" s="231"/>
      <c r="U412" s="231"/>
      <c r="V412" s="231"/>
      <c r="W412" s="231"/>
      <c r="X412" s="231"/>
      <c r="Y412" s="231"/>
      <c r="Z412" s="231"/>
    </row>
    <row r="413">
      <c r="A413" s="231"/>
      <c r="B413" s="231"/>
      <c r="C413" s="231"/>
      <c r="D413" s="231"/>
      <c r="E413" s="231"/>
      <c r="F413" s="231"/>
      <c r="G413" s="231"/>
      <c r="H413" s="231"/>
      <c r="I413" s="231"/>
      <c r="J413" s="231"/>
      <c r="K413" s="231"/>
      <c r="L413" s="231"/>
      <c r="M413" s="231"/>
      <c r="N413" s="231"/>
      <c r="O413" s="231"/>
      <c r="P413" s="231"/>
      <c r="Q413" s="231"/>
      <c r="R413" s="231"/>
      <c r="S413" s="231"/>
      <c r="T413" s="231"/>
      <c r="U413" s="231"/>
      <c r="V413" s="231"/>
      <c r="W413" s="231"/>
      <c r="X413" s="231"/>
      <c r="Y413" s="231"/>
      <c r="Z413" s="231"/>
    </row>
    <row r="414">
      <c r="A414" s="231"/>
      <c r="B414" s="231"/>
      <c r="C414" s="231"/>
      <c r="D414" s="231"/>
      <c r="E414" s="231"/>
      <c r="F414" s="231"/>
      <c r="G414" s="231"/>
      <c r="H414" s="231"/>
      <c r="I414" s="231"/>
      <c r="J414" s="231"/>
      <c r="K414" s="231"/>
      <c r="L414" s="231"/>
      <c r="M414" s="231"/>
      <c r="N414" s="231"/>
      <c r="O414" s="231"/>
      <c r="P414" s="231"/>
      <c r="Q414" s="231"/>
      <c r="R414" s="231"/>
      <c r="S414" s="231"/>
      <c r="T414" s="231"/>
      <c r="U414" s="231"/>
      <c r="V414" s="231"/>
      <c r="W414" s="231"/>
      <c r="X414" s="231"/>
      <c r="Y414" s="231"/>
      <c r="Z414" s="231"/>
    </row>
    <row r="415">
      <c r="A415" s="231"/>
      <c r="B415" s="231"/>
      <c r="C415" s="231"/>
      <c r="D415" s="231"/>
      <c r="E415" s="231"/>
      <c r="F415" s="231"/>
      <c r="G415" s="231"/>
      <c r="H415" s="231"/>
      <c r="I415" s="231"/>
      <c r="J415" s="231"/>
      <c r="K415" s="231"/>
      <c r="L415" s="231"/>
      <c r="M415" s="231"/>
      <c r="N415" s="231"/>
      <c r="O415" s="231"/>
      <c r="P415" s="231"/>
      <c r="Q415" s="231"/>
      <c r="R415" s="231"/>
      <c r="S415" s="231"/>
      <c r="T415" s="231"/>
      <c r="U415" s="231"/>
      <c r="V415" s="231"/>
      <c r="W415" s="231"/>
      <c r="X415" s="231"/>
      <c r="Y415" s="231"/>
      <c r="Z415" s="231"/>
    </row>
    <row r="416">
      <c r="A416" s="231"/>
      <c r="B416" s="231"/>
      <c r="C416" s="231"/>
      <c r="D416" s="231"/>
      <c r="E416" s="231"/>
      <c r="F416" s="231"/>
      <c r="G416" s="231"/>
      <c r="H416" s="231"/>
      <c r="I416" s="231"/>
      <c r="J416" s="231"/>
      <c r="K416" s="231"/>
      <c r="L416" s="231"/>
      <c r="M416" s="231"/>
      <c r="N416" s="231"/>
      <c r="O416" s="231"/>
      <c r="P416" s="231"/>
      <c r="Q416" s="231"/>
      <c r="R416" s="231"/>
      <c r="S416" s="231"/>
      <c r="T416" s="231"/>
      <c r="U416" s="231"/>
      <c r="V416" s="231"/>
      <c r="W416" s="231"/>
      <c r="X416" s="231"/>
      <c r="Y416" s="231"/>
      <c r="Z416" s="231"/>
    </row>
    <row r="417">
      <c r="A417" s="231"/>
      <c r="B417" s="231"/>
      <c r="C417" s="231"/>
      <c r="D417" s="231"/>
      <c r="E417" s="231"/>
      <c r="F417" s="231"/>
      <c r="G417" s="231"/>
      <c r="H417" s="231"/>
      <c r="I417" s="231"/>
      <c r="J417" s="231"/>
      <c r="K417" s="231"/>
      <c r="L417" s="231"/>
      <c r="M417" s="231"/>
      <c r="N417" s="231"/>
      <c r="O417" s="231"/>
      <c r="P417" s="231"/>
      <c r="Q417" s="231"/>
      <c r="R417" s="231"/>
      <c r="S417" s="231"/>
      <c r="T417" s="231"/>
      <c r="U417" s="231"/>
      <c r="V417" s="231"/>
      <c r="W417" s="231"/>
      <c r="X417" s="231"/>
      <c r="Y417" s="231"/>
      <c r="Z417" s="231"/>
    </row>
    <row r="418">
      <c r="A418" s="231"/>
      <c r="B418" s="231"/>
      <c r="C418" s="231"/>
      <c r="D418" s="231"/>
      <c r="E418" s="231"/>
      <c r="F418" s="231"/>
      <c r="G418" s="231"/>
      <c r="H418" s="231"/>
      <c r="I418" s="231"/>
      <c r="J418" s="231"/>
      <c r="K418" s="231"/>
      <c r="L418" s="231"/>
      <c r="M418" s="231"/>
      <c r="N418" s="231"/>
      <c r="O418" s="231"/>
      <c r="P418" s="231"/>
      <c r="Q418" s="231"/>
      <c r="R418" s="231"/>
      <c r="S418" s="231"/>
      <c r="T418" s="231"/>
      <c r="U418" s="231"/>
      <c r="V418" s="231"/>
      <c r="W418" s="231"/>
      <c r="X418" s="231"/>
      <c r="Y418" s="231"/>
      <c r="Z418" s="231"/>
    </row>
    <row r="419">
      <c r="A419" s="231"/>
      <c r="B419" s="231"/>
      <c r="C419" s="231"/>
      <c r="D419" s="231"/>
      <c r="E419" s="231"/>
      <c r="F419" s="231"/>
      <c r="G419" s="231"/>
      <c r="H419" s="231"/>
      <c r="I419" s="231"/>
      <c r="J419" s="231"/>
      <c r="K419" s="231"/>
      <c r="L419" s="231"/>
      <c r="M419" s="231"/>
      <c r="N419" s="231"/>
      <c r="O419" s="231"/>
      <c r="P419" s="231"/>
      <c r="Q419" s="231"/>
      <c r="R419" s="231"/>
      <c r="S419" s="231"/>
      <c r="T419" s="231"/>
      <c r="U419" s="231"/>
      <c r="V419" s="231"/>
      <c r="W419" s="231"/>
      <c r="X419" s="231"/>
      <c r="Y419" s="231"/>
      <c r="Z419" s="231"/>
    </row>
    <row r="420">
      <c r="A420" s="231"/>
      <c r="B420" s="231"/>
      <c r="C420" s="231"/>
      <c r="D420" s="231"/>
      <c r="E420" s="231"/>
      <c r="F420" s="231"/>
      <c r="G420" s="231"/>
      <c r="H420" s="231"/>
      <c r="I420" s="231"/>
      <c r="J420" s="231"/>
      <c r="K420" s="231"/>
      <c r="L420" s="231"/>
      <c r="M420" s="231"/>
      <c r="N420" s="231"/>
      <c r="O420" s="231"/>
      <c r="P420" s="231"/>
      <c r="Q420" s="231"/>
      <c r="R420" s="231"/>
      <c r="S420" s="231"/>
      <c r="T420" s="231"/>
      <c r="U420" s="231"/>
      <c r="V420" s="231"/>
      <c r="W420" s="231"/>
      <c r="X420" s="231"/>
      <c r="Y420" s="231"/>
      <c r="Z420" s="231"/>
    </row>
    <row r="421">
      <c r="A421" s="231"/>
      <c r="B421" s="231"/>
      <c r="C421" s="231"/>
      <c r="D421" s="231"/>
      <c r="E421" s="231"/>
      <c r="F421" s="231"/>
      <c r="G421" s="231"/>
      <c r="H421" s="231"/>
      <c r="I421" s="231"/>
      <c r="J421" s="231"/>
      <c r="K421" s="231"/>
      <c r="L421" s="231"/>
      <c r="M421" s="231"/>
      <c r="N421" s="231"/>
      <c r="O421" s="231"/>
      <c r="P421" s="231"/>
      <c r="Q421" s="231"/>
      <c r="R421" s="231"/>
      <c r="S421" s="231"/>
      <c r="T421" s="231"/>
      <c r="U421" s="231"/>
      <c r="V421" s="231"/>
      <c r="W421" s="231"/>
      <c r="X421" s="231"/>
      <c r="Y421" s="231"/>
      <c r="Z421" s="231"/>
    </row>
    <row r="422">
      <c r="A422" s="231"/>
      <c r="B422" s="231"/>
      <c r="C422" s="231"/>
      <c r="D422" s="231"/>
      <c r="E422" s="231"/>
      <c r="F422" s="231"/>
      <c r="G422" s="231"/>
      <c r="H422" s="231"/>
      <c r="I422" s="231"/>
      <c r="J422" s="231"/>
      <c r="K422" s="231"/>
      <c r="L422" s="231"/>
      <c r="M422" s="231"/>
      <c r="N422" s="231"/>
      <c r="O422" s="231"/>
      <c r="P422" s="231"/>
      <c r="Q422" s="231"/>
      <c r="R422" s="231"/>
      <c r="S422" s="231"/>
      <c r="T422" s="231"/>
      <c r="U422" s="231"/>
      <c r="V422" s="231"/>
      <c r="W422" s="231"/>
      <c r="X422" s="231"/>
      <c r="Y422" s="231"/>
      <c r="Z422" s="231"/>
    </row>
    <row r="423">
      <c r="A423" s="231"/>
      <c r="B423" s="231"/>
      <c r="C423" s="231"/>
      <c r="D423" s="231"/>
      <c r="E423" s="231"/>
      <c r="F423" s="231"/>
      <c r="G423" s="231"/>
      <c r="H423" s="231"/>
      <c r="I423" s="231"/>
      <c r="J423" s="231"/>
      <c r="K423" s="231"/>
      <c r="L423" s="231"/>
      <c r="M423" s="231"/>
      <c r="N423" s="231"/>
      <c r="O423" s="231"/>
      <c r="P423" s="231"/>
      <c r="Q423" s="231"/>
      <c r="R423" s="231"/>
      <c r="S423" s="231"/>
      <c r="T423" s="231"/>
      <c r="U423" s="231"/>
      <c r="V423" s="231"/>
      <c r="W423" s="231"/>
      <c r="X423" s="231"/>
      <c r="Y423" s="231"/>
      <c r="Z423" s="231"/>
    </row>
    <row r="424">
      <c r="A424" s="231"/>
      <c r="B424" s="231"/>
      <c r="C424" s="231"/>
      <c r="D424" s="231"/>
      <c r="E424" s="231"/>
      <c r="F424" s="231"/>
      <c r="G424" s="231"/>
      <c r="H424" s="231"/>
      <c r="I424" s="231"/>
      <c r="J424" s="231"/>
      <c r="K424" s="231"/>
      <c r="L424" s="231"/>
      <c r="M424" s="231"/>
      <c r="N424" s="231"/>
      <c r="O424" s="231"/>
      <c r="P424" s="231"/>
      <c r="Q424" s="231"/>
      <c r="R424" s="231"/>
      <c r="S424" s="231"/>
      <c r="T424" s="231"/>
      <c r="U424" s="231"/>
      <c r="V424" s="231"/>
      <c r="W424" s="231"/>
      <c r="X424" s="231"/>
      <c r="Y424" s="231"/>
      <c r="Z424" s="231"/>
    </row>
    <row r="425">
      <c r="A425" s="231"/>
      <c r="B425" s="231"/>
      <c r="C425" s="231"/>
      <c r="D425" s="231"/>
      <c r="E425" s="231"/>
      <c r="F425" s="231"/>
      <c r="G425" s="231"/>
      <c r="H425" s="231"/>
      <c r="I425" s="231"/>
      <c r="J425" s="231"/>
      <c r="K425" s="231"/>
      <c r="L425" s="231"/>
      <c r="M425" s="231"/>
      <c r="N425" s="231"/>
      <c r="O425" s="231"/>
      <c r="P425" s="231"/>
      <c r="Q425" s="231"/>
      <c r="R425" s="231"/>
      <c r="S425" s="231"/>
      <c r="T425" s="231"/>
      <c r="U425" s="231"/>
      <c r="V425" s="231"/>
      <c r="W425" s="231"/>
      <c r="X425" s="231"/>
      <c r="Y425" s="231"/>
      <c r="Z425" s="231"/>
    </row>
    <row r="426">
      <c r="A426" s="231"/>
      <c r="B426" s="231"/>
      <c r="C426" s="231"/>
      <c r="D426" s="231"/>
      <c r="E426" s="231"/>
      <c r="F426" s="231"/>
      <c r="G426" s="231"/>
      <c r="H426" s="231"/>
      <c r="I426" s="231"/>
      <c r="J426" s="231"/>
      <c r="K426" s="231"/>
      <c r="L426" s="231"/>
      <c r="M426" s="231"/>
      <c r="N426" s="231"/>
      <c r="O426" s="231"/>
      <c r="P426" s="231"/>
      <c r="Q426" s="231"/>
      <c r="R426" s="231"/>
      <c r="S426" s="231"/>
      <c r="T426" s="231"/>
      <c r="U426" s="231"/>
      <c r="V426" s="231"/>
      <c r="W426" s="231"/>
      <c r="X426" s="231"/>
      <c r="Y426" s="231"/>
      <c r="Z426" s="231"/>
    </row>
    <row r="427">
      <c r="A427" s="231"/>
      <c r="B427" s="231"/>
      <c r="C427" s="231"/>
      <c r="D427" s="231"/>
      <c r="E427" s="231"/>
      <c r="F427" s="231"/>
      <c r="G427" s="231"/>
      <c r="H427" s="231"/>
      <c r="I427" s="231"/>
      <c r="J427" s="231"/>
      <c r="K427" s="231"/>
      <c r="L427" s="231"/>
      <c r="M427" s="231"/>
      <c r="N427" s="231"/>
      <c r="O427" s="231"/>
      <c r="P427" s="231"/>
      <c r="Q427" s="231"/>
      <c r="R427" s="231"/>
      <c r="S427" s="231"/>
      <c r="T427" s="231"/>
      <c r="U427" s="231"/>
      <c r="V427" s="231"/>
      <c r="W427" s="231"/>
      <c r="X427" s="231"/>
      <c r="Y427" s="231"/>
      <c r="Z427" s="231"/>
    </row>
    <row r="428">
      <c r="A428" s="231"/>
      <c r="B428" s="231"/>
      <c r="C428" s="231"/>
      <c r="D428" s="231"/>
      <c r="E428" s="231"/>
      <c r="F428" s="231"/>
      <c r="G428" s="231"/>
      <c r="H428" s="231"/>
      <c r="I428" s="231"/>
      <c r="J428" s="231"/>
      <c r="K428" s="231"/>
      <c r="L428" s="231"/>
      <c r="M428" s="231"/>
      <c r="N428" s="231"/>
      <c r="O428" s="231"/>
      <c r="P428" s="231"/>
      <c r="Q428" s="231"/>
      <c r="R428" s="231"/>
      <c r="S428" s="231"/>
      <c r="T428" s="231"/>
      <c r="U428" s="231"/>
      <c r="V428" s="231"/>
      <c r="W428" s="231"/>
      <c r="X428" s="231"/>
      <c r="Y428" s="231"/>
      <c r="Z428" s="231"/>
    </row>
    <row r="429">
      <c r="A429" s="231"/>
      <c r="B429" s="231"/>
      <c r="C429" s="231"/>
      <c r="D429" s="231"/>
      <c r="E429" s="231"/>
      <c r="F429" s="231"/>
      <c r="G429" s="231"/>
      <c r="H429" s="231"/>
      <c r="I429" s="231"/>
      <c r="J429" s="231"/>
      <c r="K429" s="231"/>
      <c r="L429" s="231"/>
      <c r="M429" s="231"/>
      <c r="N429" s="231"/>
      <c r="O429" s="231"/>
      <c r="P429" s="231"/>
      <c r="Q429" s="231"/>
      <c r="R429" s="231"/>
      <c r="S429" s="231"/>
      <c r="T429" s="231"/>
      <c r="U429" s="231"/>
      <c r="V429" s="231"/>
      <c r="W429" s="231"/>
      <c r="X429" s="231"/>
      <c r="Y429" s="231"/>
      <c r="Z429" s="231"/>
    </row>
    <row r="430">
      <c r="A430" s="231"/>
      <c r="B430" s="231"/>
      <c r="C430" s="231"/>
      <c r="D430" s="231"/>
      <c r="E430" s="231"/>
      <c r="F430" s="231"/>
      <c r="G430" s="231"/>
      <c r="H430" s="231"/>
      <c r="I430" s="231"/>
      <c r="J430" s="231"/>
      <c r="K430" s="231"/>
      <c r="L430" s="231"/>
      <c r="M430" s="231"/>
      <c r="N430" s="231"/>
      <c r="O430" s="231"/>
      <c r="P430" s="231"/>
      <c r="Q430" s="231"/>
      <c r="R430" s="231"/>
      <c r="S430" s="231"/>
      <c r="T430" s="231"/>
      <c r="U430" s="231"/>
      <c r="V430" s="231"/>
      <c r="W430" s="231"/>
      <c r="X430" s="231"/>
      <c r="Y430" s="231"/>
      <c r="Z430" s="231"/>
    </row>
    <row r="431">
      <c r="A431" s="231"/>
      <c r="B431" s="231"/>
      <c r="C431" s="231"/>
      <c r="D431" s="231"/>
      <c r="E431" s="231"/>
      <c r="F431" s="231"/>
      <c r="G431" s="231"/>
      <c r="H431" s="231"/>
      <c r="I431" s="231"/>
      <c r="J431" s="231"/>
      <c r="K431" s="231"/>
      <c r="L431" s="231"/>
      <c r="M431" s="231"/>
      <c r="N431" s="231"/>
      <c r="O431" s="231"/>
      <c r="P431" s="231"/>
      <c r="Q431" s="231"/>
      <c r="R431" s="231"/>
      <c r="S431" s="231"/>
      <c r="T431" s="231"/>
      <c r="U431" s="231"/>
      <c r="V431" s="231"/>
      <c r="W431" s="231"/>
      <c r="X431" s="231"/>
      <c r="Y431" s="231"/>
      <c r="Z431" s="231"/>
    </row>
    <row r="432">
      <c r="A432" s="231"/>
      <c r="B432" s="231"/>
      <c r="C432" s="231"/>
      <c r="D432" s="231"/>
      <c r="E432" s="231"/>
      <c r="F432" s="231"/>
      <c r="G432" s="231"/>
      <c r="H432" s="231"/>
      <c r="I432" s="231"/>
      <c r="J432" s="231"/>
      <c r="K432" s="231"/>
      <c r="L432" s="231"/>
      <c r="M432" s="231"/>
      <c r="N432" s="231"/>
      <c r="O432" s="231"/>
      <c r="P432" s="231"/>
      <c r="Q432" s="231"/>
      <c r="R432" s="231"/>
      <c r="S432" s="231"/>
      <c r="T432" s="231"/>
      <c r="U432" s="231"/>
      <c r="V432" s="231"/>
      <c r="W432" s="231"/>
      <c r="X432" s="231"/>
      <c r="Y432" s="231"/>
      <c r="Z432" s="231"/>
    </row>
    <row r="433">
      <c r="A433" s="231"/>
      <c r="B433" s="231"/>
      <c r="C433" s="231"/>
      <c r="D433" s="231"/>
      <c r="E433" s="231"/>
      <c r="F433" s="231"/>
      <c r="G433" s="231"/>
      <c r="H433" s="231"/>
      <c r="I433" s="231"/>
      <c r="J433" s="231"/>
      <c r="K433" s="231"/>
      <c r="L433" s="231"/>
      <c r="M433" s="231"/>
      <c r="N433" s="231"/>
      <c r="O433" s="231"/>
      <c r="P433" s="231"/>
      <c r="Q433" s="231"/>
      <c r="R433" s="231"/>
      <c r="S433" s="231"/>
      <c r="T433" s="231"/>
      <c r="U433" s="231"/>
      <c r="V433" s="231"/>
      <c r="W433" s="231"/>
      <c r="X433" s="231"/>
      <c r="Y433" s="231"/>
      <c r="Z433" s="231"/>
    </row>
    <row r="434">
      <c r="A434" s="231"/>
      <c r="B434" s="231"/>
      <c r="C434" s="231"/>
      <c r="D434" s="231"/>
      <c r="E434" s="231"/>
      <c r="F434" s="231"/>
      <c r="G434" s="231"/>
      <c r="H434" s="231"/>
      <c r="I434" s="231"/>
      <c r="J434" s="231"/>
      <c r="K434" s="231"/>
      <c r="L434" s="231"/>
      <c r="M434" s="231"/>
      <c r="N434" s="231"/>
      <c r="O434" s="231"/>
      <c r="P434" s="231"/>
      <c r="Q434" s="231"/>
      <c r="R434" s="231"/>
      <c r="S434" s="231"/>
      <c r="T434" s="231"/>
      <c r="U434" s="231"/>
      <c r="V434" s="231"/>
      <c r="W434" s="231"/>
      <c r="X434" s="231"/>
      <c r="Y434" s="231"/>
      <c r="Z434" s="231"/>
    </row>
    <row r="435">
      <c r="A435" s="231"/>
      <c r="B435" s="231"/>
      <c r="C435" s="231"/>
      <c r="D435" s="231"/>
      <c r="E435" s="231"/>
      <c r="F435" s="231"/>
      <c r="G435" s="231"/>
      <c r="H435" s="231"/>
      <c r="I435" s="231"/>
      <c r="J435" s="231"/>
      <c r="K435" s="231"/>
      <c r="L435" s="231"/>
      <c r="M435" s="231"/>
      <c r="N435" s="231"/>
      <c r="O435" s="231"/>
      <c r="P435" s="231"/>
      <c r="Q435" s="231"/>
      <c r="R435" s="231"/>
      <c r="S435" s="231"/>
      <c r="T435" s="231"/>
      <c r="U435" s="231"/>
      <c r="V435" s="231"/>
      <c r="W435" s="231"/>
      <c r="X435" s="231"/>
      <c r="Y435" s="231"/>
      <c r="Z435" s="231"/>
    </row>
    <row r="436">
      <c r="A436" s="231"/>
      <c r="B436" s="231"/>
      <c r="C436" s="231"/>
      <c r="D436" s="231"/>
      <c r="E436" s="231"/>
      <c r="F436" s="231"/>
      <c r="G436" s="231"/>
      <c r="H436" s="231"/>
      <c r="I436" s="231"/>
      <c r="J436" s="231"/>
      <c r="K436" s="231"/>
      <c r="L436" s="231"/>
      <c r="M436" s="231"/>
      <c r="N436" s="231"/>
      <c r="O436" s="231"/>
      <c r="P436" s="231"/>
      <c r="Q436" s="231"/>
      <c r="R436" s="231"/>
      <c r="S436" s="231"/>
      <c r="T436" s="231"/>
      <c r="U436" s="231"/>
      <c r="V436" s="231"/>
      <c r="W436" s="231"/>
      <c r="X436" s="231"/>
      <c r="Y436" s="231"/>
      <c r="Z436" s="231"/>
    </row>
    <row r="437">
      <c r="A437" s="231"/>
      <c r="B437" s="231"/>
      <c r="C437" s="231"/>
      <c r="D437" s="231"/>
      <c r="E437" s="231"/>
      <c r="F437" s="231"/>
      <c r="G437" s="231"/>
      <c r="H437" s="231"/>
      <c r="I437" s="231"/>
      <c r="J437" s="231"/>
      <c r="K437" s="231"/>
      <c r="L437" s="231"/>
      <c r="M437" s="231"/>
      <c r="N437" s="231"/>
      <c r="O437" s="231"/>
      <c r="P437" s="231"/>
      <c r="Q437" s="231"/>
      <c r="R437" s="231"/>
      <c r="S437" s="231"/>
      <c r="T437" s="231"/>
      <c r="U437" s="231"/>
      <c r="V437" s="231"/>
      <c r="W437" s="231"/>
      <c r="X437" s="231"/>
      <c r="Y437" s="231"/>
      <c r="Z437" s="231"/>
    </row>
    <row r="438">
      <c r="A438" s="231"/>
      <c r="B438" s="231"/>
      <c r="C438" s="231"/>
      <c r="D438" s="231"/>
      <c r="E438" s="231"/>
      <c r="F438" s="231"/>
      <c r="G438" s="231"/>
      <c r="H438" s="231"/>
      <c r="I438" s="231"/>
      <c r="J438" s="231"/>
      <c r="K438" s="231"/>
      <c r="L438" s="231"/>
      <c r="M438" s="231"/>
      <c r="N438" s="231"/>
      <c r="O438" s="231"/>
      <c r="P438" s="231"/>
      <c r="Q438" s="231"/>
      <c r="R438" s="231"/>
      <c r="S438" s="231"/>
      <c r="T438" s="231"/>
      <c r="U438" s="231"/>
      <c r="V438" s="231"/>
      <c r="W438" s="231"/>
      <c r="X438" s="231"/>
      <c r="Y438" s="231"/>
      <c r="Z438" s="231"/>
    </row>
    <row r="439">
      <c r="A439" s="231"/>
      <c r="B439" s="231"/>
      <c r="C439" s="231"/>
      <c r="D439" s="231"/>
      <c r="E439" s="231"/>
      <c r="F439" s="231"/>
      <c r="G439" s="231"/>
      <c r="H439" s="231"/>
      <c r="I439" s="231"/>
      <c r="J439" s="231"/>
      <c r="K439" s="231"/>
      <c r="L439" s="231"/>
      <c r="M439" s="231"/>
      <c r="N439" s="231"/>
      <c r="O439" s="231"/>
      <c r="P439" s="231"/>
      <c r="Q439" s="231"/>
      <c r="R439" s="231"/>
      <c r="S439" s="231"/>
      <c r="T439" s="231"/>
      <c r="U439" s="231"/>
      <c r="V439" s="231"/>
      <c r="W439" s="231"/>
      <c r="X439" s="231"/>
      <c r="Y439" s="231"/>
      <c r="Z439" s="231"/>
    </row>
    <row r="440">
      <c r="A440" s="231"/>
      <c r="B440" s="231"/>
      <c r="C440" s="231"/>
      <c r="D440" s="231"/>
      <c r="E440" s="231"/>
      <c r="F440" s="231"/>
      <c r="G440" s="231"/>
      <c r="H440" s="231"/>
      <c r="I440" s="231"/>
      <c r="J440" s="231"/>
      <c r="K440" s="231"/>
      <c r="L440" s="231"/>
      <c r="M440" s="231"/>
      <c r="N440" s="231"/>
      <c r="O440" s="231"/>
      <c r="P440" s="231"/>
      <c r="Q440" s="231"/>
      <c r="R440" s="231"/>
      <c r="S440" s="231"/>
      <c r="T440" s="231"/>
      <c r="U440" s="231"/>
      <c r="V440" s="231"/>
      <c r="W440" s="231"/>
      <c r="X440" s="231"/>
      <c r="Y440" s="231"/>
      <c r="Z440" s="231"/>
    </row>
    <row r="441">
      <c r="A441" s="231"/>
      <c r="B441" s="231"/>
      <c r="C441" s="231"/>
      <c r="D441" s="231"/>
      <c r="E441" s="231"/>
      <c r="F441" s="231"/>
      <c r="G441" s="231"/>
      <c r="H441" s="231"/>
      <c r="I441" s="231"/>
      <c r="J441" s="231"/>
      <c r="K441" s="231"/>
      <c r="L441" s="231"/>
      <c r="M441" s="231"/>
      <c r="N441" s="231"/>
      <c r="O441" s="231"/>
      <c r="P441" s="231"/>
      <c r="Q441" s="231"/>
      <c r="R441" s="231"/>
      <c r="S441" s="231"/>
      <c r="T441" s="231"/>
      <c r="U441" s="231"/>
      <c r="V441" s="231"/>
      <c r="W441" s="231"/>
      <c r="X441" s="231"/>
      <c r="Y441" s="231"/>
      <c r="Z441" s="231"/>
    </row>
    <row r="442">
      <c r="A442" s="231"/>
      <c r="B442" s="231"/>
      <c r="C442" s="231"/>
      <c r="D442" s="231"/>
      <c r="E442" s="231"/>
      <c r="F442" s="231"/>
      <c r="G442" s="231"/>
      <c r="H442" s="231"/>
      <c r="I442" s="231"/>
      <c r="J442" s="231"/>
      <c r="K442" s="231"/>
      <c r="L442" s="231"/>
      <c r="M442" s="231"/>
      <c r="N442" s="231"/>
      <c r="O442" s="231"/>
      <c r="P442" s="231"/>
      <c r="Q442" s="231"/>
      <c r="R442" s="231"/>
      <c r="S442" s="231"/>
      <c r="T442" s="231"/>
      <c r="U442" s="231"/>
      <c r="V442" s="231"/>
      <c r="W442" s="231"/>
      <c r="X442" s="231"/>
      <c r="Y442" s="231"/>
      <c r="Z442" s="231"/>
    </row>
    <row r="443">
      <c r="A443" s="231"/>
      <c r="B443" s="231"/>
      <c r="C443" s="231"/>
      <c r="D443" s="231"/>
      <c r="E443" s="231"/>
      <c r="F443" s="231"/>
      <c r="G443" s="231"/>
      <c r="H443" s="231"/>
      <c r="I443" s="231"/>
      <c r="J443" s="231"/>
      <c r="K443" s="231"/>
      <c r="L443" s="231"/>
      <c r="M443" s="231"/>
      <c r="N443" s="231"/>
      <c r="O443" s="231"/>
      <c r="P443" s="231"/>
      <c r="Q443" s="231"/>
      <c r="R443" s="231"/>
      <c r="S443" s="231"/>
      <c r="T443" s="231"/>
      <c r="U443" s="231"/>
      <c r="V443" s="231"/>
      <c r="W443" s="231"/>
      <c r="X443" s="231"/>
      <c r="Y443" s="231"/>
      <c r="Z443" s="231"/>
    </row>
    <row r="444">
      <c r="A444" s="231"/>
      <c r="B444" s="231"/>
      <c r="C444" s="231"/>
      <c r="D444" s="231"/>
      <c r="E444" s="231"/>
      <c r="F444" s="231"/>
      <c r="G444" s="231"/>
      <c r="H444" s="231"/>
      <c r="I444" s="231"/>
      <c r="J444" s="231"/>
      <c r="K444" s="231"/>
      <c r="L444" s="231"/>
      <c r="M444" s="231"/>
      <c r="N444" s="231"/>
      <c r="O444" s="231"/>
      <c r="P444" s="231"/>
      <c r="Q444" s="231"/>
      <c r="R444" s="231"/>
      <c r="S444" s="231"/>
      <c r="T444" s="231"/>
      <c r="U444" s="231"/>
      <c r="V444" s="231"/>
      <c r="W444" s="231"/>
      <c r="X444" s="231"/>
      <c r="Y444" s="231"/>
      <c r="Z444" s="231"/>
    </row>
    <row r="445">
      <c r="A445" s="231"/>
      <c r="B445" s="231"/>
      <c r="C445" s="231"/>
      <c r="D445" s="231"/>
      <c r="E445" s="231"/>
      <c r="F445" s="231"/>
      <c r="G445" s="231"/>
      <c r="H445" s="231"/>
      <c r="I445" s="231"/>
      <c r="J445" s="231"/>
      <c r="K445" s="231"/>
      <c r="L445" s="231"/>
      <c r="M445" s="231"/>
      <c r="N445" s="231"/>
      <c r="O445" s="231"/>
      <c r="P445" s="231"/>
      <c r="Q445" s="231"/>
      <c r="R445" s="231"/>
      <c r="S445" s="231"/>
      <c r="T445" s="231"/>
      <c r="U445" s="231"/>
      <c r="V445" s="231"/>
      <c r="W445" s="231"/>
      <c r="X445" s="231"/>
      <c r="Y445" s="231"/>
      <c r="Z445" s="231"/>
    </row>
    <row r="446">
      <c r="A446" s="231"/>
      <c r="B446" s="231"/>
      <c r="C446" s="231"/>
      <c r="D446" s="231"/>
      <c r="E446" s="231"/>
      <c r="F446" s="231"/>
      <c r="G446" s="231"/>
      <c r="H446" s="231"/>
      <c r="I446" s="231"/>
      <c r="J446" s="231"/>
      <c r="K446" s="231"/>
      <c r="L446" s="231"/>
      <c r="M446" s="231"/>
      <c r="N446" s="231"/>
      <c r="O446" s="231"/>
      <c r="P446" s="231"/>
      <c r="Q446" s="231"/>
      <c r="R446" s="231"/>
      <c r="S446" s="231"/>
      <c r="T446" s="231"/>
      <c r="U446" s="231"/>
      <c r="V446" s="231"/>
      <c r="W446" s="231"/>
      <c r="X446" s="231"/>
      <c r="Y446" s="231"/>
      <c r="Z446" s="231"/>
    </row>
    <row r="447">
      <c r="A447" s="231"/>
      <c r="B447" s="231"/>
      <c r="C447" s="231"/>
      <c r="D447" s="231"/>
      <c r="E447" s="231"/>
      <c r="F447" s="231"/>
      <c r="G447" s="231"/>
      <c r="H447" s="231"/>
      <c r="I447" s="231"/>
      <c r="J447" s="231"/>
      <c r="K447" s="231"/>
      <c r="L447" s="231"/>
      <c r="M447" s="231"/>
      <c r="N447" s="231"/>
      <c r="O447" s="231"/>
      <c r="P447" s="231"/>
      <c r="Q447" s="231"/>
      <c r="R447" s="231"/>
      <c r="S447" s="231"/>
      <c r="T447" s="231"/>
      <c r="U447" s="231"/>
      <c r="V447" s="231"/>
      <c r="W447" s="231"/>
      <c r="X447" s="231"/>
      <c r="Y447" s="231"/>
      <c r="Z447" s="231"/>
    </row>
    <row r="448">
      <c r="A448" s="231"/>
      <c r="B448" s="231"/>
      <c r="C448" s="231"/>
      <c r="D448" s="231"/>
      <c r="E448" s="231"/>
      <c r="F448" s="231"/>
      <c r="G448" s="231"/>
      <c r="H448" s="231"/>
      <c r="I448" s="231"/>
      <c r="J448" s="231"/>
      <c r="K448" s="231"/>
      <c r="L448" s="231"/>
      <c r="M448" s="231"/>
      <c r="N448" s="231"/>
      <c r="O448" s="231"/>
      <c r="P448" s="231"/>
      <c r="Q448" s="231"/>
      <c r="R448" s="231"/>
      <c r="S448" s="231"/>
      <c r="T448" s="231"/>
      <c r="U448" s="231"/>
      <c r="V448" s="231"/>
      <c r="W448" s="231"/>
      <c r="X448" s="231"/>
      <c r="Y448" s="231"/>
      <c r="Z448" s="231"/>
    </row>
    <row r="449">
      <c r="A449" s="231"/>
      <c r="B449" s="231"/>
      <c r="C449" s="231"/>
      <c r="D449" s="231"/>
      <c r="E449" s="231"/>
      <c r="F449" s="231"/>
      <c r="G449" s="231"/>
      <c r="H449" s="231"/>
      <c r="I449" s="231"/>
      <c r="J449" s="231"/>
      <c r="K449" s="231"/>
      <c r="L449" s="231"/>
      <c r="M449" s="231"/>
      <c r="N449" s="231"/>
      <c r="O449" s="231"/>
      <c r="P449" s="231"/>
      <c r="Q449" s="231"/>
      <c r="R449" s="231"/>
      <c r="S449" s="231"/>
      <c r="T449" s="231"/>
      <c r="U449" s="231"/>
      <c r="V449" s="231"/>
      <c r="W449" s="231"/>
      <c r="X449" s="231"/>
      <c r="Y449" s="231"/>
      <c r="Z449" s="231"/>
    </row>
    <row r="450">
      <c r="A450" s="231"/>
      <c r="B450" s="231"/>
      <c r="C450" s="231"/>
      <c r="D450" s="231"/>
      <c r="E450" s="231"/>
      <c r="F450" s="231"/>
      <c r="G450" s="231"/>
      <c r="H450" s="231"/>
      <c r="I450" s="231"/>
      <c r="J450" s="231"/>
      <c r="K450" s="231"/>
      <c r="L450" s="231"/>
      <c r="M450" s="231"/>
      <c r="N450" s="231"/>
      <c r="O450" s="231"/>
      <c r="P450" s="231"/>
      <c r="Q450" s="231"/>
      <c r="R450" s="231"/>
      <c r="S450" s="231"/>
      <c r="T450" s="231"/>
      <c r="U450" s="231"/>
      <c r="V450" s="231"/>
      <c r="W450" s="231"/>
      <c r="X450" s="231"/>
      <c r="Y450" s="231"/>
      <c r="Z450" s="231"/>
    </row>
    <row r="451">
      <c r="A451" s="231"/>
      <c r="B451" s="231"/>
      <c r="C451" s="231"/>
      <c r="D451" s="231"/>
      <c r="E451" s="231"/>
      <c r="F451" s="231"/>
      <c r="G451" s="231"/>
      <c r="H451" s="231"/>
      <c r="I451" s="231"/>
      <c r="J451" s="231"/>
      <c r="K451" s="231"/>
      <c r="L451" s="231"/>
      <c r="M451" s="231"/>
      <c r="N451" s="231"/>
      <c r="O451" s="231"/>
      <c r="P451" s="231"/>
      <c r="Q451" s="231"/>
      <c r="R451" s="231"/>
      <c r="S451" s="231"/>
      <c r="T451" s="231"/>
      <c r="U451" s="231"/>
      <c r="V451" s="231"/>
      <c r="W451" s="231"/>
      <c r="X451" s="231"/>
      <c r="Y451" s="231"/>
      <c r="Z451" s="231"/>
    </row>
    <row r="452">
      <c r="A452" s="231"/>
      <c r="B452" s="231"/>
      <c r="C452" s="231"/>
      <c r="D452" s="231"/>
      <c r="E452" s="231"/>
      <c r="F452" s="231"/>
      <c r="G452" s="231"/>
      <c r="H452" s="231"/>
      <c r="I452" s="231"/>
      <c r="J452" s="231"/>
      <c r="K452" s="231"/>
      <c r="L452" s="231"/>
      <c r="M452" s="231"/>
      <c r="N452" s="231"/>
      <c r="O452" s="231"/>
      <c r="P452" s="231"/>
      <c r="Q452" s="231"/>
      <c r="R452" s="231"/>
      <c r="S452" s="231"/>
      <c r="T452" s="231"/>
      <c r="U452" s="231"/>
      <c r="V452" s="231"/>
      <c r="W452" s="231"/>
      <c r="X452" s="231"/>
      <c r="Y452" s="231"/>
      <c r="Z452" s="231"/>
    </row>
    <row r="453">
      <c r="A453" s="231"/>
      <c r="B453" s="231"/>
      <c r="C453" s="231"/>
      <c r="D453" s="231"/>
      <c r="E453" s="231"/>
      <c r="F453" s="231"/>
      <c r="G453" s="231"/>
      <c r="H453" s="231"/>
      <c r="I453" s="231"/>
      <c r="J453" s="231"/>
      <c r="K453" s="231"/>
      <c r="L453" s="231"/>
      <c r="M453" s="231"/>
      <c r="N453" s="231"/>
      <c r="O453" s="231"/>
      <c r="P453" s="231"/>
      <c r="Q453" s="231"/>
      <c r="R453" s="231"/>
      <c r="S453" s="231"/>
      <c r="T453" s="231"/>
      <c r="U453" s="231"/>
      <c r="V453" s="231"/>
      <c r="W453" s="231"/>
      <c r="X453" s="231"/>
      <c r="Y453" s="231"/>
      <c r="Z453" s="231"/>
    </row>
    <row r="454">
      <c r="A454" s="231"/>
      <c r="B454" s="231"/>
      <c r="C454" s="231"/>
      <c r="D454" s="231"/>
      <c r="E454" s="231"/>
      <c r="F454" s="231"/>
      <c r="G454" s="231"/>
      <c r="H454" s="231"/>
      <c r="I454" s="231"/>
      <c r="J454" s="231"/>
      <c r="K454" s="231"/>
      <c r="L454" s="231"/>
      <c r="M454" s="231"/>
      <c r="N454" s="231"/>
      <c r="O454" s="231"/>
      <c r="P454" s="231"/>
      <c r="Q454" s="231"/>
      <c r="R454" s="231"/>
      <c r="S454" s="231"/>
      <c r="T454" s="231"/>
      <c r="U454" s="231"/>
      <c r="V454" s="231"/>
      <c r="W454" s="231"/>
      <c r="X454" s="231"/>
      <c r="Y454" s="231"/>
      <c r="Z454" s="231"/>
    </row>
    <row r="455">
      <c r="A455" s="231"/>
      <c r="B455" s="231"/>
      <c r="C455" s="231"/>
      <c r="D455" s="231"/>
      <c r="E455" s="231"/>
      <c r="F455" s="231"/>
      <c r="G455" s="231"/>
      <c r="H455" s="231"/>
      <c r="I455" s="231"/>
      <c r="J455" s="231"/>
      <c r="K455" s="231"/>
      <c r="L455" s="231"/>
      <c r="M455" s="231"/>
      <c r="N455" s="231"/>
      <c r="O455" s="231"/>
      <c r="P455" s="231"/>
      <c r="Q455" s="231"/>
      <c r="R455" s="231"/>
      <c r="S455" s="231"/>
      <c r="T455" s="231"/>
      <c r="U455" s="231"/>
      <c r="V455" s="231"/>
      <c r="W455" s="231"/>
      <c r="X455" s="231"/>
      <c r="Y455" s="231"/>
      <c r="Z455" s="231"/>
    </row>
    <row r="456">
      <c r="A456" s="231"/>
      <c r="B456" s="231"/>
      <c r="C456" s="231"/>
      <c r="D456" s="231"/>
      <c r="E456" s="231"/>
      <c r="F456" s="231"/>
      <c r="G456" s="231"/>
      <c r="H456" s="231"/>
      <c r="I456" s="231"/>
      <c r="J456" s="231"/>
      <c r="K456" s="231"/>
      <c r="L456" s="231"/>
      <c r="M456" s="231"/>
      <c r="N456" s="231"/>
      <c r="O456" s="231"/>
      <c r="P456" s="231"/>
      <c r="Q456" s="231"/>
      <c r="R456" s="231"/>
      <c r="S456" s="231"/>
      <c r="T456" s="231"/>
      <c r="U456" s="231"/>
      <c r="V456" s="231"/>
      <c r="W456" s="231"/>
      <c r="X456" s="231"/>
      <c r="Y456" s="231"/>
      <c r="Z456" s="231"/>
    </row>
    <row r="457">
      <c r="A457" s="231"/>
      <c r="B457" s="231"/>
      <c r="C457" s="231"/>
      <c r="D457" s="231"/>
      <c r="E457" s="231"/>
      <c r="F457" s="231"/>
      <c r="G457" s="231"/>
      <c r="H457" s="231"/>
      <c r="I457" s="231"/>
      <c r="J457" s="231"/>
      <c r="K457" s="231"/>
      <c r="L457" s="231"/>
      <c r="M457" s="231"/>
      <c r="N457" s="231"/>
      <c r="O457" s="231"/>
      <c r="P457" s="231"/>
      <c r="Q457" s="231"/>
      <c r="R457" s="231"/>
      <c r="S457" s="231"/>
      <c r="T457" s="231"/>
      <c r="U457" s="231"/>
      <c r="V457" s="231"/>
      <c r="W457" s="231"/>
      <c r="X457" s="231"/>
      <c r="Y457" s="231"/>
      <c r="Z457" s="231"/>
    </row>
    <row r="458">
      <c r="A458" s="231"/>
      <c r="B458" s="231"/>
      <c r="C458" s="231"/>
      <c r="D458" s="231"/>
      <c r="E458" s="231"/>
      <c r="F458" s="231"/>
      <c r="G458" s="231"/>
      <c r="H458" s="231"/>
      <c r="I458" s="231"/>
      <c r="J458" s="231"/>
      <c r="K458" s="231"/>
      <c r="L458" s="231"/>
      <c r="M458" s="231"/>
      <c r="N458" s="231"/>
      <c r="O458" s="231"/>
      <c r="P458" s="231"/>
      <c r="Q458" s="231"/>
      <c r="R458" s="231"/>
      <c r="S458" s="231"/>
      <c r="T458" s="231"/>
      <c r="U458" s="231"/>
      <c r="V458" s="231"/>
      <c r="W458" s="231"/>
      <c r="X458" s="231"/>
      <c r="Y458" s="231"/>
      <c r="Z458" s="231"/>
    </row>
    <row r="459">
      <c r="A459" s="231"/>
      <c r="B459" s="231"/>
      <c r="C459" s="231"/>
      <c r="D459" s="231"/>
      <c r="E459" s="231"/>
      <c r="F459" s="231"/>
      <c r="G459" s="231"/>
      <c r="H459" s="231"/>
      <c r="I459" s="231"/>
      <c r="J459" s="231"/>
      <c r="K459" s="231"/>
      <c r="L459" s="231"/>
      <c r="M459" s="231"/>
      <c r="N459" s="231"/>
      <c r="O459" s="231"/>
      <c r="P459" s="231"/>
      <c r="Q459" s="231"/>
      <c r="R459" s="231"/>
      <c r="S459" s="231"/>
      <c r="T459" s="231"/>
      <c r="U459" s="231"/>
      <c r="V459" s="231"/>
      <c r="W459" s="231"/>
      <c r="X459" s="231"/>
      <c r="Y459" s="231"/>
      <c r="Z459" s="231"/>
    </row>
    <row r="460">
      <c r="A460" s="231"/>
      <c r="B460" s="231"/>
      <c r="C460" s="231"/>
      <c r="D460" s="231"/>
      <c r="E460" s="231"/>
      <c r="F460" s="231"/>
      <c r="G460" s="231"/>
      <c r="H460" s="231"/>
      <c r="I460" s="231"/>
      <c r="J460" s="231"/>
      <c r="K460" s="231"/>
      <c r="L460" s="231"/>
      <c r="M460" s="231"/>
      <c r="N460" s="231"/>
      <c r="O460" s="231"/>
      <c r="P460" s="231"/>
      <c r="Q460" s="231"/>
      <c r="R460" s="231"/>
      <c r="S460" s="231"/>
      <c r="T460" s="231"/>
      <c r="U460" s="231"/>
      <c r="V460" s="231"/>
      <c r="W460" s="231"/>
      <c r="X460" s="231"/>
      <c r="Y460" s="231"/>
      <c r="Z460" s="231"/>
    </row>
    <row r="461">
      <c r="A461" s="231"/>
      <c r="B461" s="231"/>
      <c r="C461" s="231"/>
      <c r="D461" s="231"/>
      <c r="E461" s="231"/>
      <c r="F461" s="231"/>
      <c r="G461" s="231"/>
      <c r="H461" s="231"/>
      <c r="I461" s="231"/>
      <c r="J461" s="231"/>
      <c r="K461" s="231"/>
      <c r="L461" s="231"/>
      <c r="M461" s="231"/>
      <c r="N461" s="231"/>
      <c r="O461" s="231"/>
      <c r="P461" s="231"/>
      <c r="Q461" s="231"/>
      <c r="R461" s="231"/>
      <c r="S461" s="231"/>
      <c r="T461" s="231"/>
      <c r="U461" s="231"/>
      <c r="V461" s="231"/>
      <c r="W461" s="231"/>
      <c r="X461" s="231"/>
      <c r="Y461" s="231"/>
      <c r="Z461" s="231"/>
    </row>
    <row r="462">
      <c r="A462" s="231"/>
      <c r="B462" s="231"/>
      <c r="C462" s="231"/>
      <c r="D462" s="231"/>
      <c r="E462" s="231"/>
      <c r="F462" s="231"/>
      <c r="G462" s="231"/>
      <c r="H462" s="231"/>
      <c r="I462" s="231"/>
      <c r="J462" s="231"/>
      <c r="K462" s="231"/>
      <c r="L462" s="231"/>
      <c r="M462" s="231"/>
      <c r="N462" s="231"/>
      <c r="O462" s="231"/>
      <c r="P462" s="231"/>
      <c r="Q462" s="231"/>
      <c r="R462" s="231"/>
      <c r="S462" s="231"/>
      <c r="T462" s="231"/>
      <c r="U462" s="231"/>
      <c r="V462" s="231"/>
      <c r="W462" s="231"/>
      <c r="X462" s="231"/>
      <c r="Y462" s="231"/>
      <c r="Z462" s="231"/>
    </row>
    <row r="463">
      <c r="A463" s="231"/>
      <c r="B463" s="231"/>
      <c r="C463" s="231"/>
      <c r="D463" s="231"/>
      <c r="E463" s="231"/>
      <c r="F463" s="231"/>
      <c r="G463" s="231"/>
      <c r="H463" s="231"/>
      <c r="I463" s="231"/>
      <c r="J463" s="231"/>
      <c r="K463" s="231"/>
      <c r="L463" s="231"/>
      <c r="M463" s="231"/>
      <c r="N463" s="231"/>
      <c r="O463" s="231"/>
      <c r="P463" s="231"/>
      <c r="Q463" s="231"/>
      <c r="R463" s="231"/>
      <c r="S463" s="231"/>
      <c r="T463" s="231"/>
      <c r="U463" s="231"/>
      <c r="V463" s="231"/>
      <c r="W463" s="231"/>
      <c r="X463" s="231"/>
      <c r="Y463" s="231"/>
      <c r="Z463" s="231"/>
    </row>
    <row r="464">
      <c r="A464" s="231"/>
      <c r="B464" s="231"/>
      <c r="C464" s="231"/>
      <c r="D464" s="231"/>
      <c r="E464" s="231"/>
      <c r="F464" s="231"/>
      <c r="G464" s="231"/>
      <c r="H464" s="231"/>
      <c r="I464" s="231"/>
      <c r="J464" s="231"/>
      <c r="K464" s="231"/>
      <c r="L464" s="231"/>
      <c r="M464" s="231"/>
      <c r="N464" s="231"/>
      <c r="O464" s="231"/>
      <c r="P464" s="231"/>
      <c r="Q464" s="231"/>
      <c r="R464" s="231"/>
      <c r="S464" s="231"/>
      <c r="T464" s="231"/>
      <c r="U464" s="231"/>
      <c r="V464" s="231"/>
      <c r="W464" s="231"/>
      <c r="X464" s="231"/>
      <c r="Y464" s="231"/>
      <c r="Z464" s="231"/>
    </row>
    <row r="465">
      <c r="A465" s="231"/>
      <c r="B465" s="231"/>
      <c r="C465" s="231"/>
      <c r="D465" s="231"/>
      <c r="E465" s="231"/>
      <c r="F465" s="231"/>
      <c r="G465" s="231"/>
      <c r="H465" s="231"/>
      <c r="I465" s="231"/>
      <c r="J465" s="231"/>
      <c r="K465" s="231"/>
      <c r="L465" s="231"/>
      <c r="M465" s="231"/>
      <c r="N465" s="231"/>
      <c r="O465" s="231"/>
      <c r="P465" s="231"/>
      <c r="Q465" s="231"/>
      <c r="R465" s="231"/>
      <c r="S465" s="231"/>
      <c r="T465" s="231"/>
      <c r="U465" s="231"/>
      <c r="V465" s="231"/>
      <c r="W465" s="231"/>
      <c r="X465" s="231"/>
      <c r="Y465" s="231"/>
      <c r="Z465" s="231"/>
    </row>
    <row r="466">
      <c r="A466" s="231"/>
      <c r="B466" s="231"/>
      <c r="C466" s="231"/>
      <c r="D466" s="231"/>
      <c r="E466" s="231"/>
      <c r="F466" s="231"/>
      <c r="G466" s="231"/>
      <c r="H466" s="231"/>
      <c r="I466" s="231"/>
      <c r="J466" s="231"/>
      <c r="K466" s="231"/>
      <c r="L466" s="231"/>
      <c r="M466" s="231"/>
      <c r="N466" s="231"/>
      <c r="O466" s="231"/>
      <c r="P466" s="231"/>
      <c r="Q466" s="231"/>
      <c r="R466" s="231"/>
      <c r="S466" s="231"/>
      <c r="T466" s="231"/>
      <c r="U466" s="231"/>
      <c r="V466" s="231"/>
      <c r="W466" s="231"/>
      <c r="X466" s="231"/>
      <c r="Y466" s="231"/>
      <c r="Z466" s="231"/>
    </row>
    <row r="467">
      <c r="A467" s="231"/>
      <c r="B467" s="231"/>
      <c r="C467" s="231"/>
      <c r="D467" s="231"/>
      <c r="E467" s="231"/>
      <c r="F467" s="231"/>
      <c r="G467" s="231"/>
      <c r="H467" s="231"/>
      <c r="I467" s="231"/>
      <c r="J467" s="231"/>
      <c r="K467" s="231"/>
      <c r="L467" s="231"/>
      <c r="M467" s="231"/>
      <c r="N467" s="231"/>
      <c r="O467" s="231"/>
      <c r="P467" s="231"/>
      <c r="Q467" s="231"/>
      <c r="R467" s="231"/>
      <c r="S467" s="231"/>
      <c r="T467" s="231"/>
      <c r="U467" s="231"/>
      <c r="V467" s="231"/>
      <c r="W467" s="231"/>
      <c r="X467" s="231"/>
      <c r="Y467" s="231"/>
      <c r="Z467" s="231"/>
    </row>
    <row r="468">
      <c r="A468" s="231"/>
      <c r="B468" s="231"/>
      <c r="C468" s="231"/>
      <c r="D468" s="231"/>
      <c r="E468" s="231"/>
      <c r="F468" s="231"/>
      <c r="G468" s="231"/>
      <c r="H468" s="231"/>
      <c r="I468" s="231"/>
      <c r="J468" s="231"/>
      <c r="K468" s="231"/>
      <c r="L468" s="231"/>
      <c r="M468" s="231"/>
      <c r="N468" s="231"/>
      <c r="O468" s="231"/>
      <c r="P468" s="231"/>
      <c r="Q468" s="231"/>
      <c r="R468" s="231"/>
      <c r="S468" s="231"/>
      <c r="T468" s="231"/>
      <c r="U468" s="231"/>
      <c r="V468" s="231"/>
      <c r="W468" s="231"/>
      <c r="X468" s="231"/>
      <c r="Y468" s="231"/>
      <c r="Z468" s="231"/>
    </row>
    <row r="469">
      <c r="A469" s="231"/>
      <c r="B469" s="231"/>
      <c r="C469" s="231"/>
      <c r="D469" s="231"/>
      <c r="E469" s="231"/>
      <c r="F469" s="231"/>
      <c r="G469" s="231"/>
      <c r="H469" s="231"/>
      <c r="I469" s="231"/>
      <c r="J469" s="231"/>
      <c r="K469" s="231"/>
      <c r="L469" s="231"/>
      <c r="M469" s="231"/>
      <c r="N469" s="231"/>
      <c r="O469" s="231"/>
      <c r="P469" s="231"/>
      <c r="Q469" s="231"/>
      <c r="R469" s="231"/>
      <c r="S469" s="231"/>
      <c r="T469" s="231"/>
      <c r="U469" s="231"/>
      <c r="V469" s="231"/>
      <c r="W469" s="231"/>
      <c r="X469" s="231"/>
      <c r="Y469" s="231"/>
      <c r="Z469" s="231"/>
    </row>
    <row r="470">
      <c r="A470" s="231"/>
      <c r="B470" s="231"/>
      <c r="C470" s="231"/>
      <c r="D470" s="231"/>
      <c r="E470" s="231"/>
      <c r="F470" s="231"/>
      <c r="G470" s="231"/>
      <c r="H470" s="231"/>
      <c r="I470" s="231"/>
      <c r="J470" s="231"/>
      <c r="K470" s="231"/>
      <c r="L470" s="231"/>
      <c r="M470" s="231"/>
      <c r="N470" s="231"/>
      <c r="O470" s="231"/>
      <c r="P470" s="231"/>
      <c r="Q470" s="231"/>
      <c r="R470" s="231"/>
      <c r="S470" s="231"/>
      <c r="T470" s="231"/>
      <c r="U470" s="231"/>
      <c r="V470" s="231"/>
      <c r="W470" s="231"/>
      <c r="X470" s="231"/>
      <c r="Y470" s="231"/>
      <c r="Z470" s="231"/>
    </row>
    <row r="471">
      <c r="A471" s="231"/>
      <c r="B471" s="231"/>
      <c r="C471" s="231"/>
      <c r="D471" s="231"/>
      <c r="E471" s="231"/>
      <c r="F471" s="231"/>
      <c r="G471" s="231"/>
      <c r="H471" s="231"/>
      <c r="I471" s="231"/>
      <c r="J471" s="231"/>
      <c r="K471" s="231"/>
      <c r="L471" s="231"/>
      <c r="M471" s="231"/>
      <c r="N471" s="231"/>
      <c r="O471" s="231"/>
      <c r="P471" s="231"/>
      <c r="Q471" s="231"/>
      <c r="R471" s="231"/>
      <c r="S471" s="231"/>
      <c r="T471" s="231"/>
      <c r="U471" s="231"/>
      <c r="V471" s="231"/>
      <c r="W471" s="231"/>
      <c r="X471" s="231"/>
      <c r="Y471" s="231"/>
      <c r="Z471" s="231"/>
    </row>
    <row r="472">
      <c r="A472" s="231"/>
      <c r="B472" s="231"/>
      <c r="C472" s="231"/>
      <c r="D472" s="231"/>
      <c r="E472" s="231"/>
      <c r="F472" s="231"/>
      <c r="G472" s="231"/>
      <c r="H472" s="231"/>
      <c r="I472" s="231"/>
      <c r="J472" s="231"/>
      <c r="K472" s="231"/>
      <c r="L472" s="231"/>
      <c r="M472" s="231"/>
      <c r="N472" s="231"/>
      <c r="O472" s="231"/>
      <c r="P472" s="231"/>
      <c r="Q472" s="231"/>
      <c r="R472" s="231"/>
      <c r="S472" s="231"/>
      <c r="T472" s="231"/>
      <c r="U472" s="231"/>
      <c r="V472" s="231"/>
      <c r="W472" s="231"/>
      <c r="X472" s="231"/>
      <c r="Y472" s="231"/>
      <c r="Z472" s="231"/>
    </row>
    <row r="473">
      <c r="A473" s="231"/>
      <c r="B473" s="231"/>
      <c r="C473" s="231"/>
      <c r="D473" s="231"/>
      <c r="E473" s="231"/>
      <c r="F473" s="231"/>
      <c r="G473" s="231"/>
      <c r="H473" s="231"/>
      <c r="I473" s="231"/>
      <c r="J473" s="231"/>
      <c r="K473" s="231"/>
      <c r="L473" s="231"/>
      <c r="M473" s="231"/>
      <c r="N473" s="231"/>
      <c r="O473" s="231"/>
      <c r="P473" s="231"/>
      <c r="Q473" s="231"/>
      <c r="R473" s="231"/>
      <c r="S473" s="231"/>
      <c r="T473" s="231"/>
      <c r="U473" s="231"/>
      <c r="V473" s="231"/>
      <c r="W473" s="231"/>
      <c r="X473" s="231"/>
      <c r="Y473" s="231"/>
      <c r="Z473" s="231"/>
    </row>
    <row r="474">
      <c r="A474" s="231"/>
      <c r="B474" s="231"/>
      <c r="C474" s="231"/>
      <c r="D474" s="231"/>
      <c r="E474" s="231"/>
      <c r="F474" s="231"/>
      <c r="G474" s="231"/>
      <c r="H474" s="231"/>
      <c r="I474" s="231"/>
      <c r="J474" s="231"/>
      <c r="K474" s="231"/>
      <c r="L474" s="231"/>
      <c r="M474" s="231"/>
      <c r="N474" s="231"/>
      <c r="O474" s="231"/>
      <c r="P474" s="231"/>
      <c r="Q474" s="231"/>
      <c r="R474" s="231"/>
      <c r="S474" s="231"/>
      <c r="T474" s="231"/>
      <c r="U474" s="231"/>
      <c r="V474" s="231"/>
      <c r="W474" s="231"/>
      <c r="X474" s="231"/>
      <c r="Y474" s="231"/>
      <c r="Z474" s="231"/>
    </row>
    <row r="475">
      <c r="A475" s="231"/>
      <c r="B475" s="231"/>
      <c r="C475" s="231"/>
      <c r="D475" s="231"/>
      <c r="E475" s="231"/>
      <c r="F475" s="231"/>
      <c r="G475" s="231"/>
      <c r="H475" s="231"/>
      <c r="I475" s="231"/>
      <c r="J475" s="231"/>
      <c r="K475" s="231"/>
      <c r="L475" s="231"/>
      <c r="M475" s="231"/>
      <c r="N475" s="231"/>
      <c r="O475" s="231"/>
      <c r="P475" s="231"/>
      <c r="Q475" s="231"/>
      <c r="R475" s="231"/>
      <c r="S475" s="231"/>
      <c r="T475" s="231"/>
      <c r="U475" s="231"/>
      <c r="V475" s="231"/>
      <c r="W475" s="231"/>
      <c r="X475" s="231"/>
      <c r="Y475" s="231"/>
      <c r="Z475" s="231"/>
    </row>
    <row r="476">
      <c r="A476" s="231"/>
      <c r="B476" s="231"/>
      <c r="C476" s="231"/>
      <c r="D476" s="231"/>
      <c r="E476" s="231"/>
      <c r="F476" s="231"/>
      <c r="G476" s="231"/>
      <c r="H476" s="231"/>
      <c r="I476" s="231"/>
      <c r="J476" s="231"/>
      <c r="K476" s="231"/>
      <c r="L476" s="231"/>
      <c r="M476" s="231"/>
      <c r="N476" s="231"/>
      <c r="O476" s="231"/>
      <c r="P476" s="231"/>
      <c r="Q476" s="231"/>
      <c r="R476" s="231"/>
      <c r="S476" s="231"/>
      <c r="T476" s="231"/>
      <c r="U476" s="231"/>
      <c r="V476" s="231"/>
      <c r="W476" s="231"/>
      <c r="X476" s="231"/>
      <c r="Y476" s="231"/>
      <c r="Z476" s="231"/>
    </row>
    <row r="477">
      <c r="A477" s="231"/>
      <c r="B477" s="231"/>
      <c r="C477" s="231"/>
      <c r="D477" s="231"/>
      <c r="E477" s="231"/>
      <c r="F477" s="231"/>
      <c r="G477" s="231"/>
      <c r="H477" s="231"/>
      <c r="I477" s="231"/>
      <c r="J477" s="231"/>
      <c r="K477" s="231"/>
      <c r="L477" s="231"/>
      <c r="M477" s="231"/>
      <c r="N477" s="231"/>
      <c r="O477" s="231"/>
      <c r="P477" s="231"/>
      <c r="Q477" s="231"/>
      <c r="R477" s="231"/>
      <c r="S477" s="231"/>
      <c r="T477" s="231"/>
      <c r="U477" s="231"/>
      <c r="V477" s="231"/>
      <c r="W477" s="231"/>
      <c r="X477" s="231"/>
      <c r="Y477" s="231"/>
      <c r="Z477" s="231"/>
    </row>
    <row r="478">
      <c r="A478" s="231"/>
      <c r="B478" s="231"/>
      <c r="C478" s="231"/>
      <c r="D478" s="231"/>
      <c r="E478" s="231"/>
      <c r="F478" s="231"/>
      <c r="G478" s="231"/>
      <c r="H478" s="231"/>
      <c r="I478" s="231"/>
      <c r="J478" s="231"/>
      <c r="K478" s="231"/>
      <c r="L478" s="231"/>
      <c r="M478" s="231"/>
      <c r="N478" s="231"/>
      <c r="O478" s="231"/>
      <c r="P478" s="231"/>
      <c r="Q478" s="231"/>
      <c r="R478" s="231"/>
      <c r="S478" s="231"/>
      <c r="T478" s="231"/>
      <c r="U478" s="231"/>
      <c r="V478" s="231"/>
      <c r="W478" s="231"/>
      <c r="X478" s="231"/>
      <c r="Y478" s="231"/>
      <c r="Z478" s="231"/>
    </row>
    <row r="479">
      <c r="A479" s="231"/>
      <c r="B479" s="231"/>
      <c r="C479" s="231"/>
      <c r="D479" s="231"/>
      <c r="E479" s="231"/>
      <c r="F479" s="231"/>
      <c r="G479" s="231"/>
      <c r="H479" s="231"/>
      <c r="I479" s="231"/>
      <c r="J479" s="231"/>
      <c r="K479" s="231"/>
      <c r="L479" s="231"/>
      <c r="M479" s="231"/>
      <c r="N479" s="231"/>
      <c r="O479" s="231"/>
      <c r="P479" s="231"/>
      <c r="Q479" s="231"/>
      <c r="R479" s="231"/>
      <c r="S479" s="231"/>
      <c r="T479" s="231"/>
      <c r="U479" s="231"/>
      <c r="V479" s="231"/>
      <c r="W479" s="231"/>
      <c r="X479" s="231"/>
      <c r="Y479" s="231"/>
      <c r="Z479" s="231"/>
    </row>
    <row r="480">
      <c r="A480" s="231"/>
      <c r="B480" s="231"/>
      <c r="C480" s="231"/>
      <c r="D480" s="231"/>
      <c r="E480" s="231"/>
      <c r="F480" s="231"/>
      <c r="G480" s="231"/>
      <c r="H480" s="231"/>
      <c r="I480" s="231"/>
      <c r="J480" s="231"/>
      <c r="K480" s="231"/>
      <c r="L480" s="231"/>
      <c r="M480" s="231"/>
      <c r="N480" s="231"/>
      <c r="O480" s="231"/>
      <c r="P480" s="231"/>
      <c r="Q480" s="231"/>
      <c r="R480" s="231"/>
      <c r="S480" s="231"/>
      <c r="T480" s="231"/>
      <c r="U480" s="231"/>
      <c r="V480" s="231"/>
      <c r="W480" s="231"/>
      <c r="X480" s="231"/>
      <c r="Y480" s="231"/>
      <c r="Z480" s="231"/>
    </row>
    <row r="481">
      <c r="A481" s="231"/>
      <c r="B481" s="231"/>
      <c r="C481" s="231"/>
      <c r="D481" s="231"/>
      <c r="E481" s="231"/>
      <c r="F481" s="231"/>
      <c r="G481" s="231"/>
      <c r="H481" s="231"/>
      <c r="I481" s="231"/>
      <c r="J481" s="231"/>
      <c r="K481" s="231"/>
      <c r="L481" s="231"/>
      <c r="M481" s="231"/>
      <c r="N481" s="231"/>
      <c r="O481" s="231"/>
      <c r="P481" s="231"/>
      <c r="Q481" s="231"/>
      <c r="R481" s="231"/>
      <c r="S481" s="231"/>
      <c r="T481" s="231"/>
      <c r="U481" s="231"/>
      <c r="V481" s="231"/>
      <c r="W481" s="231"/>
      <c r="X481" s="231"/>
      <c r="Y481" s="231"/>
      <c r="Z481" s="231"/>
    </row>
    <row r="482">
      <c r="A482" s="231"/>
      <c r="B482" s="231"/>
      <c r="C482" s="231"/>
      <c r="D482" s="231"/>
      <c r="E482" s="231"/>
      <c r="F482" s="231"/>
      <c r="G482" s="231"/>
      <c r="H482" s="231"/>
      <c r="I482" s="231"/>
      <c r="J482" s="231"/>
      <c r="K482" s="231"/>
      <c r="L482" s="231"/>
      <c r="M482" s="231"/>
      <c r="N482" s="231"/>
      <c r="O482" s="231"/>
      <c r="P482" s="231"/>
      <c r="Q482" s="231"/>
      <c r="R482" s="231"/>
      <c r="S482" s="231"/>
      <c r="T482" s="231"/>
      <c r="U482" s="231"/>
      <c r="V482" s="231"/>
      <c r="W482" s="231"/>
      <c r="X482" s="231"/>
      <c r="Y482" s="231"/>
      <c r="Z482" s="231"/>
    </row>
    <row r="483">
      <c r="A483" s="231"/>
      <c r="B483" s="231"/>
      <c r="C483" s="231"/>
      <c r="D483" s="231"/>
      <c r="E483" s="231"/>
      <c r="F483" s="231"/>
      <c r="G483" s="231"/>
      <c r="H483" s="231"/>
      <c r="I483" s="231"/>
      <c r="J483" s="231"/>
      <c r="K483" s="231"/>
      <c r="L483" s="231"/>
      <c r="M483" s="231"/>
      <c r="N483" s="231"/>
      <c r="O483" s="231"/>
      <c r="P483" s="231"/>
      <c r="Q483" s="231"/>
      <c r="R483" s="231"/>
      <c r="S483" s="231"/>
      <c r="T483" s="231"/>
      <c r="U483" s="231"/>
      <c r="V483" s="231"/>
      <c r="W483" s="231"/>
      <c r="X483" s="231"/>
      <c r="Y483" s="231"/>
      <c r="Z483" s="231"/>
    </row>
    <row r="484">
      <c r="A484" s="231"/>
      <c r="B484" s="231"/>
      <c r="C484" s="231"/>
      <c r="D484" s="231"/>
      <c r="E484" s="231"/>
      <c r="F484" s="231"/>
      <c r="G484" s="231"/>
      <c r="H484" s="231"/>
      <c r="I484" s="231"/>
      <c r="J484" s="231"/>
      <c r="K484" s="231"/>
      <c r="L484" s="231"/>
      <c r="M484" s="231"/>
      <c r="N484" s="231"/>
      <c r="O484" s="231"/>
      <c r="P484" s="231"/>
      <c r="Q484" s="231"/>
      <c r="R484" s="231"/>
      <c r="S484" s="231"/>
      <c r="T484" s="231"/>
      <c r="U484" s="231"/>
      <c r="V484" s="231"/>
      <c r="W484" s="231"/>
      <c r="X484" s="231"/>
      <c r="Y484" s="231"/>
      <c r="Z484" s="231"/>
    </row>
    <row r="485">
      <c r="A485" s="231"/>
      <c r="B485" s="231"/>
      <c r="C485" s="231"/>
      <c r="D485" s="231"/>
      <c r="E485" s="231"/>
      <c r="F485" s="231"/>
      <c r="G485" s="231"/>
      <c r="H485" s="231"/>
      <c r="I485" s="231"/>
      <c r="J485" s="231"/>
      <c r="K485" s="231"/>
      <c r="L485" s="231"/>
      <c r="M485" s="231"/>
      <c r="N485" s="231"/>
      <c r="O485" s="231"/>
      <c r="P485" s="231"/>
      <c r="Q485" s="231"/>
      <c r="R485" s="231"/>
      <c r="S485" s="231"/>
      <c r="T485" s="231"/>
      <c r="U485" s="231"/>
      <c r="V485" s="231"/>
      <c r="W485" s="231"/>
      <c r="X485" s="231"/>
      <c r="Y485" s="231"/>
      <c r="Z485" s="231"/>
    </row>
    <row r="486">
      <c r="A486" s="231"/>
      <c r="B486" s="231"/>
      <c r="C486" s="231"/>
      <c r="D486" s="231"/>
      <c r="E486" s="231"/>
      <c r="F486" s="231"/>
      <c r="G486" s="231"/>
      <c r="H486" s="231"/>
      <c r="I486" s="231"/>
      <c r="J486" s="231"/>
      <c r="K486" s="231"/>
      <c r="L486" s="231"/>
      <c r="M486" s="231"/>
      <c r="N486" s="231"/>
      <c r="O486" s="231"/>
      <c r="P486" s="231"/>
      <c r="Q486" s="231"/>
      <c r="R486" s="231"/>
      <c r="S486" s="231"/>
      <c r="T486" s="231"/>
      <c r="U486" s="231"/>
      <c r="V486" s="231"/>
      <c r="W486" s="231"/>
      <c r="X486" s="231"/>
      <c r="Y486" s="231"/>
      <c r="Z486" s="231"/>
    </row>
    <row r="487">
      <c r="A487" s="231"/>
      <c r="B487" s="231"/>
      <c r="C487" s="231"/>
      <c r="D487" s="231"/>
      <c r="E487" s="231"/>
      <c r="F487" s="231"/>
      <c r="G487" s="231"/>
      <c r="H487" s="231"/>
      <c r="I487" s="231"/>
      <c r="J487" s="231"/>
      <c r="K487" s="231"/>
      <c r="L487" s="231"/>
      <c r="M487" s="231"/>
      <c r="N487" s="231"/>
      <c r="O487" s="231"/>
      <c r="P487" s="231"/>
      <c r="Q487" s="231"/>
      <c r="R487" s="231"/>
      <c r="S487" s="231"/>
      <c r="T487" s="231"/>
      <c r="U487" s="231"/>
      <c r="V487" s="231"/>
      <c r="W487" s="231"/>
      <c r="X487" s="231"/>
      <c r="Y487" s="231"/>
      <c r="Z487" s="231"/>
    </row>
    <row r="488">
      <c r="A488" s="231"/>
      <c r="B488" s="231"/>
      <c r="C488" s="231"/>
      <c r="D488" s="231"/>
      <c r="E488" s="231"/>
      <c r="F488" s="231"/>
      <c r="G488" s="231"/>
      <c r="H488" s="231"/>
      <c r="I488" s="231"/>
      <c r="J488" s="231"/>
      <c r="K488" s="231"/>
      <c r="L488" s="231"/>
      <c r="M488" s="231"/>
      <c r="N488" s="231"/>
      <c r="O488" s="231"/>
      <c r="P488" s="231"/>
      <c r="Q488" s="231"/>
      <c r="R488" s="231"/>
      <c r="S488" s="231"/>
      <c r="T488" s="231"/>
      <c r="U488" s="231"/>
      <c r="V488" s="231"/>
      <c r="W488" s="231"/>
      <c r="X488" s="231"/>
      <c r="Y488" s="231"/>
      <c r="Z488" s="231"/>
    </row>
    <row r="489">
      <c r="A489" s="231"/>
      <c r="B489" s="231"/>
      <c r="C489" s="231"/>
      <c r="D489" s="231"/>
      <c r="E489" s="231"/>
      <c r="F489" s="231"/>
      <c r="G489" s="231"/>
      <c r="H489" s="231"/>
      <c r="I489" s="231"/>
      <c r="J489" s="231"/>
      <c r="K489" s="231"/>
      <c r="L489" s="231"/>
      <c r="M489" s="231"/>
      <c r="N489" s="231"/>
      <c r="O489" s="231"/>
      <c r="P489" s="231"/>
      <c r="Q489" s="231"/>
      <c r="R489" s="231"/>
      <c r="S489" s="231"/>
      <c r="T489" s="231"/>
      <c r="U489" s="231"/>
      <c r="V489" s="231"/>
      <c r="W489" s="231"/>
      <c r="X489" s="231"/>
      <c r="Y489" s="231"/>
      <c r="Z489" s="231"/>
    </row>
    <row r="490">
      <c r="A490" s="231"/>
      <c r="B490" s="231"/>
      <c r="C490" s="231"/>
      <c r="D490" s="231"/>
      <c r="E490" s="231"/>
      <c r="F490" s="231"/>
      <c r="G490" s="231"/>
      <c r="H490" s="231"/>
      <c r="I490" s="231"/>
      <c r="J490" s="231"/>
      <c r="K490" s="231"/>
      <c r="L490" s="231"/>
      <c r="M490" s="231"/>
      <c r="N490" s="231"/>
      <c r="O490" s="231"/>
      <c r="P490" s="231"/>
      <c r="Q490" s="231"/>
      <c r="R490" s="231"/>
      <c r="S490" s="231"/>
      <c r="T490" s="231"/>
      <c r="U490" s="231"/>
      <c r="V490" s="231"/>
      <c r="W490" s="231"/>
      <c r="X490" s="231"/>
      <c r="Y490" s="231"/>
      <c r="Z490" s="231"/>
    </row>
    <row r="491">
      <c r="A491" s="231"/>
      <c r="B491" s="231"/>
      <c r="C491" s="231"/>
      <c r="D491" s="231"/>
      <c r="E491" s="231"/>
      <c r="F491" s="231"/>
      <c r="G491" s="231"/>
      <c r="H491" s="231"/>
      <c r="I491" s="231"/>
      <c r="J491" s="231"/>
      <c r="K491" s="231"/>
      <c r="L491" s="231"/>
      <c r="M491" s="231"/>
      <c r="N491" s="231"/>
      <c r="O491" s="231"/>
      <c r="P491" s="231"/>
      <c r="Q491" s="231"/>
      <c r="R491" s="231"/>
      <c r="S491" s="231"/>
      <c r="T491" s="231"/>
      <c r="U491" s="231"/>
      <c r="V491" s="231"/>
      <c r="W491" s="231"/>
      <c r="X491" s="231"/>
      <c r="Y491" s="231"/>
      <c r="Z491" s="231"/>
    </row>
    <row r="492">
      <c r="A492" s="231"/>
      <c r="B492" s="231"/>
      <c r="C492" s="231"/>
      <c r="D492" s="231"/>
      <c r="E492" s="231"/>
      <c r="F492" s="231"/>
      <c r="G492" s="231"/>
      <c r="H492" s="231"/>
      <c r="I492" s="231"/>
      <c r="J492" s="231"/>
      <c r="K492" s="231"/>
      <c r="L492" s="231"/>
      <c r="M492" s="231"/>
      <c r="N492" s="231"/>
      <c r="O492" s="231"/>
      <c r="P492" s="231"/>
      <c r="Q492" s="231"/>
      <c r="R492" s="231"/>
      <c r="S492" s="231"/>
      <c r="T492" s="231"/>
      <c r="U492" s="231"/>
      <c r="V492" s="231"/>
      <c r="W492" s="231"/>
      <c r="X492" s="231"/>
      <c r="Y492" s="231"/>
      <c r="Z492" s="231"/>
    </row>
    <row r="493">
      <c r="A493" s="231"/>
      <c r="B493" s="231"/>
      <c r="C493" s="231"/>
      <c r="D493" s="231"/>
      <c r="E493" s="231"/>
      <c r="F493" s="231"/>
      <c r="G493" s="231"/>
      <c r="H493" s="231"/>
      <c r="I493" s="231"/>
      <c r="J493" s="231"/>
      <c r="K493" s="231"/>
      <c r="L493" s="231"/>
      <c r="M493" s="231"/>
      <c r="N493" s="231"/>
      <c r="O493" s="231"/>
      <c r="P493" s="231"/>
      <c r="Q493" s="231"/>
      <c r="R493" s="231"/>
      <c r="S493" s="231"/>
      <c r="T493" s="231"/>
      <c r="U493" s="231"/>
      <c r="V493" s="231"/>
      <c r="W493" s="231"/>
      <c r="X493" s="231"/>
      <c r="Y493" s="231"/>
      <c r="Z493" s="231"/>
    </row>
    <row r="494">
      <c r="A494" s="231"/>
      <c r="B494" s="231"/>
      <c r="C494" s="231"/>
      <c r="D494" s="231"/>
      <c r="E494" s="231"/>
      <c r="F494" s="231"/>
      <c r="G494" s="231"/>
      <c r="H494" s="231"/>
      <c r="I494" s="231"/>
      <c r="J494" s="231"/>
      <c r="K494" s="231"/>
      <c r="L494" s="231"/>
      <c r="M494" s="231"/>
      <c r="N494" s="231"/>
      <c r="O494" s="231"/>
      <c r="P494" s="231"/>
      <c r="Q494" s="231"/>
      <c r="R494" s="231"/>
      <c r="S494" s="231"/>
      <c r="T494" s="231"/>
      <c r="U494" s="231"/>
      <c r="V494" s="231"/>
      <c r="W494" s="231"/>
      <c r="X494" s="231"/>
      <c r="Y494" s="231"/>
      <c r="Z494" s="231"/>
    </row>
    <row r="495">
      <c r="A495" s="231"/>
      <c r="B495" s="231"/>
      <c r="C495" s="231"/>
      <c r="D495" s="231"/>
      <c r="E495" s="231"/>
      <c r="F495" s="231"/>
      <c r="G495" s="231"/>
      <c r="H495" s="231"/>
      <c r="I495" s="231"/>
      <c r="J495" s="231"/>
      <c r="K495" s="231"/>
      <c r="L495" s="231"/>
      <c r="M495" s="231"/>
      <c r="N495" s="231"/>
      <c r="O495" s="231"/>
      <c r="P495" s="231"/>
      <c r="Q495" s="231"/>
      <c r="R495" s="231"/>
      <c r="S495" s="231"/>
      <c r="T495" s="231"/>
      <c r="U495" s="231"/>
      <c r="V495" s="231"/>
      <c r="W495" s="231"/>
      <c r="X495" s="231"/>
      <c r="Y495" s="231"/>
      <c r="Z495" s="231"/>
    </row>
    <row r="496">
      <c r="A496" s="231"/>
      <c r="B496" s="231"/>
      <c r="C496" s="231"/>
      <c r="D496" s="231"/>
      <c r="E496" s="231"/>
      <c r="F496" s="231"/>
      <c r="G496" s="231"/>
      <c r="H496" s="231"/>
      <c r="I496" s="231"/>
      <c r="J496" s="231"/>
      <c r="K496" s="231"/>
      <c r="L496" s="231"/>
      <c r="M496" s="231"/>
      <c r="N496" s="231"/>
      <c r="O496" s="231"/>
      <c r="P496" s="231"/>
      <c r="Q496" s="231"/>
      <c r="R496" s="231"/>
      <c r="S496" s="231"/>
      <c r="T496" s="231"/>
      <c r="U496" s="231"/>
      <c r="V496" s="231"/>
      <c r="W496" s="231"/>
      <c r="X496" s="231"/>
      <c r="Y496" s="231"/>
      <c r="Z496" s="231"/>
    </row>
    <row r="497">
      <c r="A497" s="231"/>
      <c r="B497" s="231"/>
      <c r="C497" s="231"/>
      <c r="D497" s="231"/>
      <c r="E497" s="231"/>
      <c r="F497" s="231"/>
      <c r="G497" s="231"/>
      <c r="H497" s="231"/>
      <c r="I497" s="231"/>
      <c r="J497" s="231"/>
      <c r="K497" s="231"/>
      <c r="L497" s="231"/>
      <c r="M497" s="231"/>
      <c r="N497" s="231"/>
      <c r="O497" s="231"/>
      <c r="P497" s="231"/>
      <c r="Q497" s="231"/>
      <c r="R497" s="231"/>
      <c r="S497" s="231"/>
      <c r="T497" s="231"/>
      <c r="U497" s="231"/>
      <c r="V497" s="231"/>
      <c r="W497" s="231"/>
      <c r="X497" s="231"/>
      <c r="Y497" s="231"/>
      <c r="Z497" s="231"/>
    </row>
    <row r="498">
      <c r="A498" s="231"/>
      <c r="B498" s="231"/>
      <c r="C498" s="231"/>
      <c r="D498" s="231"/>
      <c r="E498" s="231"/>
      <c r="F498" s="231"/>
      <c r="G498" s="231"/>
      <c r="H498" s="231"/>
      <c r="I498" s="231"/>
      <c r="J498" s="231"/>
      <c r="K498" s="231"/>
      <c r="L498" s="231"/>
      <c r="M498" s="231"/>
      <c r="N498" s="231"/>
      <c r="O498" s="231"/>
      <c r="P498" s="231"/>
      <c r="Q498" s="231"/>
      <c r="R498" s="231"/>
      <c r="S498" s="231"/>
      <c r="T498" s="231"/>
      <c r="U498" s="231"/>
      <c r="V498" s="231"/>
      <c r="W498" s="231"/>
      <c r="X498" s="231"/>
      <c r="Y498" s="231"/>
      <c r="Z498" s="231"/>
    </row>
    <row r="499">
      <c r="A499" s="231"/>
      <c r="B499" s="231"/>
      <c r="C499" s="231"/>
      <c r="D499" s="231"/>
      <c r="E499" s="231"/>
      <c r="F499" s="231"/>
      <c r="G499" s="231"/>
      <c r="H499" s="231"/>
      <c r="I499" s="231"/>
      <c r="J499" s="231"/>
      <c r="K499" s="231"/>
      <c r="L499" s="231"/>
      <c r="M499" s="231"/>
      <c r="N499" s="231"/>
      <c r="O499" s="231"/>
      <c r="P499" s="231"/>
      <c r="Q499" s="231"/>
      <c r="R499" s="231"/>
      <c r="S499" s="231"/>
      <c r="T499" s="231"/>
      <c r="U499" s="231"/>
      <c r="V499" s="231"/>
      <c r="W499" s="231"/>
      <c r="X499" s="231"/>
      <c r="Y499" s="231"/>
      <c r="Z499" s="231"/>
    </row>
    <row r="500">
      <c r="A500" s="231"/>
      <c r="B500" s="231"/>
      <c r="C500" s="231"/>
      <c r="D500" s="231"/>
      <c r="E500" s="231"/>
      <c r="F500" s="231"/>
      <c r="G500" s="231"/>
      <c r="H500" s="231"/>
      <c r="I500" s="231"/>
      <c r="J500" s="231"/>
      <c r="K500" s="231"/>
      <c r="L500" s="231"/>
      <c r="M500" s="231"/>
      <c r="N500" s="231"/>
      <c r="O500" s="231"/>
      <c r="P500" s="231"/>
      <c r="Q500" s="231"/>
      <c r="R500" s="231"/>
      <c r="S500" s="231"/>
      <c r="T500" s="231"/>
      <c r="U500" s="231"/>
      <c r="V500" s="231"/>
      <c r="W500" s="231"/>
      <c r="X500" s="231"/>
      <c r="Y500" s="231"/>
      <c r="Z500" s="231"/>
    </row>
    <row r="501">
      <c r="A501" s="231"/>
      <c r="B501" s="231"/>
      <c r="C501" s="231"/>
      <c r="D501" s="231"/>
      <c r="E501" s="231"/>
      <c r="F501" s="231"/>
      <c r="G501" s="231"/>
      <c r="H501" s="231"/>
      <c r="I501" s="231"/>
      <c r="J501" s="231"/>
      <c r="K501" s="231"/>
      <c r="L501" s="231"/>
      <c r="M501" s="231"/>
      <c r="N501" s="231"/>
      <c r="O501" s="231"/>
      <c r="P501" s="231"/>
      <c r="Q501" s="231"/>
      <c r="R501" s="231"/>
      <c r="S501" s="231"/>
      <c r="T501" s="231"/>
      <c r="U501" s="231"/>
      <c r="V501" s="231"/>
      <c r="W501" s="231"/>
      <c r="X501" s="231"/>
      <c r="Y501" s="231"/>
      <c r="Z501" s="231"/>
    </row>
    <row r="502">
      <c r="A502" s="231"/>
      <c r="B502" s="231"/>
      <c r="C502" s="231"/>
      <c r="D502" s="231"/>
      <c r="E502" s="231"/>
      <c r="F502" s="231"/>
      <c r="G502" s="231"/>
      <c r="H502" s="231"/>
      <c r="I502" s="231"/>
      <c r="J502" s="231"/>
      <c r="K502" s="231"/>
      <c r="L502" s="231"/>
      <c r="M502" s="231"/>
      <c r="N502" s="231"/>
      <c r="O502" s="231"/>
      <c r="P502" s="231"/>
      <c r="Q502" s="231"/>
      <c r="R502" s="231"/>
      <c r="S502" s="231"/>
      <c r="T502" s="231"/>
      <c r="U502" s="231"/>
      <c r="V502" s="231"/>
      <c r="W502" s="231"/>
      <c r="X502" s="231"/>
      <c r="Y502" s="231"/>
      <c r="Z502" s="231"/>
    </row>
    <row r="503">
      <c r="A503" s="231"/>
      <c r="B503" s="231"/>
      <c r="C503" s="231"/>
      <c r="D503" s="231"/>
      <c r="E503" s="231"/>
      <c r="F503" s="231"/>
      <c r="G503" s="231"/>
      <c r="H503" s="231"/>
      <c r="I503" s="231"/>
      <c r="J503" s="231"/>
      <c r="K503" s="231"/>
      <c r="L503" s="231"/>
      <c r="M503" s="231"/>
      <c r="N503" s="231"/>
      <c r="O503" s="231"/>
      <c r="P503" s="231"/>
      <c r="Q503" s="231"/>
      <c r="R503" s="231"/>
      <c r="S503" s="231"/>
      <c r="T503" s="231"/>
      <c r="U503" s="231"/>
      <c r="V503" s="231"/>
      <c r="W503" s="231"/>
      <c r="X503" s="231"/>
      <c r="Y503" s="231"/>
      <c r="Z503" s="231"/>
    </row>
    <row r="504">
      <c r="A504" s="231"/>
      <c r="B504" s="231"/>
      <c r="C504" s="231"/>
      <c r="D504" s="231"/>
      <c r="E504" s="231"/>
      <c r="F504" s="231"/>
      <c r="G504" s="231"/>
      <c r="H504" s="231"/>
      <c r="I504" s="231"/>
      <c r="J504" s="231"/>
      <c r="K504" s="231"/>
      <c r="L504" s="231"/>
      <c r="M504" s="231"/>
      <c r="N504" s="231"/>
      <c r="O504" s="231"/>
      <c r="P504" s="231"/>
      <c r="Q504" s="231"/>
      <c r="R504" s="231"/>
      <c r="S504" s="231"/>
      <c r="T504" s="231"/>
      <c r="U504" s="231"/>
      <c r="V504" s="231"/>
      <c r="W504" s="231"/>
      <c r="X504" s="231"/>
      <c r="Y504" s="231"/>
      <c r="Z504" s="231"/>
    </row>
    <row r="505">
      <c r="A505" s="231"/>
      <c r="B505" s="231"/>
      <c r="C505" s="231"/>
      <c r="D505" s="231"/>
      <c r="E505" s="231"/>
      <c r="F505" s="231"/>
      <c r="G505" s="231"/>
      <c r="H505" s="231"/>
      <c r="I505" s="231"/>
      <c r="J505" s="231"/>
      <c r="K505" s="231"/>
      <c r="L505" s="231"/>
      <c r="M505" s="231"/>
      <c r="N505" s="231"/>
      <c r="O505" s="231"/>
      <c r="P505" s="231"/>
      <c r="Q505" s="231"/>
      <c r="R505" s="231"/>
      <c r="S505" s="231"/>
      <c r="T505" s="231"/>
      <c r="U505" s="231"/>
      <c r="V505" s="231"/>
      <c r="W505" s="231"/>
      <c r="X505" s="231"/>
      <c r="Y505" s="231"/>
      <c r="Z505" s="231"/>
    </row>
    <row r="506">
      <c r="A506" s="231"/>
      <c r="B506" s="231"/>
      <c r="C506" s="231"/>
      <c r="D506" s="231"/>
      <c r="E506" s="231"/>
      <c r="F506" s="231"/>
      <c r="G506" s="231"/>
      <c r="H506" s="231"/>
      <c r="I506" s="231"/>
      <c r="J506" s="231"/>
      <c r="K506" s="231"/>
      <c r="L506" s="231"/>
      <c r="M506" s="231"/>
      <c r="N506" s="231"/>
      <c r="O506" s="231"/>
      <c r="P506" s="231"/>
      <c r="Q506" s="231"/>
      <c r="R506" s="231"/>
      <c r="S506" s="231"/>
      <c r="T506" s="231"/>
      <c r="U506" s="231"/>
      <c r="V506" s="231"/>
      <c r="W506" s="231"/>
      <c r="X506" s="231"/>
      <c r="Y506" s="231"/>
      <c r="Z506" s="231"/>
    </row>
    <row r="507">
      <c r="A507" s="231"/>
      <c r="B507" s="231"/>
      <c r="C507" s="231"/>
      <c r="D507" s="231"/>
      <c r="E507" s="231"/>
      <c r="F507" s="231"/>
      <c r="G507" s="231"/>
      <c r="H507" s="231"/>
      <c r="I507" s="231"/>
      <c r="J507" s="231"/>
      <c r="K507" s="231"/>
      <c r="L507" s="231"/>
      <c r="M507" s="231"/>
      <c r="N507" s="231"/>
      <c r="O507" s="231"/>
      <c r="P507" s="231"/>
      <c r="Q507" s="231"/>
      <c r="R507" s="231"/>
      <c r="S507" s="231"/>
      <c r="T507" s="231"/>
      <c r="U507" s="231"/>
      <c r="V507" s="231"/>
      <c r="W507" s="231"/>
      <c r="X507" s="231"/>
      <c r="Y507" s="231"/>
      <c r="Z507" s="231"/>
    </row>
    <row r="508">
      <c r="A508" s="231"/>
      <c r="B508" s="231"/>
      <c r="C508" s="231"/>
      <c r="D508" s="231"/>
      <c r="E508" s="231"/>
      <c r="F508" s="231"/>
      <c r="G508" s="231"/>
      <c r="H508" s="231"/>
      <c r="I508" s="231"/>
      <c r="J508" s="231"/>
      <c r="K508" s="231"/>
      <c r="L508" s="231"/>
      <c r="M508" s="231"/>
      <c r="N508" s="231"/>
      <c r="O508" s="231"/>
      <c r="P508" s="231"/>
      <c r="Q508" s="231"/>
      <c r="R508" s="231"/>
      <c r="S508" s="231"/>
      <c r="T508" s="231"/>
      <c r="U508" s="231"/>
      <c r="V508" s="231"/>
      <c r="W508" s="231"/>
      <c r="X508" s="231"/>
      <c r="Y508" s="231"/>
      <c r="Z508" s="231"/>
    </row>
    <row r="509">
      <c r="A509" s="231"/>
      <c r="B509" s="231"/>
      <c r="C509" s="231"/>
      <c r="D509" s="231"/>
      <c r="E509" s="231"/>
      <c r="F509" s="231"/>
      <c r="G509" s="231"/>
      <c r="H509" s="231"/>
      <c r="I509" s="231"/>
      <c r="J509" s="231"/>
      <c r="K509" s="231"/>
      <c r="L509" s="231"/>
      <c r="M509" s="231"/>
      <c r="N509" s="231"/>
      <c r="O509" s="231"/>
      <c r="P509" s="231"/>
      <c r="Q509" s="231"/>
      <c r="R509" s="231"/>
      <c r="S509" s="231"/>
      <c r="T509" s="231"/>
      <c r="U509" s="231"/>
      <c r="V509" s="231"/>
      <c r="W509" s="231"/>
      <c r="X509" s="231"/>
      <c r="Y509" s="231"/>
      <c r="Z509" s="231"/>
    </row>
    <row r="510">
      <c r="A510" s="231"/>
      <c r="B510" s="231"/>
      <c r="C510" s="231"/>
      <c r="D510" s="231"/>
      <c r="E510" s="231"/>
      <c r="F510" s="231"/>
      <c r="G510" s="231"/>
      <c r="H510" s="231"/>
      <c r="I510" s="231"/>
      <c r="J510" s="231"/>
      <c r="K510" s="231"/>
      <c r="L510" s="231"/>
      <c r="M510" s="231"/>
      <c r="N510" s="231"/>
      <c r="O510" s="231"/>
      <c r="P510" s="231"/>
      <c r="Q510" s="231"/>
      <c r="R510" s="231"/>
      <c r="S510" s="231"/>
      <c r="T510" s="231"/>
      <c r="U510" s="231"/>
      <c r="V510" s="231"/>
      <c r="W510" s="231"/>
      <c r="X510" s="231"/>
      <c r="Y510" s="231"/>
      <c r="Z510" s="231"/>
    </row>
    <row r="511">
      <c r="A511" s="231"/>
      <c r="B511" s="231"/>
      <c r="C511" s="231"/>
      <c r="D511" s="231"/>
      <c r="E511" s="231"/>
      <c r="F511" s="231"/>
      <c r="G511" s="231"/>
      <c r="H511" s="231"/>
      <c r="I511" s="231"/>
      <c r="J511" s="231"/>
      <c r="K511" s="231"/>
      <c r="L511" s="231"/>
      <c r="M511" s="231"/>
      <c r="N511" s="231"/>
      <c r="O511" s="231"/>
      <c r="P511" s="231"/>
      <c r="Q511" s="231"/>
      <c r="R511" s="231"/>
      <c r="S511" s="231"/>
      <c r="T511" s="231"/>
      <c r="U511" s="231"/>
      <c r="V511" s="231"/>
      <c r="W511" s="231"/>
      <c r="X511" s="231"/>
      <c r="Y511" s="231"/>
      <c r="Z511" s="231"/>
    </row>
    <row r="512">
      <c r="A512" s="231"/>
      <c r="B512" s="231"/>
      <c r="C512" s="231"/>
      <c r="D512" s="231"/>
      <c r="E512" s="231"/>
      <c r="F512" s="231"/>
      <c r="G512" s="231"/>
      <c r="H512" s="231"/>
      <c r="I512" s="231"/>
      <c r="J512" s="231"/>
      <c r="K512" s="231"/>
      <c r="L512" s="231"/>
      <c r="M512" s="231"/>
      <c r="N512" s="231"/>
      <c r="O512" s="231"/>
      <c r="P512" s="231"/>
      <c r="Q512" s="231"/>
      <c r="R512" s="231"/>
      <c r="S512" s="231"/>
      <c r="T512" s="231"/>
      <c r="U512" s="231"/>
      <c r="V512" s="231"/>
      <c r="W512" s="231"/>
      <c r="X512" s="231"/>
      <c r="Y512" s="231"/>
      <c r="Z512" s="231"/>
    </row>
    <row r="513">
      <c r="A513" s="231"/>
      <c r="B513" s="231"/>
      <c r="C513" s="231"/>
      <c r="D513" s="231"/>
      <c r="E513" s="231"/>
      <c r="F513" s="231"/>
      <c r="G513" s="231"/>
      <c r="H513" s="231"/>
      <c r="I513" s="231"/>
      <c r="J513" s="231"/>
      <c r="K513" s="231"/>
      <c r="L513" s="231"/>
      <c r="M513" s="231"/>
      <c r="N513" s="231"/>
      <c r="O513" s="231"/>
      <c r="P513" s="231"/>
      <c r="Q513" s="231"/>
      <c r="R513" s="231"/>
      <c r="S513" s="231"/>
      <c r="T513" s="231"/>
      <c r="U513" s="231"/>
      <c r="V513" s="231"/>
      <c r="W513" s="231"/>
      <c r="X513" s="231"/>
      <c r="Y513" s="231"/>
      <c r="Z513" s="231"/>
    </row>
    <row r="514">
      <c r="A514" s="231"/>
      <c r="B514" s="231"/>
      <c r="C514" s="231"/>
      <c r="D514" s="231"/>
      <c r="E514" s="231"/>
      <c r="F514" s="231"/>
      <c r="G514" s="231"/>
      <c r="H514" s="231"/>
      <c r="I514" s="231"/>
      <c r="J514" s="231"/>
      <c r="K514" s="231"/>
      <c r="L514" s="231"/>
      <c r="M514" s="231"/>
      <c r="N514" s="231"/>
      <c r="O514" s="231"/>
      <c r="P514" s="231"/>
      <c r="Q514" s="231"/>
      <c r="R514" s="231"/>
      <c r="S514" s="231"/>
      <c r="T514" s="231"/>
      <c r="U514" s="231"/>
      <c r="V514" s="231"/>
      <c r="W514" s="231"/>
      <c r="X514" s="231"/>
      <c r="Y514" s="231"/>
      <c r="Z514" s="231"/>
    </row>
    <row r="515">
      <c r="A515" s="231"/>
      <c r="B515" s="231"/>
      <c r="C515" s="231"/>
      <c r="D515" s="231"/>
      <c r="E515" s="231"/>
      <c r="F515" s="231"/>
      <c r="G515" s="231"/>
      <c r="H515" s="231"/>
      <c r="I515" s="231"/>
      <c r="J515" s="231"/>
      <c r="K515" s="231"/>
      <c r="L515" s="231"/>
      <c r="M515" s="231"/>
      <c r="N515" s="231"/>
      <c r="O515" s="231"/>
      <c r="P515" s="231"/>
      <c r="Q515" s="231"/>
      <c r="R515" s="231"/>
      <c r="S515" s="231"/>
      <c r="T515" s="231"/>
      <c r="U515" s="231"/>
      <c r="V515" s="231"/>
      <c r="W515" s="231"/>
      <c r="X515" s="231"/>
      <c r="Y515" s="231"/>
      <c r="Z515" s="231"/>
    </row>
    <row r="516">
      <c r="A516" s="231"/>
      <c r="B516" s="231"/>
      <c r="C516" s="231"/>
      <c r="D516" s="231"/>
      <c r="E516" s="231"/>
      <c r="F516" s="231"/>
      <c r="G516" s="231"/>
      <c r="H516" s="231"/>
      <c r="I516" s="231"/>
      <c r="J516" s="231"/>
      <c r="K516" s="231"/>
      <c r="L516" s="231"/>
      <c r="M516" s="231"/>
      <c r="N516" s="231"/>
      <c r="O516" s="231"/>
      <c r="P516" s="231"/>
      <c r="Q516" s="231"/>
      <c r="R516" s="231"/>
      <c r="S516" s="231"/>
      <c r="T516" s="231"/>
      <c r="U516" s="231"/>
      <c r="V516" s="231"/>
      <c r="W516" s="231"/>
      <c r="X516" s="231"/>
      <c r="Y516" s="231"/>
      <c r="Z516" s="231"/>
    </row>
    <row r="517">
      <c r="A517" s="231"/>
      <c r="B517" s="231"/>
      <c r="C517" s="231"/>
      <c r="D517" s="231"/>
      <c r="E517" s="231"/>
      <c r="F517" s="231"/>
      <c r="G517" s="231"/>
      <c r="H517" s="231"/>
      <c r="I517" s="231"/>
      <c r="J517" s="231"/>
      <c r="K517" s="231"/>
      <c r="L517" s="231"/>
      <c r="M517" s="231"/>
      <c r="N517" s="231"/>
      <c r="O517" s="231"/>
      <c r="P517" s="231"/>
      <c r="Q517" s="231"/>
      <c r="R517" s="231"/>
      <c r="S517" s="231"/>
      <c r="T517" s="231"/>
      <c r="U517" s="231"/>
      <c r="V517" s="231"/>
      <c r="W517" s="231"/>
      <c r="X517" s="231"/>
      <c r="Y517" s="231"/>
      <c r="Z517" s="231"/>
    </row>
    <row r="518">
      <c r="A518" s="231"/>
      <c r="B518" s="231"/>
      <c r="C518" s="231"/>
      <c r="D518" s="231"/>
      <c r="E518" s="231"/>
      <c r="F518" s="231"/>
      <c r="G518" s="231"/>
      <c r="H518" s="231"/>
      <c r="I518" s="231"/>
      <c r="J518" s="231"/>
      <c r="K518" s="231"/>
      <c r="L518" s="231"/>
      <c r="M518" s="231"/>
      <c r="N518" s="231"/>
      <c r="O518" s="231"/>
      <c r="P518" s="231"/>
      <c r="Q518" s="231"/>
      <c r="R518" s="231"/>
      <c r="S518" s="231"/>
      <c r="T518" s="231"/>
      <c r="U518" s="231"/>
      <c r="V518" s="231"/>
      <c r="W518" s="231"/>
      <c r="X518" s="231"/>
      <c r="Y518" s="231"/>
      <c r="Z518" s="231"/>
    </row>
    <row r="519">
      <c r="A519" s="231"/>
      <c r="B519" s="231"/>
      <c r="C519" s="231"/>
      <c r="D519" s="231"/>
      <c r="E519" s="231"/>
      <c r="F519" s="231"/>
      <c r="G519" s="231"/>
      <c r="H519" s="231"/>
      <c r="I519" s="231"/>
      <c r="J519" s="231"/>
      <c r="K519" s="231"/>
      <c r="L519" s="231"/>
      <c r="M519" s="231"/>
      <c r="N519" s="231"/>
      <c r="O519" s="231"/>
      <c r="P519" s="231"/>
      <c r="Q519" s="231"/>
      <c r="R519" s="231"/>
      <c r="S519" s="231"/>
      <c r="T519" s="231"/>
      <c r="U519" s="231"/>
      <c r="V519" s="231"/>
      <c r="W519" s="231"/>
      <c r="X519" s="231"/>
      <c r="Y519" s="231"/>
      <c r="Z519" s="231"/>
    </row>
    <row r="520">
      <c r="A520" s="231"/>
      <c r="B520" s="231"/>
      <c r="C520" s="231"/>
      <c r="D520" s="231"/>
      <c r="E520" s="231"/>
      <c r="F520" s="231"/>
      <c r="G520" s="231"/>
      <c r="H520" s="231"/>
      <c r="I520" s="231"/>
      <c r="J520" s="231"/>
      <c r="K520" s="231"/>
      <c r="L520" s="231"/>
      <c r="M520" s="231"/>
      <c r="N520" s="231"/>
      <c r="O520" s="231"/>
      <c r="P520" s="231"/>
      <c r="Q520" s="231"/>
      <c r="R520" s="231"/>
      <c r="S520" s="231"/>
      <c r="T520" s="231"/>
      <c r="U520" s="231"/>
      <c r="V520" s="231"/>
      <c r="W520" s="231"/>
      <c r="X520" s="231"/>
      <c r="Y520" s="231"/>
      <c r="Z520" s="231"/>
    </row>
    <row r="521">
      <c r="A521" s="231"/>
      <c r="B521" s="231"/>
      <c r="C521" s="231"/>
      <c r="D521" s="231"/>
      <c r="E521" s="231"/>
      <c r="F521" s="231"/>
      <c r="G521" s="231"/>
      <c r="H521" s="231"/>
      <c r="I521" s="231"/>
      <c r="J521" s="231"/>
      <c r="K521" s="231"/>
      <c r="L521" s="231"/>
      <c r="M521" s="231"/>
      <c r="N521" s="231"/>
      <c r="O521" s="231"/>
      <c r="P521" s="231"/>
      <c r="Q521" s="231"/>
      <c r="R521" s="231"/>
      <c r="S521" s="231"/>
      <c r="T521" s="231"/>
      <c r="U521" s="231"/>
      <c r="V521" s="231"/>
      <c r="W521" s="231"/>
      <c r="X521" s="231"/>
      <c r="Y521" s="231"/>
      <c r="Z521" s="231"/>
    </row>
    <row r="522">
      <c r="A522" s="231"/>
      <c r="B522" s="231"/>
      <c r="C522" s="231"/>
      <c r="D522" s="231"/>
      <c r="E522" s="231"/>
      <c r="F522" s="231"/>
      <c r="G522" s="231"/>
      <c r="H522" s="231"/>
      <c r="I522" s="231"/>
      <c r="J522" s="231"/>
      <c r="K522" s="231"/>
      <c r="L522" s="231"/>
      <c r="M522" s="231"/>
      <c r="N522" s="231"/>
      <c r="O522" s="231"/>
      <c r="P522" s="231"/>
      <c r="Q522" s="231"/>
      <c r="R522" s="231"/>
      <c r="S522" s="231"/>
      <c r="T522" s="231"/>
      <c r="U522" s="231"/>
      <c r="V522" s="231"/>
      <c r="W522" s="231"/>
      <c r="X522" s="231"/>
      <c r="Y522" s="231"/>
      <c r="Z522" s="231"/>
    </row>
    <row r="523">
      <c r="A523" s="231"/>
      <c r="B523" s="231"/>
      <c r="C523" s="231"/>
      <c r="D523" s="231"/>
      <c r="E523" s="231"/>
      <c r="F523" s="231"/>
      <c r="G523" s="231"/>
      <c r="H523" s="231"/>
      <c r="I523" s="231"/>
      <c r="J523" s="231"/>
      <c r="K523" s="231"/>
      <c r="L523" s="231"/>
      <c r="M523" s="231"/>
      <c r="N523" s="231"/>
      <c r="O523" s="231"/>
      <c r="P523" s="231"/>
      <c r="Q523" s="231"/>
      <c r="R523" s="231"/>
      <c r="S523" s="231"/>
      <c r="T523" s="231"/>
      <c r="U523" s="231"/>
      <c r="V523" s="231"/>
      <c r="W523" s="231"/>
      <c r="X523" s="231"/>
      <c r="Y523" s="231"/>
      <c r="Z523" s="231"/>
    </row>
    <row r="524">
      <c r="A524" s="231"/>
      <c r="B524" s="231"/>
      <c r="C524" s="231"/>
      <c r="D524" s="231"/>
      <c r="E524" s="231"/>
      <c r="F524" s="231"/>
      <c r="G524" s="231"/>
      <c r="H524" s="231"/>
      <c r="I524" s="231"/>
      <c r="J524" s="231"/>
      <c r="K524" s="231"/>
      <c r="L524" s="231"/>
      <c r="M524" s="231"/>
      <c r="N524" s="231"/>
      <c r="O524" s="231"/>
      <c r="P524" s="231"/>
      <c r="Q524" s="231"/>
      <c r="R524" s="231"/>
      <c r="S524" s="231"/>
      <c r="T524" s="231"/>
      <c r="U524" s="231"/>
      <c r="V524" s="231"/>
      <c r="W524" s="231"/>
      <c r="X524" s="231"/>
      <c r="Y524" s="231"/>
      <c r="Z524" s="231"/>
    </row>
    <row r="525">
      <c r="A525" s="231"/>
      <c r="B525" s="231"/>
      <c r="C525" s="231"/>
      <c r="D525" s="231"/>
      <c r="E525" s="231"/>
      <c r="F525" s="231"/>
      <c r="G525" s="231"/>
      <c r="H525" s="231"/>
      <c r="I525" s="231"/>
      <c r="J525" s="231"/>
      <c r="K525" s="231"/>
      <c r="L525" s="231"/>
      <c r="M525" s="231"/>
      <c r="N525" s="231"/>
      <c r="O525" s="231"/>
      <c r="P525" s="231"/>
      <c r="Q525" s="231"/>
      <c r="R525" s="231"/>
      <c r="S525" s="231"/>
      <c r="T525" s="231"/>
      <c r="U525" s="231"/>
      <c r="V525" s="231"/>
      <c r="W525" s="231"/>
      <c r="X525" s="231"/>
      <c r="Y525" s="231"/>
      <c r="Z525" s="231"/>
    </row>
    <row r="526">
      <c r="A526" s="231"/>
      <c r="B526" s="231"/>
      <c r="C526" s="231"/>
      <c r="D526" s="231"/>
      <c r="E526" s="231"/>
      <c r="F526" s="231"/>
      <c r="G526" s="231"/>
      <c r="H526" s="231"/>
      <c r="I526" s="231"/>
      <c r="J526" s="231"/>
      <c r="K526" s="231"/>
      <c r="L526" s="231"/>
      <c r="M526" s="231"/>
      <c r="N526" s="231"/>
      <c r="O526" s="231"/>
      <c r="P526" s="231"/>
      <c r="Q526" s="231"/>
      <c r="R526" s="231"/>
      <c r="S526" s="231"/>
      <c r="T526" s="231"/>
      <c r="U526" s="231"/>
      <c r="V526" s="231"/>
      <c r="W526" s="231"/>
      <c r="X526" s="231"/>
      <c r="Y526" s="231"/>
      <c r="Z526" s="231"/>
    </row>
    <row r="527">
      <c r="A527" s="231"/>
      <c r="B527" s="231"/>
      <c r="C527" s="231"/>
      <c r="D527" s="231"/>
      <c r="E527" s="231"/>
      <c r="F527" s="231"/>
      <c r="G527" s="231"/>
      <c r="H527" s="231"/>
      <c r="I527" s="231"/>
      <c r="J527" s="231"/>
      <c r="K527" s="231"/>
      <c r="L527" s="231"/>
      <c r="M527" s="231"/>
      <c r="N527" s="231"/>
      <c r="O527" s="231"/>
      <c r="P527" s="231"/>
      <c r="Q527" s="231"/>
      <c r="R527" s="231"/>
      <c r="S527" s="231"/>
      <c r="T527" s="231"/>
      <c r="U527" s="231"/>
      <c r="V527" s="231"/>
      <c r="W527" s="231"/>
      <c r="X527" s="231"/>
      <c r="Y527" s="231"/>
      <c r="Z527" s="231"/>
    </row>
    <row r="528">
      <c r="A528" s="231"/>
      <c r="B528" s="231"/>
      <c r="C528" s="231"/>
      <c r="D528" s="231"/>
      <c r="E528" s="231"/>
      <c r="F528" s="231"/>
      <c r="G528" s="231"/>
      <c r="H528" s="231"/>
      <c r="I528" s="231"/>
      <c r="J528" s="231"/>
      <c r="K528" s="231"/>
      <c r="L528" s="231"/>
      <c r="M528" s="231"/>
      <c r="N528" s="231"/>
      <c r="O528" s="231"/>
      <c r="P528" s="231"/>
      <c r="Q528" s="231"/>
      <c r="R528" s="231"/>
      <c r="S528" s="231"/>
      <c r="T528" s="231"/>
      <c r="U528" s="231"/>
      <c r="V528" s="231"/>
      <c r="W528" s="231"/>
      <c r="X528" s="231"/>
      <c r="Y528" s="231"/>
      <c r="Z528" s="231"/>
    </row>
    <row r="529">
      <c r="A529" s="231"/>
      <c r="B529" s="231"/>
      <c r="C529" s="231"/>
      <c r="D529" s="231"/>
      <c r="E529" s="231"/>
      <c r="F529" s="231"/>
      <c r="G529" s="231"/>
      <c r="H529" s="231"/>
      <c r="I529" s="231"/>
      <c r="J529" s="231"/>
      <c r="K529" s="231"/>
      <c r="L529" s="231"/>
      <c r="M529" s="231"/>
      <c r="N529" s="231"/>
      <c r="O529" s="231"/>
      <c r="P529" s="231"/>
      <c r="Q529" s="231"/>
      <c r="R529" s="231"/>
      <c r="S529" s="231"/>
      <c r="T529" s="231"/>
      <c r="U529" s="231"/>
      <c r="V529" s="231"/>
      <c r="W529" s="231"/>
      <c r="X529" s="231"/>
      <c r="Y529" s="231"/>
      <c r="Z529" s="231"/>
    </row>
    <row r="530">
      <c r="A530" s="231"/>
      <c r="B530" s="231"/>
      <c r="C530" s="231"/>
      <c r="D530" s="231"/>
      <c r="E530" s="231"/>
      <c r="F530" s="231"/>
      <c r="G530" s="231"/>
      <c r="H530" s="231"/>
      <c r="I530" s="231"/>
      <c r="J530" s="231"/>
      <c r="K530" s="231"/>
      <c r="L530" s="231"/>
      <c r="M530" s="231"/>
      <c r="N530" s="231"/>
      <c r="O530" s="231"/>
      <c r="P530" s="231"/>
      <c r="Q530" s="231"/>
      <c r="R530" s="231"/>
      <c r="S530" s="231"/>
      <c r="T530" s="231"/>
      <c r="U530" s="231"/>
      <c r="V530" s="231"/>
      <c r="W530" s="231"/>
      <c r="X530" s="231"/>
      <c r="Y530" s="231"/>
      <c r="Z530" s="231"/>
    </row>
    <row r="531">
      <c r="A531" s="231"/>
      <c r="B531" s="231"/>
      <c r="C531" s="231"/>
      <c r="D531" s="231"/>
      <c r="E531" s="231"/>
      <c r="F531" s="231"/>
      <c r="G531" s="231"/>
      <c r="H531" s="231"/>
      <c r="I531" s="231"/>
      <c r="J531" s="231"/>
      <c r="K531" s="231"/>
      <c r="L531" s="231"/>
      <c r="M531" s="231"/>
      <c r="N531" s="231"/>
      <c r="O531" s="231"/>
      <c r="P531" s="231"/>
      <c r="Q531" s="231"/>
      <c r="R531" s="231"/>
      <c r="S531" s="231"/>
      <c r="T531" s="231"/>
      <c r="U531" s="231"/>
      <c r="V531" s="231"/>
      <c r="W531" s="231"/>
      <c r="X531" s="231"/>
      <c r="Y531" s="231"/>
      <c r="Z531" s="231"/>
    </row>
    <row r="532">
      <c r="A532" s="231"/>
      <c r="B532" s="231"/>
      <c r="C532" s="231"/>
      <c r="D532" s="231"/>
      <c r="E532" s="231"/>
      <c r="F532" s="231"/>
      <c r="G532" s="231"/>
      <c r="H532" s="231"/>
      <c r="I532" s="231"/>
      <c r="J532" s="231"/>
      <c r="K532" s="231"/>
      <c r="L532" s="231"/>
      <c r="M532" s="231"/>
      <c r="N532" s="231"/>
      <c r="O532" s="231"/>
      <c r="P532" s="231"/>
      <c r="Q532" s="231"/>
      <c r="R532" s="231"/>
      <c r="S532" s="231"/>
      <c r="T532" s="231"/>
      <c r="U532" s="231"/>
      <c r="V532" s="231"/>
      <c r="W532" s="231"/>
      <c r="X532" s="231"/>
      <c r="Y532" s="231"/>
      <c r="Z532" s="231"/>
    </row>
    <row r="533">
      <c r="A533" s="231"/>
      <c r="B533" s="231"/>
      <c r="C533" s="231"/>
      <c r="D533" s="231"/>
      <c r="E533" s="231"/>
      <c r="F533" s="231"/>
      <c r="G533" s="231"/>
      <c r="H533" s="231"/>
      <c r="I533" s="231"/>
      <c r="J533" s="231"/>
      <c r="K533" s="231"/>
      <c r="L533" s="231"/>
      <c r="M533" s="231"/>
      <c r="N533" s="231"/>
      <c r="O533" s="231"/>
      <c r="P533" s="231"/>
      <c r="Q533" s="231"/>
      <c r="R533" s="231"/>
      <c r="S533" s="231"/>
      <c r="T533" s="231"/>
      <c r="U533" s="231"/>
      <c r="V533" s="231"/>
      <c r="W533" s="231"/>
      <c r="X533" s="231"/>
      <c r="Y533" s="231"/>
      <c r="Z533" s="231"/>
    </row>
    <row r="534">
      <c r="A534" s="231"/>
      <c r="B534" s="231"/>
      <c r="C534" s="231"/>
      <c r="D534" s="231"/>
      <c r="E534" s="231"/>
      <c r="F534" s="231"/>
      <c r="G534" s="231"/>
      <c r="H534" s="231"/>
      <c r="I534" s="231"/>
      <c r="J534" s="231"/>
      <c r="K534" s="231"/>
      <c r="L534" s="231"/>
      <c r="M534" s="231"/>
      <c r="N534" s="231"/>
      <c r="O534" s="231"/>
      <c r="P534" s="231"/>
      <c r="Q534" s="231"/>
      <c r="R534" s="231"/>
      <c r="S534" s="231"/>
      <c r="T534" s="231"/>
      <c r="U534" s="231"/>
      <c r="V534" s="231"/>
      <c r="W534" s="231"/>
      <c r="X534" s="231"/>
      <c r="Y534" s="231"/>
      <c r="Z534" s="231"/>
    </row>
    <row r="535">
      <c r="A535" s="231"/>
      <c r="B535" s="231"/>
      <c r="C535" s="231"/>
      <c r="D535" s="231"/>
      <c r="E535" s="231"/>
      <c r="F535" s="231"/>
      <c r="G535" s="231"/>
      <c r="H535" s="231"/>
      <c r="I535" s="231"/>
      <c r="J535" s="231"/>
      <c r="K535" s="231"/>
      <c r="L535" s="231"/>
      <c r="M535" s="231"/>
      <c r="N535" s="231"/>
      <c r="O535" s="231"/>
      <c r="P535" s="231"/>
      <c r="Q535" s="231"/>
      <c r="R535" s="231"/>
      <c r="S535" s="231"/>
      <c r="T535" s="231"/>
      <c r="U535" s="231"/>
      <c r="V535" s="231"/>
      <c r="W535" s="231"/>
      <c r="X535" s="231"/>
      <c r="Y535" s="231"/>
      <c r="Z535" s="231"/>
    </row>
    <row r="536">
      <c r="A536" s="231"/>
      <c r="B536" s="231"/>
      <c r="C536" s="231"/>
      <c r="D536" s="231"/>
      <c r="E536" s="231"/>
      <c r="F536" s="231"/>
      <c r="G536" s="231"/>
      <c r="H536" s="231"/>
      <c r="I536" s="231"/>
      <c r="J536" s="231"/>
      <c r="K536" s="231"/>
      <c r="L536" s="231"/>
      <c r="M536" s="231"/>
      <c r="N536" s="231"/>
      <c r="O536" s="231"/>
      <c r="P536" s="231"/>
      <c r="Q536" s="231"/>
      <c r="R536" s="231"/>
      <c r="S536" s="231"/>
      <c r="T536" s="231"/>
      <c r="U536" s="231"/>
      <c r="V536" s="231"/>
      <c r="W536" s="231"/>
      <c r="X536" s="231"/>
      <c r="Y536" s="231"/>
      <c r="Z536" s="231"/>
    </row>
    <row r="537">
      <c r="A537" s="231"/>
      <c r="B537" s="231"/>
      <c r="C537" s="231"/>
      <c r="D537" s="231"/>
      <c r="E537" s="231"/>
      <c r="F537" s="231"/>
      <c r="G537" s="231"/>
      <c r="H537" s="231"/>
      <c r="I537" s="231"/>
      <c r="J537" s="231"/>
      <c r="K537" s="231"/>
      <c r="L537" s="231"/>
      <c r="M537" s="231"/>
      <c r="N537" s="231"/>
      <c r="O537" s="231"/>
      <c r="P537" s="231"/>
      <c r="Q537" s="231"/>
      <c r="R537" s="231"/>
      <c r="S537" s="231"/>
      <c r="T537" s="231"/>
      <c r="U537" s="231"/>
      <c r="V537" s="231"/>
      <c r="W537" s="231"/>
      <c r="X537" s="231"/>
      <c r="Y537" s="231"/>
      <c r="Z537" s="231"/>
    </row>
    <row r="538">
      <c r="A538" s="231"/>
      <c r="B538" s="231"/>
      <c r="C538" s="231"/>
      <c r="D538" s="231"/>
      <c r="E538" s="231"/>
      <c r="F538" s="231"/>
      <c r="G538" s="231"/>
      <c r="H538" s="231"/>
      <c r="I538" s="231"/>
      <c r="J538" s="231"/>
      <c r="K538" s="231"/>
      <c r="L538" s="231"/>
      <c r="M538" s="231"/>
      <c r="N538" s="231"/>
      <c r="O538" s="231"/>
      <c r="P538" s="231"/>
      <c r="Q538" s="231"/>
      <c r="R538" s="231"/>
      <c r="S538" s="231"/>
      <c r="T538" s="231"/>
      <c r="U538" s="231"/>
      <c r="V538" s="231"/>
      <c r="W538" s="231"/>
      <c r="X538" s="231"/>
      <c r="Y538" s="231"/>
      <c r="Z538" s="231"/>
    </row>
    <row r="539">
      <c r="A539" s="231"/>
      <c r="B539" s="231"/>
      <c r="C539" s="231"/>
      <c r="D539" s="231"/>
      <c r="E539" s="231"/>
      <c r="F539" s="231"/>
      <c r="G539" s="231"/>
      <c r="H539" s="231"/>
      <c r="I539" s="231"/>
      <c r="J539" s="231"/>
      <c r="K539" s="231"/>
      <c r="L539" s="231"/>
      <c r="M539" s="231"/>
      <c r="N539" s="231"/>
      <c r="O539" s="231"/>
      <c r="P539" s="231"/>
      <c r="Q539" s="231"/>
      <c r="R539" s="231"/>
      <c r="S539" s="231"/>
      <c r="T539" s="231"/>
      <c r="U539" s="231"/>
      <c r="V539" s="231"/>
      <c r="W539" s="231"/>
      <c r="X539" s="231"/>
      <c r="Y539" s="231"/>
      <c r="Z539" s="231"/>
    </row>
    <row r="540">
      <c r="A540" s="231"/>
      <c r="B540" s="231"/>
      <c r="C540" s="231"/>
      <c r="D540" s="231"/>
      <c r="E540" s="231"/>
      <c r="F540" s="231"/>
      <c r="G540" s="231"/>
      <c r="H540" s="231"/>
      <c r="I540" s="231"/>
      <c r="J540" s="231"/>
      <c r="K540" s="231"/>
      <c r="L540" s="231"/>
      <c r="M540" s="231"/>
      <c r="N540" s="231"/>
      <c r="O540" s="231"/>
      <c r="P540" s="231"/>
      <c r="Q540" s="231"/>
      <c r="R540" s="231"/>
      <c r="S540" s="231"/>
      <c r="T540" s="231"/>
      <c r="U540" s="231"/>
      <c r="V540" s="231"/>
      <c r="W540" s="231"/>
      <c r="X540" s="231"/>
      <c r="Y540" s="231"/>
      <c r="Z540" s="231"/>
    </row>
    <row r="541">
      <c r="A541" s="231"/>
      <c r="B541" s="231"/>
      <c r="C541" s="231"/>
      <c r="D541" s="231"/>
      <c r="E541" s="231"/>
      <c r="F541" s="231"/>
      <c r="G541" s="231"/>
      <c r="H541" s="231"/>
      <c r="I541" s="231"/>
      <c r="J541" s="231"/>
      <c r="K541" s="231"/>
      <c r="L541" s="231"/>
      <c r="M541" s="231"/>
      <c r="N541" s="231"/>
      <c r="O541" s="231"/>
      <c r="P541" s="231"/>
      <c r="Q541" s="231"/>
      <c r="R541" s="231"/>
      <c r="S541" s="231"/>
      <c r="T541" s="231"/>
      <c r="U541" s="231"/>
      <c r="V541" s="231"/>
      <c r="W541" s="231"/>
      <c r="X541" s="231"/>
      <c r="Y541" s="231"/>
      <c r="Z541" s="231"/>
    </row>
    <row r="542">
      <c r="A542" s="231"/>
      <c r="B542" s="231"/>
      <c r="C542" s="231"/>
      <c r="D542" s="231"/>
      <c r="E542" s="231"/>
      <c r="F542" s="231"/>
      <c r="G542" s="231"/>
      <c r="H542" s="231"/>
      <c r="I542" s="231"/>
      <c r="J542" s="231"/>
      <c r="K542" s="231"/>
      <c r="L542" s="231"/>
      <c r="M542" s="231"/>
      <c r="N542" s="231"/>
      <c r="O542" s="231"/>
      <c r="P542" s="231"/>
      <c r="Q542" s="231"/>
      <c r="R542" s="231"/>
      <c r="S542" s="231"/>
      <c r="T542" s="231"/>
      <c r="U542" s="231"/>
      <c r="V542" s="231"/>
      <c r="W542" s="231"/>
      <c r="X542" s="231"/>
      <c r="Y542" s="231"/>
      <c r="Z542" s="231"/>
    </row>
    <row r="543">
      <c r="A543" s="231"/>
      <c r="B543" s="231"/>
      <c r="C543" s="231"/>
      <c r="D543" s="231"/>
      <c r="E543" s="231"/>
      <c r="F543" s="231"/>
      <c r="G543" s="231"/>
      <c r="H543" s="231"/>
      <c r="I543" s="231"/>
      <c r="J543" s="231"/>
      <c r="K543" s="231"/>
      <c r="L543" s="231"/>
      <c r="M543" s="231"/>
      <c r="N543" s="231"/>
      <c r="O543" s="231"/>
      <c r="P543" s="231"/>
      <c r="Q543" s="231"/>
      <c r="R543" s="231"/>
      <c r="S543" s="231"/>
      <c r="T543" s="231"/>
      <c r="U543" s="231"/>
      <c r="V543" s="231"/>
      <c r="W543" s="231"/>
      <c r="X543" s="231"/>
      <c r="Y543" s="231"/>
      <c r="Z543" s="231"/>
    </row>
    <row r="544">
      <c r="A544" s="231"/>
      <c r="B544" s="231"/>
      <c r="C544" s="231"/>
      <c r="D544" s="231"/>
      <c r="E544" s="231"/>
      <c r="F544" s="231"/>
      <c r="G544" s="231"/>
      <c r="H544" s="231"/>
      <c r="I544" s="231"/>
      <c r="J544" s="231"/>
      <c r="K544" s="231"/>
      <c r="L544" s="231"/>
      <c r="M544" s="231"/>
      <c r="N544" s="231"/>
      <c r="O544" s="231"/>
      <c r="P544" s="231"/>
      <c r="Q544" s="231"/>
      <c r="R544" s="231"/>
      <c r="S544" s="231"/>
      <c r="T544" s="231"/>
      <c r="U544" s="231"/>
      <c r="V544" s="231"/>
      <c r="W544" s="231"/>
      <c r="X544" s="231"/>
      <c r="Y544" s="231"/>
      <c r="Z544" s="231"/>
    </row>
    <row r="545">
      <c r="A545" s="231"/>
      <c r="B545" s="231"/>
      <c r="C545" s="231"/>
      <c r="D545" s="231"/>
      <c r="E545" s="231"/>
      <c r="F545" s="231"/>
      <c r="G545" s="231"/>
      <c r="H545" s="231"/>
      <c r="I545" s="231"/>
      <c r="J545" s="231"/>
      <c r="K545" s="231"/>
      <c r="L545" s="231"/>
      <c r="M545" s="231"/>
      <c r="N545" s="231"/>
      <c r="O545" s="231"/>
      <c r="P545" s="231"/>
      <c r="Q545" s="231"/>
      <c r="R545" s="231"/>
      <c r="S545" s="231"/>
      <c r="T545" s="231"/>
      <c r="U545" s="231"/>
      <c r="V545" s="231"/>
      <c r="W545" s="231"/>
      <c r="X545" s="231"/>
      <c r="Y545" s="231"/>
      <c r="Z545" s="231"/>
    </row>
    <row r="546">
      <c r="A546" s="231"/>
      <c r="B546" s="231"/>
      <c r="C546" s="231"/>
      <c r="D546" s="231"/>
      <c r="E546" s="231"/>
      <c r="F546" s="231"/>
      <c r="G546" s="231"/>
      <c r="H546" s="231"/>
      <c r="I546" s="231"/>
      <c r="J546" s="231"/>
      <c r="K546" s="231"/>
      <c r="L546" s="231"/>
      <c r="M546" s="231"/>
      <c r="N546" s="231"/>
      <c r="O546" s="231"/>
      <c r="P546" s="231"/>
      <c r="Q546" s="231"/>
      <c r="R546" s="231"/>
      <c r="S546" s="231"/>
      <c r="T546" s="231"/>
      <c r="U546" s="231"/>
      <c r="V546" s="231"/>
      <c r="W546" s="231"/>
      <c r="X546" s="231"/>
      <c r="Y546" s="231"/>
      <c r="Z546" s="231"/>
    </row>
    <row r="547">
      <c r="A547" s="231"/>
      <c r="B547" s="231"/>
      <c r="C547" s="231"/>
      <c r="D547" s="231"/>
      <c r="E547" s="231"/>
      <c r="F547" s="231"/>
      <c r="G547" s="231"/>
      <c r="H547" s="231"/>
      <c r="I547" s="231"/>
      <c r="J547" s="231"/>
      <c r="K547" s="231"/>
      <c r="L547" s="231"/>
      <c r="M547" s="231"/>
      <c r="N547" s="231"/>
      <c r="O547" s="231"/>
      <c r="P547" s="231"/>
      <c r="Q547" s="231"/>
      <c r="R547" s="231"/>
      <c r="S547" s="231"/>
      <c r="T547" s="231"/>
      <c r="U547" s="231"/>
      <c r="V547" s="231"/>
      <c r="W547" s="231"/>
      <c r="X547" s="231"/>
      <c r="Y547" s="231"/>
      <c r="Z547" s="231"/>
    </row>
    <row r="548">
      <c r="A548" s="231"/>
      <c r="B548" s="231"/>
      <c r="C548" s="231"/>
      <c r="D548" s="231"/>
      <c r="E548" s="231"/>
      <c r="F548" s="231"/>
      <c r="G548" s="231"/>
      <c r="H548" s="231"/>
      <c r="I548" s="231"/>
      <c r="J548" s="231"/>
      <c r="K548" s="231"/>
      <c r="L548" s="231"/>
      <c r="M548" s="231"/>
      <c r="N548" s="231"/>
      <c r="O548" s="231"/>
      <c r="P548" s="231"/>
      <c r="Q548" s="231"/>
      <c r="R548" s="231"/>
      <c r="S548" s="231"/>
      <c r="T548" s="231"/>
      <c r="U548" s="231"/>
      <c r="V548" s="231"/>
      <c r="W548" s="231"/>
      <c r="X548" s="231"/>
      <c r="Y548" s="231"/>
      <c r="Z548" s="231"/>
    </row>
    <row r="549">
      <c r="A549" s="231"/>
      <c r="B549" s="231"/>
      <c r="C549" s="231"/>
      <c r="D549" s="231"/>
      <c r="E549" s="231"/>
      <c r="F549" s="231"/>
      <c r="G549" s="231"/>
      <c r="H549" s="231"/>
      <c r="I549" s="231"/>
      <c r="J549" s="231"/>
      <c r="K549" s="231"/>
      <c r="L549" s="231"/>
      <c r="M549" s="231"/>
      <c r="N549" s="231"/>
      <c r="O549" s="231"/>
      <c r="P549" s="231"/>
      <c r="Q549" s="231"/>
      <c r="R549" s="231"/>
      <c r="S549" s="231"/>
      <c r="T549" s="231"/>
      <c r="U549" s="231"/>
      <c r="V549" s="231"/>
      <c r="W549" s="231"/>
      <c r="X549" s="231"/>
      <c r="Y549" s="231"/>
      <c r="Z549" s="231"/>
    </row>
    <row r="550">
      <c r="A550" s="231"/>
      <c r="B550" s="231"/>
      <c r="C550" s="231"/>
      <c r="D550" s="231"/>
      <c r="E550" s="231"/>
      <c r="F550" s="231"/>
      <c r="G550" s="231"/>
      <c r="H550" s="231"/>
      <c r="I550" s="231"/>
      <c r="J550" s="231"/>
      <c r="K550" s="231"/>
      <c r="L550" s="231"/>
      <c r="M550" s="231"/>
      <c r="N550" s="231"/>
      <c r="O550" s="231"/>
      <c r="P550" s="231"/>
      <c r="Q550" s="231"/>
      <c r="R550" s="231"/>
      <c r="S550" s="231"/>
      <c r="T550" s="231"/>
      <c r="U550" s="231"/>
      <c r="V550" s="231"/>
      <c r="W550" s="231"/>
      <c r="X550" s="231"/>
      <c r="Y550" s="231"/>
      <c r="Z550" s="231"/>
    </row>
    <row r="551">
      <c r="A551" s="231"/>
      <c r="B551" s="231"/>
      <c r="C551" s="231"/>
      <c r="D551" s="231"/>
      <c r="E551" s="231"/>
      <c r="F551" s="231"/>
      <c r="G551" s="231"/>
      <c r="H551" s="231"/>
      <c r="I551" s="231"/>
      <c r="J551" s="231"/>
      <c r="K551" s="231"/>
      <c r="L551" s="231"/>
      <c r="M551" s="231"/>
      <c r="N551" s="231"/>
      <c r="O551" s="231"/>
      <c r="P551" s="231"/>
      <c r="Q551" s="231"/>
      <c r="R551" s="231"/>
      <c r="S551" s="231"/>
      <c r="T551" s="231"/>
      <c r="U551" s="231"/>
      <c r="V551" s="231"/>
      <c r="W551" s="231"/>
      <c r="X551" s="231"/>
      <c r="Y551" s="231"/>
      <c r="Z551" s="231"/>
    </row>
    <row r="552">
      <c r="A552" s="231"/>
      <c r="B552" s="231"/>
      <c r="C552" s="231"/>
      <c r="D552" s="231"/>
      <c r="E552" s="231"/>
      <c r="F552" s="231"/>
      <c r="G552" s="231"/>
      <c r="H552" s="231"/>
      <c r="I552" s="231"/>
      <c r="J552" s="231"/>
      <c r="K552" s="231"/>
      <c r="L552" s="231"/>
      <c r="M552" s="231"/>
      <c r="N552" s="231"/>
      <c r="O552" s="231"/>
      <c r="P552" s="231"/>
      <c r="Q552" s="231"/>
      <c r="R552" s="231"/>
      <c r="S552" s="231"/>
      <c r="T552" s="231"/>
      <c r="U552" s="231"/>
      <c r="V552" s="231"/>
      <c r="W552" s="231"/>
      <c r="X552" s="231"/>
      <c r="Y552" s="231"/>
      <c r="Z552" s="231"/>
    </row>
    <row r="553">
      <c r="A553" s="231"/>
      <c r="B553" s="231"/>
      <c r="C553" s="231"/>
      <c r="D553" s="231"/>
      <c r="E553" s="231"/>
      <c r="F553" s="231"/>
      <c r="G553" s="231"/>
      <c r="H553" s="231"/>
      <c r="I553" s="231"/>
      <c r="J553" s="231"/>
      <c r="K553" s="231"/>
      <c r="L553" s="231"/>
      <c r="M553" s="231"/>
      <c r="N553" s="231"/>
      <c r="O553" s="231"/>
      <c r="P553" s="231"/>
      <c r="Q553" s="231"/>
      <c r="R553" s="231"/>
      <c r="S553" s="231"/>
      <c r="T553" s="231"/>
      <c r="U553" s="231"/>
      <c r="V553" s="231"/>
      <c r="W553" s="231"/>
      <c r="X553" s="231"/>
      <c r="Y553" s="231"/>
      <c r="Z553" s="231"/>
    </row>
    <row r="554">
      <c r="A554" s="231"/>
      <c r="B554" s="231"/>
      <c r="C554" s="231"/>
      <c r="D554" s="231"/>
      <c r="E554" s="231"/>
      <c r="F554" s="231"/>
      <c r="G554" s="231"/>
      <c r="H554" s="231"/>
      <c r="I554" s="231"/>
      <c r="J554" s="231"/>
      <c r="K554" s="231"/>
      <c r="L554" s="231"/>
      <c r="M554" s="231"/>
      <c r="N554" s="231"/>
      <c r="O554" s="231"/>
      <c r="P554" s="231"/>
      <c r="Q554" s="231"/>
      <c r="R554" s="231"/>
      <c r="S554" s="231"/>
      <c r="T554" s="231"/>
      <c r="U554" s="231"/>
      <c r="V554" s="231"/>
      <c r="W554" s="231"/>
      <c r="X554" s="231"/>
      <c r="Y554" s="231"/>
      <c r="Z554" s="231"/>
    </row>
    <row r="555">
      <c r="A555" s="231"/>
      <c r="B555" s="231"/>
      <c r="C555" s="231"/>
      <c r="D555" s="231"/>
      <c r="E555" s="231"/>
      <c r="F555" s="231"/>
      <c r="G555" s="231"/>
      <c r="H555" s="231"/>
      <c r="I555" s="231"/>
      <c r="J555" s="231"/>
      <c r="K555" s="231"/>
      <c r="L555" s="231"/>
      <c r="M555" s="231"/>
      <c r="N555" s="231"/>
      <c r="O555" s="231"/>
      <c r="P555" s="231"/>
      <c r="Q555" s="231"/>
      <c r="R555" s="231"/>
      <c r="S555" s="231"/>
      <c r="T555" s="231"/>
      <c r="U555" s="231"/>
      <c r="V555" s="231"/>
      <c r="W555" s="231"/>
      <c r="X555" s="231"/>
      <c r="Y555" s="231"/>
      <c r="Z555" s="231"/>
    </row>
    <row r="556">
      <c r="A556" s="231"/>
      <c r="B556" s="231"/>
      <c r="C556" s="231"/>
      <c r="D556" s="231"/>
      <c r="E556" s="231"/>
      <c r="F556" s="231"/>
      <c r="G556" s="231"/>
      <c r="H556" s="231"/>
      <c r="I556" s="231"/>
      <c r="J556" s="231"/>
      <c r="K556" s="231"/>
      <c r="L556" s="231"/>
      <c r="M556" s="231"/>
      <c r="N556" s="231"/>
      <c r="O556" s="231"/>
      <c r="P556" s="231"/>
      <c r="Q556" s="231"/>
      <c r="R556" s="231"/>
      <c r="S556" s="231"/>
      <c r="T556" s="231"/>
      <c r="U556" s="231"/>
      <c r="V556" s="231"/>
      <c r="W556" s="231"/>
      <c r="X556" s="231"/>
      <c r="Y556" s="231"/>
      <c r="Z556" s="231"/>
    </row>
    <row r="557">
      <c r="A557" s="231"/>
      <c r="B557" s="231"/>
      <c r="C557" s="231"/>
      <c r="D557" s="231"/>
      <c r="E557" s="231"/>
      <c r="F557" s="231"/>
      <c r="G557" s="231"/>
      <c r="H557" s="231"/>
      <c r="I557" s="231"/>
      <c r="J557" s="231"/>
      <c r="K557" s="231"/>
      <c r="L557" s="231"/>
      <c r="M557" s="231"/>
      <c r="N557" s="231"/>
      <c r="O557" s="231"/>
      <c r="P557" s="231"/>
      <c r="Q557" s="231"/>
      <c r="R557" s="231"/>
      <c r="S557" s="231"/>
      <c r="T557" s="231"/>
      <c r="U557" s="231"/>
      <c r="V557" s="231"/>
      <c r="W557" s="231"/>
      <c r="X557" s="231"/>
      <c r="Y557" s="231"/>
      <c r="Z557" s="231"/>
    </row>
    <row r="558">
      <c r="A558" s="231"/>
      <c r="B558" s="231"/>
      <c r="C558" s="231"/>
      <c r="D558" s="231"/>
      <c r="E558" s="231"/>
      <c r="F558" s="231"/>
      <c r="G558" s="231"/>
      <c r="H558" s="231"/>
      <c r="I558" s="231"/>
      <c r="J558" s="231"/>
      <c r="K558" s="231"/>
      <c r="L558" s="231"/>
      <c r="M558" s="231"/>
      <c r="N558" s="231"/>
      <c r="O558" s="231"/>
      <c r="P558" s="231"/>
      <c r="Q558" s="231"/>
      <c r="R558" s="231"/>
      <c r="S558" s="231"/>
      <c r="T558" s="231"/>
      <c r="U558" s="231"/>
      <c r="V558" s="231"/>
      <c r="W558" s="231"/>
      <c r="X558" s="231"/>
      <c r="Y558" s="231"/>
      <c r="Z558" s="231"/>
    </row>
    <row r="559">
      <c r="A559" s="231"/>
      <c r="B559" s="231"/>
      <c r="C559" s="231"/>
      <c r="D559" s="231"/>
      <c r="E559" s="231"/>
      <c r="F559" s="231"/>
      <c r="G559" s="231"/>
      <c r="H559" s="231"/>
      <c r="I559" s="231"/>
      <c r="J559" s="231"/>
      <c r="K559" s="231"/>
      <c r="L559" s="231"/>
      <c r="M559" s="231"/>
      <c r="N559" s="231"/>
      <c r="O559" s="231"/>
      <c r="P559" s="231"/>
      <c r="Q559" s="231"/>
      <c r="R559" s="231"/>
      <c r="S559" s="231"/>
      <c r="T559" s="231"/>
      <c r="U559" s="231"/>
      <c r="V559" s="231"/>
      <c r="W559" s="231"/>
      <c r="X559" s="231"/>
      <c r="Y559" s="231"/>
      <c r="Z559" s="231"/>
    </row>
    <row r="560">
      <c r="A560" s="231"/>
      <c r="B560" s="231"/>
      <c r="C560" s="231"/>
      <c r="D560" s="231"/>
      <c r="E560" s="231"/>
      <c r="F560" s="231"/>
      <c r="G560" s="231"/>
      <c r="H560" s="231"/>
      <c r="I560" s="231"/>
      <c r="J560" s="231"/>
      <c r="K560" s="231"/>
      <c r="L560" s="231"/>
      <c r="M560" s="231"/>
      <c r="N560" s="231"/>
      <c r="O560" s="231"/>
      <c r="P560" s="231"/>
      <c r="Q560" s="231"/>
      <c r="R560" s="231"/>
      <c r="S560" s="231"/>
      <c r="T560" s="231"/>
      <c r="U560" s="231"/>
      <c r="V560" s="231"/>
      <c r="W560" s="231"/>
      <c r="X560" s="231"/>
      <c r="Y560" s="231"/>
      <c r="Z560" s="231"/>
    </row>
    <row r="561">
      <c r="A561" s="231"/>
      <c r="B561" s="231"/>
      <c r="C561" s="231"/>
      <c r="D561" s="231"/>
      <c r="E561" s="231"/>
      <c r="F561" s="231"/>
      <c r="G561" s="231"/>
      <c r="H561" s="231"/>
      <c r="I561" s="231"/>
      <c r="J561" s="231"/>
      <c r="K561" s="231"/>
      <c r="L561" s="231"/>
      <c r="M561" s="231"/>
      <c r="N561" s="231"/>
      <c r="O561" s="231"/>
      <c r="P561" s="231"/>
      <c r="Q561" s="231"/>
      <c r="R561" s="231"/>
      <c r="S561" s="231"/>
      <c r="T561" s="231"/>
      <c r="U561" s="231"/>
      <c r="V561" s="231"/>
      <c r="W561" s="231"/>
      <c r="X561" s="231"/>
      <c r="Y561" s="231"/>
      <c r="Z561" s="231"/>
    </row>
    <row r="562">
      <c r="A562" s="231"/>
      <c r="B562" s="231"/>
      <c r="C562" s="231"/>
      <c r="D562" s="231"/>
      <c r="E562" s="231"/>
      <c r="F562" s="231"/>
      <c r="G562" s="231"/>
      <c r="H562" s="231"/>
      <c r="I562" s="231"/>
      <c r="J562" s="231"/>
      <c r="K562" s="231"/>
      <c r="L562" s="231"/>
      <c r="M562" s="231"/>
      <c r="N562" s="231"/>
      <c r="O562" s="231"/>
      <c r="P562" s="231"/>
      <c r="Q562" s="231"/>
      <c r="R562" s="231"/>
      <c r="S562" s="231"/>
      <c r="T562" s="231"/>
      <c r="U562" s="231"/>
      <c r="V562" s="231"/>
      <c r="W562" s="231"/>
      <c r="X562" s="231"/>
      <c r="Y562" s="231"/>
      <c r="Z562" s="231"/>
    </row>
    <row r="563">
      <c r="A563" s="231"/>
      <c r="B563" s="231"/>
      <c r="C563" s="231"/>
      <c r="D563" s="231"/>
      <c r="E563" s="231"/>
      <c r="F563" s="231"/>
      <c r="G563" s="231"/>
      <c r="H563" s="231"/>
      <c r="I563" s="231"/>
      <c r="J563" s="231"/>
      <c r="K563" s="231"/>
      <c r="L563" s="231"/>
      <c r="M563" s="231"/>
      <c r="N563" s="231"/>
      <c r="O563" s="231"/>
      <c r="P563" s="231"/>
      <c r="Q563" s="231"/>
      <c r="R563" s="231"/>
      <c r="S563" s="231"/>
      <c r="T563" s="231"/>
      <c r="U563" s="231"/>
      <c r="V563" s="231"/>
      <c r="W563" s="231"/>
      <c r="X563" s="231"/>
      <c r="Y563" s="231"/>
      <c r="Z563" s="231"/>
    </row>
    <row r="564">
      <c r="A564" s="231"/>
      <c r="B564" s="231"/>
      <c r="C564" s="231"/>
      <c r="D564" s="231"/>
      <c r="E564" s="231"/>
      <c r="F564" s="231"/>
      <c r="G564" s="231"/>
      <c r="H564" s="231"/>
      <c r="I564" s="231"/>
      <c r="J564" s="231"/>
      <c r="K564" s="231"/>
      <c r="L564" s="231"/>
      <c r="M564" s="231"/>
      <c r="N564" s="231"/>
      <c r="O564" s="231"/>
      <c r="P564" s="231"/>
      <c r="Q564" s="231"/>
      <c r="R564" s="231"/>
      <c r="S564" s="231"/>
      <c r="T564" s="231"/>
      <c r="U564" s="231"/>
      <c r="V564" s="231"/>
      <c r="W564" s="231"/>
      <c r="X564" s="231"/>
      <c r="Y564" s="231"/>
      <c r="Z564" s="231"/>
    </row>
    <row r="565">
      <c r="A565" s="231"/>
      <c r="B565" s="231"/>
      <c r="C565" s="231"/>
      <c r="D565" s="231"/>
      <c r="E565" s="231"/>
      <c r="F565" s="231"/>
      <c r="G565" s="231"/>
      <c r="H565" s="231"/>
      <c r="I565" s="231"/>
      <c r="J565" s="231"/>
      <c r="K565" s="231"/>
      <c r="L565" s="231"/>
      <c r="M565" s="231"/>
      <c r="N565" s="231"/>
      <c r="O565" s="231"/>
      <c r="P565" s="231"/>
      <c r="Q565" s="231"/>
      <c r="R565" s="231"/>
      <c r="S565" s="231"/>
      <c r="T565" s="231"/>
      <c r="U565" s="231"/>
      <c r="V565" s="231"/>
      <c r="W565" s="231"/>
      <c r="X565" s="231"/>
      <c r="Y565" s="231"/>
      <c r="Z565" s="231"/>
    </row>
    <row r="566">
      <c r="A566" s="231"/>
      <c r="B566" s="231"/>
      <c r="C566" s="231"/>
      <c r="D566" s="231"/>
      <c r="E566" s="231"/>
      <c r="F566" s="231"/>
      <c r="G566" s="231"/>
      <c r="H566" s="231"/>
      <c r="I566" s="231"/>
      <c r="J566" s="231"/>
      <c r="K566" s="231"/>
      <c r="L566" s="231"/>
      <c r="M566" s="231"/>
      <c r="N566" s="231"/>
      <c r="O566" s="231"/>
      <c r="P566" s="231"/>
      <c r="Q566" s="231"/>
      <c r="R566" s="231"/>
      <c r="S566" s="231"/>
      <c r="T566" s="231"/>
      <c r="U566" s="231"/>
      <c r="V566" s="231"/>
      <c r="W566" s="231"/>
      <c r="X566" s="231"/>
      <c r="Y566" s="231"/>
      <c r="Z566" s="231"/>
    </row>
    <row r="567">
      <c r="A567" s="231"/>
      <c r="B567" s="231"/>
      <c r="C567" s="231"/>
      <c r="D567" s="231"/>
      <c r="E567" s="231"/>
      <c r="F567" s="231"/>
      <c r="G567" s="231"/>
      <c r="H567" s="231"/>
      <c r="I567" s="231"/>
      <c r="J567" s="231"/>
      <c r="K567" s="231"/>
      <c r="L567" s="231"/>
      <c r="M567" s="231"/>
      <c r="N567" s="231"/>
      <c r="O567" s="231"/>
      <c r="P567" s="231"/>
      <c r="Q567" s="231"/>
      <c r="R567" s="231"/>
      <c r="S567" s="231"/>
      <c r="T567" s="231"/>
      <c r="U567" s="231"/>
      <c r="V567" s="231"/>
      <c r="W567" s="231"/>
      <c r="X567" s="231"/>
      <c r="Y567" s="231"/>
      <c r="Z567" s="231"/>
    </row>
    <row r="568">
      <c r="A568" s="231"/>
      <c r="B568" s="231"/>
      <c r="C568" s="231"/>
      <c r="D568" s="231"/>
      <c r="E568" s="231"/>
      <c r="F568" s="231"/>
      <c r="G568" s="231"/>
      <c r="H568" s="231"/>
      <c r="I568" s="231"/>
      <c r="J568" s="231"/>
      <c r="K568" s="231"/>
      <c r="L568" s="231"/>
      <c r="M568" s="231"/>
      <c r="N568" s="231"/>
      <c r="O568" s="231"/>
      <c r="P568" s="231"/>
      <c r="Q568" s="231"/>
      <c r="R568" s="231"/>
      <c r="S568" s="231"/>
      <c r="T568" s="231"/>
      <c r="U568" s="231"/>
      <c r="V568" s="231"/>
      <c r="W568" s="231"/>
      <c r="X568" s="231"/>
      <c r="Y568" s="231"/>
      <c r="Z568" s="231"/>
    </row>
    <row r="569">
      <c r="A569" s="231"/>
      <c r="B569" s="231"/>
      <c r="C569" s="231"/>
      <c r="D569" s="231"/>
      <c r="E569" s="231"/>
      <c r="F569" s="231"/>
      <c r="G569" s="231"/>
      <c r="H569" s="231"/>
      <c r="I569" s="231"/>
      <c r="J569" s="231"/>
      <c r="K569" s="231"/>
      <c r="L569" s="231"/>
      <c r="M569" s="231"/>
      <c r="N569" s="231"/>
      <c r="O569" s="231"/>
      <c r="P569" s="231"/>
      <c r="Q569" s="231"/>
      <c r="R569" s="231"/>
      <c r="S569" s="231"/>
      <c r="T569" s="231"/>
      <c r="U569" s="231"/>
      <c r="V569" s="231"/>
      <c r="W569" s="231"/>
      <c r="X569" s="231"/>
      <c r="Y569" s="231"/>
      <c r="Z569" s="231"/>
    </row>
    <row r="570">
      <c r="A570" s="231"/>
      <c r="B570" s="231"/>
      <c r="C570" s="231"/>
      <c r="D570" s="231"/>
      <c r="E570" s="231"/>
      <c r="F570" s="231"/>
      <c r="G570" s="231"/>
      <c r="H570" s="231"/>
      <c r="I570" s="231"/>
      <c r="J570" s="231"/>
      <c r="K570" s="231"/>
      <c r="L570" s="231"/>
      <c r="M570" s="231"/>
      <c r="N570" s="231"/>
      <c r="O570" s="231"/>
      <c r="P570" s="231"/>
      <c r="Q570" s="231"/>
      <c r="R570" s="231"/>
      <c r="S570" s="231"/>
      <c r="T570" s="231"/>
      <c r="U570" s="231"/>
      <c r="V570" s="231"/>
      <c r="W570" s="231"/>
      <c r="X570" s="231"/>
      <c r="Y570" s="231"/>
      <c r="Z570" s="231"/>
    </row>
    <row r="571">
      <c r="A571" s="231"/>
      <c r="B571" s="231"/>
      <c r="C571" s="231"/>
      <c r="D571" s="231"/>
      <c r="E571" s="231"/>
      <c r="F571" s="231"/>
      <c r="G571" s="231"/>
      <c r="H571" s="231"/>
      <c r="I571" s="231"/>
      <c r="J571" s="231"/>
      <c r="K571" s="231"/>
      <c r="L571" s="231"/>
      <c r="M571" s="231"/>
      <c r="N571" s="231"/>
      <c r="O571" s="231"/>
      <c r="P571" s="231"/>
      <c r="Q571" s="231"/>
      <c r="R571" s="231"/>
      <c r="S571" s="231"/>
      <c r="T571" s="231"/>
      <c r="U571" s="231"/>
      <c r="V571" s="231"/>
      <c r="W571" s="231"/>
      <c r="X571" s="231"/>
      <c r="Y571" s="231"/>
      <c r="Z571" s="231"/>
    </row>
    <row r="572">
      <c r="A572" s="231"/>
      <c r="B572" s="231"/>
      <c r="C572" s="231"/>
      <c r="D572" s="231"/>
      <c r="E572" s="231"/>
      <c r="F572" s="231"/>
      <c r="G572" s="231"/>
      <c r="H572" s="231"/>
      <c r="I572" s="231"/>
      <c r="J572" s="231"/>
      <c r="K572" s="231"/>
      <c r="L572" s="231"/>
      <c r="M572" s="231"/>
      <c r="N572" s="231"/>
      <c r="O572" s="231"/>
      <c r="P572" s="231"/>
      <c r="Q572" s="231"/>
      <c r="R572" s="231"/>
      <c r="S572" s="231"/>
      <c r="T572" s="231"/>
      <c r="U572" s="231"/>
      <c r="V572" s="231"/>
      <c r="W572" s="231"/>
      <c r="X572" s="231"/>
      <c r="Y572" s="231"/>
      <c r="Z572" s="231"/>
    </row>
    <row r="573">
      <c r="A573" s="231"/>
      <c r="B573" s="231"/>
      <c r="C573" s="231"/>
      <c r="D573" s="231"/>
      <c r="E573" s="231"/>
      <c r="F573" s="231"/>
      <c r="G573" s="231"/>
      <c r="H573" s="231"/>
      <c r="I573" s="231"/>
      <c r="J573" s="231"/>
      <c r="K573" s="231"/>
      <c r="L573" s="231"/>
      <c r="M573" s="231"/>
      <c r="N573" s="231"/>
      <c r="O573" s="231"/>
      <c r="P573" s="231"/>
      <c r="Q573" s="231"/>
      <c r="R573" s="231"/>
      <c r="S573" s="231"/>
      <c r="T573" s="231"/>
      <c r="U573" s="231"/>
      <c r="V573" s="231"/>
      <c r="W573" s="231"/>
      <c r="X573" s="231"/>
      <c r="Y573" s="231"/>
      <c r="Z573" s="231"/>
    </row>
    <row r="574">
      <c r="A574" s="231"/>
      <c r="B574" s="231"/>
      <c r="C574" s="231"/>
      <c r="D574" s="231"/>
      <c r="E574" s="231"/>
      <c r="F574" s="231"/>
      <c r="G574" s="231"/>
      <c r="H574" s="231"/>
      <c r="I574" s="231"/>
      <c r="J574" s="231"/>
      <c r="K574" s="231"/>
      <c r="L574" s="231"/>
      <c r="M574" s="231"/>
      <c r="N574" s="231"/>
      <c r="O574" s="231"/>
      <c r="P574" s="231"/>
      <c r="Q574" s="231"/>
      <c r="R574" s="231"/>
      <c r="S574" s="231"/>
      <c r="T574" s="231"/>
      <c r="U574" s="231"/>
      <c r="V574" s="231"/>
      <c r="W574" s="231"/>
      <c r="X574" s="231"/>
      <c r="Y574" s="231"/>
      <c r="Z574" s="231"/>
    </row>
    <row r="575">
      <c r="A575" s="231"/>
      <c r="B575" s="231"/>
      <c r="C575" s="231"/>
      <c r="D575" s="231"/>
      <c r="E575" s="231"/>
      <c r="F575" s="231"/>
      <c r="G575" s="231"/>
      <c r="H575" s="231"/>
      <c r="I575" s="231"/>
      <c r="J575" s="231"/>
      <c r="K575" s="231"/>
      <c r="L575" s="231"/>
      <c r="M575" s="231"/>
      <c r="N575" s="231"/>
      <c r="O575" s="231"/>
      <c r="P575" s="231"/>
      <c r="Q575" s="231"/>
      <c r="R575" s="231"/>
      <c r="S575" s="231"/>
      <c r="T575" s="231"/>
      <c r="U575" s="231"/>
      <c r="V575" s="231"/>
      <c r="W575" s="231"/>
      <c r="X575" s="231"/>
      <c r="Y575" s="231"/>
      <c r="Z575" s="231"/>
    </row>
    <row r="576">
      <c r="A576" s="231"/>
      <c r="B576" s="231"/>
      <c r="C576" s="231"/>
      <c r="D576" s="231"/>
      <c r="E576" s="231"/>
      <c r="F576" s="231"/>
      <c r="G576" s="231"/>
      <c r="H576" s="231"/>
      <c r="I576" s="231"/>
      <c r="J576" s="231"/>
      <c r="K576" s="231"/>
      <c r="L576" s="231"/>
      <c r="M576" s="231"/>
      <c r="N576" s="231"/>
      <c r="O576" s="231"/>
      <c r="P576" s="231"/>
      <c r="Q576" s="231"/>
      <c r="R576" s="231"/>
      <c r="S576" s="231"/>
      <c r="T576" s="231"/>
      <c r="U576" s="231"/>
      <c r="V576" s="231"/>
      <c r="W576" s="231"/>
      <c r="X576" s="231"/>
      <c r="Y576" s="231"/>
      <c r="Z576" s="231"/>
    </row>
    <row r="577">
      <c r="A577" s="231"/>
      <c r="B577" s="231"/>
      <c r="C577" s="231"/>
      <c r="D577" s="231"/>
      <c r="E577" s="231"/>
      <c r="F577" s="231"/>
      <c r="G577" s="231"/>
      <c r="H577" s="231"/>
      <c r="I577" s="231"/>
      <c r="J577" s="231"/>
      <c r="K577" s="231"/>
      <c r="L577" s="231"/>
      <c r="M577" s="231"/>
      <c r="N577" s="231"/>
      <c r="O577" s="231"/>
      <c r="P577" s="231"/>
      <c r="Q577" s="231"/>
      <c r="R577" s="231"/>
      <c r="S577" s="231"/>
      <c r="T577" s="231"/>
      <c r="U577" s="231"/>
      <c r="V577" s="231"/>
      <c r="W577" s="231"/>
      <c r="X577" s="231"/>
      <c r="Y577" s="231"/>
      <c r="Z577" s="231"/>
    </row>
    <row r="578">
      <c r="A578" s="231"/>
      <c r="B578" s="231"/>
      <c r="C578" s="231"/>
      <c r="D578" s="231"/>
      <c r="E578" s="231"/>
      <c r="F578" s="231"/>
      <c r="G578" s="231"/>
      <c r="H578" s="231"/>
      <c r="I578" s="231"/>
      <c r="J578" s="231"/>
      <c r="K578" s="231"/>
      <c r="L578" s="231"/>
      <c r="M578" s="231"/>
      <c r="N578" s="231"/>
      <c r="O578" s="231"/>
      <c r="P578" s="231"/>
      <c r="Q578" s="231"/>
      <c r="R578" s="231"/>
      <c r="S578" s="231"/>
      <c r="T578" s="231"/>
      <c r="U578" s="231"/>
      <c r="V578" s="231"/>
      <c r="W578" s="231"/>
      <c r="X578" s="231"/>
      <c r="Y578" s="231"/>
      <c r="Z578" s="231"/>
    </row>
    <row r="579">
      <c r="A579" s="231"/>
      <c r="B579" s="231"/>
      <c r="C579" s="231"/>
      <c r="D579" s="231"/>
      <c r="E579" s="231"/>
      <c r="F579" s="231"/>
      <c r="G579" s="231"/>
      <c r="H579" s="231"/>
      <c r="I579" s="231"/>
      <c r="J579" s="231"/>
      <c r="K579" s="231"/>
      <c r="L579" s="231"/>
      <c r="M579" s="231"/>
      <c r="N579" s="231"/>
      <c r="O579" s="231"/>
      <c r="P579" s="231"/>
      <c r="Q579" s="231"/>
      <c r="R579" s="231"/>
      <c r="S579" s="231"/>
      <c r="T579" s="231"/>
      <c r="U579" s="231"/>
      <c r="V579" s="231"/>
      <c r="W579" s="231"/>
      <c r="X579" s="231"/>
      <c r="Y579" s="231"/>
      <c r="Z579" s="231"/>
    </row>
    <row r="580">
      <c r="A580" s="231"/>
      <c r="B580" s="231"/>
      <c r="C580" s="231"/>
      <c r="D580" s="231"/>
      <c r="E580" s="231"/>
      <c r="F580" s="231"/>
      <c r="G580" s="231"/>
      <c r="H580" s="231"/>
      <c r="I580" s="231"/>
      <c r="J580" s="231"/>
      <c r="K580" s="231"/>
      <c r="L580" s="231"/>
      <c r="M580" s="231"/>
      <c r="N580" s="231"/>
      <c r="O580" s="231"/>
      <c r="P580" s="231"/>
      <c r="Q580" s="231"/>
      <c r="R580" s="231"/>
      <c r="S580" s="231"/>
      <c r="T580" s="231"/>
      <c r="U580" s="231"/>
      <c r="V580" s="231"/>
      <c r="W580" s="231"/>
      <c r="X580" s="231"/>
      <c r="Y580" s="231"/>
      <c r="Z580" s="231"/>
    </row>
    <row r="581">
      <c r="A581" s="231"/>
      <c r="B581" s="231"/>
      <c r="C581" s="231"/>
      <c r="D581" s="231"/>
      <c r="E581" s="231"/>
      <c r="F581" s="231"/>
      <c r="G581" s="231"/>
      <c r="H581" s="231"/>
      <c r="I581" s="231"/>
      <c r="J581" s="231"/>
      <c r="K581" s="231"/>
      <c r="L581" s="231"/>
      <c r="M581" s="231"/>
      <c r="N581" s="231"/>
      <c r="O581" s="231"/>
      <c r="P581" s="231"/>
      <c r="Q581" s="231"/>
      <c r="R581" s="231"/>
      <c r="S581" s="231"/>
      <c r="T581" s="231"/>
      <c r="U581" s="231"/>
      <c r="V581" s="231"/>
      <c r="W581" s="231"/>
      <c r="X581" s="231"/>
      <c r="Y581" s="231"/>
      <c r="Z581" s="231"/>
    </row>
    <row r="582">
      <c r="A582" s="231"/>
      <c r="B582" s="231"/>
      <c r="C582" s="231"/>
      <c r="D582" s="231"/>
      <c r="E582" s="231"/>
      <c r="F582" s="231"/>
      <c r="G582" s="231"/>
      <c r="H582" s="231"/>
      <c r="I582" s="231"/>
      <c r="J582" s="231"/>
      <c r="K582" s="231"/>
      <c r="L582" s="231"/>
      <c r="M582" s="231"/>
      <c r="N582" s="231"/>
      <c r="O582" s="231"/>
      <c r="P582" s="231"/>
      <c r="Q582" s="231"/>
      <c r="R582" s="231"/>
      <c r="S582" s="231"/>
      <c r="T582" s="231"/>
      <c r="U582" s="231"/>
      <c r="V582" s="231"/>
      <c r="W582" s="231"/>
      <c r="X582" s="231"/>
      <c r="Y582" s="231"/>
      <c r="Z582" s="231"/>
    </row>
    <row r="583">
      <c r="A583" s="231"/>
      <c r="B583" s="231"/>
      <c r="C583" s="231"/>
      <c r="D583" s="231"/>
      <c r="E583" s="231"/>
      <c r="F583" s="231"/>
      <c r="G583" s="231"/>
      <c r="H583" s="231"/>
      <c r="I583" s="231"/>
      <c r="J583" s="231"/>
      <c r="K583" s="231"/>
      <c r="L583" s="231"/>
      <c r="M583" s="231"/>
      <c r="N583" s="231"/>
      <c r="O583" s="231"/>
      <c r="P583" s="231"/>
      <c r="Q583" s="231"/>
      <c r="R583" s="231"/>
      <c r="S583" s="231"/>
      <c r="T583" s="231"/>
      <c r="U583" s="231"/>
      <c r="V583" s="231"/>
      <c r="W583" s="231"/>
      <c r="X583" s="231"/>
      <c r="Y583" s="231"/>
      <c r="Z583" s="231"/>
    </row>
    <row r="584">
      <c r="A584" s="231"/>
      <c r="B584" s="231"/>
      <c r="C584" s="231"/>
      <c r="D584" s="231"/>
      <c r="E584" s="231"/>
      <c r="F584" s="231"/>
      <c r="G584" s="231"/>
      <c r="H584" s="231"/>
      <c r="I584" s="231"/>
      <c r="J584" s="231"/>
      <c r="K584" s="231"/>
      <c r="L584" s="231"/>
      <c r="M584" s="231"/>
      <c r="N584" s="231"/>
      <c r="O584" s="231"/>
      <c r="P584" s="231"/>
      <c r="Q584" s="231"/>
      <c r="R584" s="231"/>
      <c r="S584" s="231"/>
      <c r="T584" s="231"/>
      <c r="U584" s="231"/>
      <c r="V584" s="231"/>
      <c r="W584" s="231"/>
      <c r="X584" s="231"/>
      <c r="Y584" s="231"/>
      <c r="Z584" s="231"/>
    </row>
    <row r="585">
      <c r="A585" s="231"/>
      <c r="B585" s="231"/>
      <c r="C585" s="231"/>
      <c r="D585" s="231"/>
      <c r="E585" s="231"/>
      <c r="F585" s="231"/>
      <c r="G585" s="231"/>
      <c r="H585" s="231"/>
      <c r="I585" s="231"/>
      <c r="J585" s="231"/>
      <c r="K585" s="231"/>
      <c r="L585" s="231"/>
      <c r="M585" s="231"/>
      <c r="N585" s="231"/>
      <c r="O585" s="231"/>
      <c r="P585" s="231"/>
      <c r="Q585" s="231"/>
      <c r="R585" s="231"/>
      <c r="S585" s="231"/>
      <c r="T585" s="231"/>
      <c r="U585" s="231"/>
      <c r="V585" s="231"/>
      <c r="W585" s="231"/>
      <c r="X585" s="231"/>
      <c r="Y585" s="231"/>
      <c r="Z585" s="231"/>
    </row>
    <row r="586">
      <c r="A586" s="231"/>
      <c r="B586" s="231"/>
      <c r="C586" s="231"/>
      <c r="D586" s="231"/>
      <c r="E586" s="231"/>
      <c r="F586" s="231"/>
      <c r="G586" s="231"/>
      <c r="H586" s="231"/>
      <c r="I586" s="231"/>
      <c r="J586" s="231"/>
      <c r="K586" s="231"/>
      <c r="L586" s="231"/>
      <c r="M586" s="231"/>
      <c r="N586" s="231"/>
      <c r="O586" s="231"/>
      <c r="P586" s="231"/>
      <c r="Q586" s="231"/>
      <c r="R586" s="231"/>
      <c r="S586" s="231"/>
      <c r="T586" s="231"/>
      <c r="U586" s="231"/>
      <c r="V586" s="231"/>
      <c r="W586" s="231"/>
      <c r="X586" s="231"/>
      <c r="Y586" s="231"/>
      <c r="Z586" s="231"/>
    </row>
    <row r="587">
      <c r="A587" s="231"/>
      <c r="B587" s="231"/>
      <c r="C587" s="231"/>
      <c r="D587" s="231"/>
      <c r="E587" s="231"/>
      <c r="F587" s="231"/>
      <c r="G587" s="231"/>
      <c r="H587" s="231"/>
      <c r="I587" s="231"/>
      <c r="J587" s="231"/>
      <c r="K587" s="231"/>
      <c r="L587" s="231"/>
      <c r="M587" s="231"/>
      <c r="N587" s="231"/>
      <c r="O587" s="231"/>
      <c r="P587" s="231"/>
      <c r="Q587" s="231"/>
      <c r="R587" s="231"/>
      <c r="S587" s="231"/>
      <c r="T587" s="231"/>
      <c r="U587" s="231"/>
      <c r="V587" s="231"/>
      <c r="W587" s="231"/>
      <c r="X587" s="231"/>
      <c r="Y587" s="231"/>
      <c r="Z587" s="231"/>
    </row>
    <row r="588">
      <c r="A588" s="231"/>
      <c r="B588" s="231"/>
      <c r="C588" s="231"/>
      <c r="D588" s="231"/>
      <c r="E588" s="231"/>
      <c r="F588" s="231"/>
      <c r="G588" s="231"/>
      <c r="H588" s="231"/>
      <c r="I588" s="231"/>
      <c r="J588" s="231"/>
      <c r="K588" s="231"/>
      <c r="L588" s="231"/>
      <c r="M588" s="231"/>
      <c r="N588" s="231"/>
      <c r="O588" s="231"/>
      <c r="P588" s="231"/>
      <c r="Q588" s="231"/>
      <c r="R588" s="231"/>
      <c r="S588" s="231"/>
      <c r="T588" s="231"/>
      <c r="U588" s="231"/>
      <c r="V588" s="231"/>
      <c r="W588" s="231"/>
      <c r="X588" s="231"/>
      <c r="Y588" s="231"/>
      <c r="Z588" s="231"/>
    </row>
    <row r="589">
      <c r="A589" s="231"/>
      <c r="B589" s="231"/>
      <c r="C589" s="231"/>
      <c r="D589" s="231"/>
      <c r="E589" s="231"/>
      <c r="F589" s="231"/>
      <c r="G589" s="231"/>
      <c r="H589" s="231"/>
      <c r="I589" s="231"/>
      <c r="J589" s="231"/>
      <c r="K589" s="231"/>
      <c r="L589" s="231"/>
      <c r="M589" s="231"/>
      <c r="N589" s="231"/>
      <c r="O589" s="231"/>
      <c r="P589" s="231"/>
      <c r="Q589" s="231"/>
      <c r="R589" s="231"/>
      <c r="S589" s="231"/>
      <c r="T589" s="231"/>
      <c r="U589" s="231"/>
      <c r="V589" s="231"/>
      <c r="W589" s="231"/>
      <c r="X589" s="231"/>
      <c r="Y589" s="231"/>
      <c r="Z589" s="231"/>
    </row>
    <row r="590">
      <c r="A590" s="231"/>
      <c r="B590" s="231"/>
      <c r="C590" s="231"/>
      <c r="D590" s="231"/>
      <c r="E590" s="231"/>
      <c r="F590" s="231"/>
      <c r="G590" s="231"/>
      <c r="H590" s="231"/>
      <c r="I590" s="231"/>
      <c r="J590" s="231"/>
      <c r="K590" s="231"/>
      <c r="L590" s="231"/>
      <c r="M590" s="231"/>
      <c r="N590" s="231"/>
      <c r="O590" s="231"/>
      <c r="P590" s="231"/>
      <c r="Q590" s="231"/>
      <c r="R590" s="231"/>
      <c r="S590" s="231"/>
      <c r="T590" s="231"/>
      <c r="U590" s="231"/>
      <c r="V590" s="231"/>
      <c r="W590" s="231"/>
      <c r="X590" s="231"/>
      <c r="Y590" s="231"/>
      <c r="Z590" s="231"/>
    </row>
    <row r="591">
      <c r="A591" s="231"/>
      <c r="B591" s="231"/>
      <c r="C591" s="231"/>
      <c r="D591" s="231"/>
      <c r="E591" s="231"/>
      <c r="F591" s="231"/>
      <c r="G591" s="231"/>
      <c r="H591" s="231"/>
      <c r="I591" s="231"/>
      <c r="J591" s="231"/>
      <c r="K591" s="231"/>
      <c r="L591" s="231"/>
      <c r="M591" s="231"/>
      <c r="N591" s="231"/>
      <c r="O591" s="231"/>
      <c r="P591" s="231"/>
      <c r="Q591" s="231"/>
      <c r="R591" s="231"/>
      <c r="S591" s="231"/>
      <c r="T591" s="231"/>
      <c r="U591" s="231"/>
      <c r="V591" s="231"/>
      <c r="W591" s="231"/>
      <c r="X591" s="231"/>
      <c r="Y591" s="231"/>
      <c r="Z591" s="231"/>
    </row>
    <row r="592">
      <c r="A592" s="231"/>
      <c r="B592" s="231"/>
      <c r="C592" s="231"/>
      <c r="D592" s="231"/>
      <c r="E592" s="231"/>
      <c r="F592" s="231"/>
      <c r="G592" s="231"/>
      <c r="H592" s="231"/>
      <c r="I592" s="231"/>
      <c r="J592" s="231"/>
      <c r="K592" s="231"/>
      <c r="L592" s="231"/>
      <c r="M592" s="231"/>
      <c r="N592" s="231"/>
      <c r="O592" s="231"/>
      <c r="P592" s="231"/>
      <c r="Q592" s="231"/>
      <c r="R592" s="231"/>
      <c r="S592" s="231"/>
      <c r="T592" s="231"/>
      <c r="U592" s="231"/>
      <c r="V592" s="231"/>
      <c r="W592" s="231"/>
      <c r="X592" s="231"/>
      <c r="Y592" s="231"/>
      <c r="Z592" s="231"/>
    </row>
    <row r="593">
      <c r="A593" s="231"/>
      <c r="B593" s="231"/>
      <c r="C593" s="231"/>
      <c r="D593" s="231"/>
      <c r="E593" s="231"/>
      <c r="F593" s="231"/>
      <c r="G593" s="231"/>
      <c r="H593" s="231"/>
      <c r="I593" s="231"/>
      <c r="J593" s="231"/>
      <c r="K593" s="231"/>
      <c r="L593" s="231"/>
      <c r="M593" s="231"/>
      <c r="N593" s="231"/>
      <c r="O593" s="231"/>
      <c r="P593" s="231"/>
      <c r="Q593" s="231"/>
      <c r="R593" s="231"/>
      <c r="S593" s="231"/>
      <c r="T593" s="231"/>
      <c r="U593" s="231"/>
      <c r="V593" s="231"/>
      <c r="W593" s="231"/>
      <c r="X593" s="231"/>
      <c r="Y593" s="231"/>
      <c r="Z593" s="231"/>
    </row>
    <row r="594">
      <c r="A594" s="231"/>
      <c r="B594" s="231"/>
      <c r="C594" s="231"/>
      <c r="D594" s="231"/>
      <c r="E594" s="231"/>
      <c r="F594" s="231"/>
      <c r="G594" s="231"/>
      <c r="H594" s="231"/>
      <c r="I594" s="231"/>
      <c r="J594" s="231"/>
      <c r="K594" s="231"/>
      <c r="L594" s="231"/>
      <c r="M594" s="231"/>
      <c r="N594" s="231"/>
      <c r="O594" s="231"/>
      <c r="P594" s="231"/>
      <c r="Q594" s="231"/>
      <c r="R594" s="231"/>
      <c r="S594" s="231"/>
      <c r="T594" s="231"/>
      <c r="U594" s="231"/>
      <c r="V594" s="231"/>
      <c r="W594" s="231"/>
      <c r="X594" s="231"/>
      <c r="Y594" s="231"/>
      <c r="Z594" s="231"/>
    </row>
    <row r="595">
      <c r="A595" s="231"/>
      <c r="B595" s="231"/>
      <c r="C595" s="231"/>
      <c r="D595" s="231"/>
      <c r="E595" s="231"/>
      <c r="F595" s="231"/>
      <c r="G595" s="231"/>
      <c r="H595" s="231"/>
      <c r="I595" s="231"/>
      <c r="J595" s="231"/>
      <c r="K595" s="231"/>
      <c r="L595" s="231"/>
      <c r="M595" s="231"/>
      <c r="N595" s="231"/>
      <c r="O595" s="231"/>
      <c r="P595" s="231"/>
      <c r="Q595" s="231"/>
      <c r="R595" s="231"/>
      <c r="S595" s="231"/>
      <c r="T595" s="231"/>
      <c r="U595" s="231"/>
      <c r="V595" s="231"/>
      <c r="W595" s="231"/>
      <c r="X595" s="231"/>
      <c r="Y595" s="231"/>
      <c r="Z595" s="231"/>
    </row>
    <row r="596">
      <c r="A596" s="231"/>
      <c r="B596" s="231"/>
      <c r="C596" s="231"/>
      <c r="D596" s="231"/>
      <c r="E596" s="231"/>
      <c r="F596" s="231"/>
      <c r="G596" s="231"/>
      <c r="H596" s="231"/>
      <c r="I596" s="231"/>
      <c r="J596" s="231"/>
      <c r="K596" s="231"/>
      <c r="L596" s="231"/>
      <c r="M596" s="231"/>
      <c r="N596" s="231"/>
      <c r="O596" s="231"/>
      <c r="P596" s="231"/>
      <c r="Q596" s="231"/>
      <c r="R596" s="231"/>
      <c r="S596" s="231"/>
      <c r="T596" s="231"/>
      <c r="U596" s="231"/>
      <c r="V596" s="231"/>
      <c r="W596" s="231"/>
      <c r="X596" s="231"/>
      <c r="Y596" s="231"/>
      <c r="Z596" s="231"/>
    </row>
    <row r="597">
      <c r="A597" s="231"/>
      <c r="B597" s="231"/>
      <c r="C597" s="231"/>
      <c r="D597" s="231"/>
      <c r="E597" s="231"/>
      <c r="F597" s="231"/>
      <c r="G597" s="231"/>
      <c r="H597" s="231"/>
      <c r="I597" s="231"/>
      <c r="J597" s="231"/>
      <c r="K597" s="231"/>
      <c r="L597" s="231"/>
      <c r="M597" s="231"/>
      <c r="N597" s="231"/>
      <c r="O597" s="231"/>
      <c r="P597" s="231"/>
      <c r="Q597" s="231"/>
      <c r="R597" s="231"/>
      <c r="S597" s="231"/>
      <c r="T597" s="231"/>
      <c r="U597" s="231"/>
      <c r="V597" s="231"/>
      <c r="W597" s="231"/>
      <c r="X597" s="231"/>
      <c r="Y597" s="231"/>
      <c r="Z597" s="231"/>
    </row>
    <row r="598">
      <c r="A598" s="231"/>
      <c r="B598" s="231"/>
      <c r="C598" s="231"/>
      <c r="D598" s="231"/>
      <c r="E598" s="231"/>
      <c r="F598" s="231"/>
      <c r="G598" s="231"/>
      <c r="H598" s="231"/>
      <c r="I598" s="231"/>
      <c r="J598" s="231"/>
      <c r="K598" s="231"/>
      <c r="L598" s="231"/>
      <c r="M598" s="231"/>
      <c r="N598" s="231"/>
      <c r="O598" s="231"/>
      <c r="P598" s="231"/>
      <c r="Q598" s="231"/>
      <c r="R598" s="231"/>
      <c r="S598" s="231"/>
      <c r="T598" s="231"/>
      <c r="U598" s="231"/>
      <c r="V598" s="231"/>
      <c r="W598" s="231"/>
      <c r="X598" s="231"/>
      <c r="Y598" s="231"/>
      <c r="Z598" s="231"/>
    </row>
    <row r="599">
      <c r="A599" s="231"/>
      <c r="B599" s="231"/>
      <c r="C599" s="231"/>
      <c r="D599" s="231"/>
      <c r="E599" s="231"/>
      <c r="F599" s="231"/>
      <c r="G599" s="231"/>
      <c r="H599" s="231"/>
      <c r="I599" s="231"/>
      <c r="J599" s="231"/>
      <c r="K599" s="231"/>
      <c r="L599" s="231"/>
      <c r="M599" s="231"/>
      <c r="N599" s="231"/>
      <c r="O599" s="231"/>
      <c r="P599" s="231"/>
      <c r="Q599" s="231"/>
      <c r="R599" s="231"/>
      <c r="S599" s="231"/>
      <c r="T599" s="231"/>
      <c r="U599" s="231"/>
      <c r="V599" s="231"/>
      <c r="W599" s="231"/>
      <c r="X599" s="231"/>
      <c r="Y599" s="231"/>
      <c r="Z599" s="231"/>
    </row>
    <row r="600">
      <c r="A600" s="231"/>
      <c r="B600" s="231"/>
      <c r="C600" s="231"/>
      <c r="D600" s="231"/>
      <c r="E600" s="231"/>
      <c r="F600" s="231"/>
      <c r="G600" s="231"/>
      <c r="H600" s="231"/>
      <c r="I600" s="231"/>
      <c r="J600" s="231"/>
      <c r="K600" s="231"/>
      <c r="L600" s="231"/>
      <c r="M600" s="231"/>
      <c r="N600" s="231"/>
      <c r="O600" s="231"/>
      <c r="P600" s="231"/>
      <c r="Q600" s="231"/>
      <c r="R600" s="231"/>
      <c r="S600" s="231"/>
      <c r="T600" s="231"/>
      <c r="U600" s="231"/>
      <c r="V600" s="231"/>
      <c r="W600" s="231"/>
      <c r="X600" s="231"/>
      <c r="Y600" s="231"/>
      <c r="Z600" s="231"/>
    </row>
    <row r="601">
      <c r="A601" s="231"/>
      <c r="B601" s="231"/>
      <c r="C601" s="231"/>
      <c r="D601" s="231"/>
      <c r="E601" s="231"/>
      <c r="F601" s="231"/>
      <c r="G601" s="231"/>
      <c r="H601" s="231"/>
      <c r="I601" s="231"/>
      <c r="J601" s="231"/>
      <c r="K601" s="231"/>
      <c r="L601" s="231"/>
      <c r="M601" s="231"/>
      <c r="N601" s="231"/>
      <c r="O601" s="231"/>
      <c r="P601" s="231"/>
      <c r="Q601" s="231"/>
      <c r="R601" s="231"/>
      <c r="S601" s="231"/>
      <c r="T601" s="231"/>
      <c r="U601" s="231"/>
      <c r="V601" s="231"/>
      <c r="W601" s="231"/>
      <c r="X601" s="231"/>
      <c r="Y601" s="231"/>
      <c r="Z601" s="231"/>
    </row>
    <row r="602">
      <c r="A602" s="231"/>
      <c r="B602" s="231"/>
      <c r="C602" s="231"/>
      <c r="D602" s="231"/>
      <c r="E602" s="231"/>
      <c r="F602" s="231"/>
      <c r="G602" s="231"/>
      <c r="H602" s="231"/>
      <c r="I602" s="231"/>
      <c r="J602" s="231"/>
      <c r="K602" s="231"/>
      <c r="L602" s="231"/>
      <c r="M602" s="231"/>
      <c r="N602" s="231"/>
      <c r="O602" s="231"/>
      <c r="P602" s="231"/>
      <c r="Q602" s="231"/>
      <c r="R602" s="231"/>
      <c r="S602" s="231"/>
      <c r="T602" s="231"/>
      <c r="U602" s="231"/>
      <c r="V602" s="231"/>
      <c r="W602" s="231"/>
      <c r="X602" s="231"/>
      <c r="Y602" s="231"/>
      <c r="Z602" s="231"/>
    </row>
    <row r="603">
      <c r="A603" s="231"/>
      <c r="B603" s="231"/>
      <c r="C603" s="231"/>
      <c r="D603" s="231"/>
      <c r="E603" s="231"/>
      <c r="F603" s="231"/>
      <c r="G603" s="231"/>
      <c r="H603" s="231"/>
      <c r="I603" s="231"/>
      <c r="J603" s="231"/>
      <c r="K603" s="231"/>
      <c r="L603" s="231"/>
      <c r="M603" s="231"/>
      <c r="N603" s="231"/>
      <c r="O603" s="231"/>
      <c r="P603" s="231"/>
      <c r="Q603" s="231"/>
      <c r="R603" s="231"/>
      <c r="S603" s="231"/>
      <c r="T603" s="231"/>
      <c r="U603" s="231"/>
      <c r="V603" s="231"/>
      <c r="W603" s="231"/>
      <c r="X603" s="231"/>
      <c r="Y603" s="231"/>
      <c r="Z603" s="231"/>
    </row>
    <row r="604">
      <c r="A604" s="231"/>
      <c r="B604" s="231"/>
      <c r="C604" s="231"/>
      <c r="D604" s="231"/>
      <c r="E604" s="231"/>
      <c r="F604" s="231"/>
      <c r="G604" s="231"/>
      <c r="H604" s="231"/>
      <c r="I604" s="231"/>
      <c r="J604" s="231"/>
      <c r="K604" s="231"/>
      <c r="L604" s="231"/>
      <c r="M604" s="231"/>
      <c r="N604" s="231"/>
      <c r="O604" s="231"/>
      <c r="P604" s="231"/>
      <c r="Q604" s="231"/>
      <c r="R604" s="231"/>
      <c r="S604" s="231"/>
      <c r="T604" s="231"/>
      <c r="U604" s="231"/>
      <c r="V604" s="231"/>
      <c r="W604" s="231"/>
      <c r="X604" s="231"/>
      <c r="Y604" s="231"/>
      <c r="Z604" s="231"/>
    </row>
    <row r="605">
      <c r="A605" s="231"/>
      <c r="B605" s="231"/>
      <c r="C605" s="231"/>
      <c r="D605" s="231"/>
      <c r="E605" s="231"/>
      <c r="F605" s="231"/>
      <c r="G605" s="231"/>
      <c r="H605" s="231"/>
      <c r="I605" s="231"/>
      <c r="J605" s="231"/>
      <c r="K605" s="231"/>
      <c r="L605" s="231"/>
      <c r="M605" s="231"/>
      <c r="N605" s="231"/>
      <c r="O605" s="231"/>
      <c r="P605" s="231"/>
      <c r="Q605" s="231"/>
      <c r="R605" s="231"/>
      <c r="S605" s="231"/>
      <c r="T605" s="231"/>
      <c r="U605" s="231"/>
      <c r="V605" s="231"/>
      <c r="W605" s="231"/>
      <c r="X605" s="231"/>
      <c r="Y605" s="231"/>
      <c r="Z605" s="231"/>
    </row>
    <row r="606">
      <c r="A606" s="231"/>
      <c r="B606" s="231"/>
      <c r="C606" s="231"/>
      <c r="D606" s="231"/>
      <c r="E606" s="231"/>
      <c r="F606" s="231"/>
      <c r="G606" s="231"/>
      <c r="H606" s="231"/>
      <c r="I606" s="231"/>
      <c r="J606" s="231"/>
      <c r="K606" s="231"/>
      <c r="L606" s="231"/>
      <c r="M606" s="231"/>
      <c r="N606" s="231"/>
      <c r="O606" s="231"/>
      <c r="P606" s="231"/>
      <c r="Q606" s="231"/>
      <c r="R606" s="231"/>
      <c r="S606" s="231"/>
      <c r="T606" s="231"/>
      <c r="U606" s="231"/>
      <c r="V606" s="231"/>
      <c r="W606" s="231"/>
      <c r="X606" s="231"/>
      <c r="Y606" s="231"/>
      <c r="Z606" s="231"/>
    </row>
    <row r="607">
      <c r="A607" s="231"/>
      <c r="B607" s="231"/>
      <c r="C607" s="231"/>
      <c r="D607" s="231"/>
      <c r="E607" s="231"/>
      <c r="F607" s="231"/>
      <c r="G607" s="231"/>
      <c r="H607" s="231"/>
      <c r="I607" s="231"/>
      <c r="J607" s="231"/>
      <c r="K607" s="231"/>
      <c r="L607" s="231"/>
      <c r="M607" s="231"/>
      <c r="N607" s="231"/>
      <c r="O607" s="231"/>
      <c r="P607" s="231"/>
      <c r="Q607" s="231"/>
      <c r="R607" s="231"/>
      <c r="S607" s="231"/>
      <c r="T607" s="231"/>
      <c r="U607" s="231"/>
      <c r="V607" s="231"/>
      <c r="W607" s="231"/>
      <c r="X607" s="231"/>
      <c r="Y607" s="231"/>
      <c r="Z607" s="231"/>
    </row>
    <row r="608">
      <c r="A608" s="231"/>
      <c r="B608" s="231"/>
      <c r="C608" s="231"/>
      <c r="D608" s="231"/>
      <c r="E608" s="231"/>
      <c r="F608" s="231"/>
      <c r="G608" s="231"/>
      <c r="H608" s="231"/>
      <c r="I608" s="231"/>
      <c r="J608" s="231"/>
      <c r="K608" s="231"/>
      <c r="L608" s="231"/>
      <c r="M608" s="231"/>
      <c r="N608" s="231"/>
      <c r="O608" s="231"/>
      <c r="P608" s="231"/>
      <c r="Q608" s="231"/>
      <c r="R608" s="231"/>
      <c r="S608" s="231"/>
      <c r="T608" s="231"/>
      <c r="U608" s="231"/>
      <c r="V608" s="231"/>
      <c r="W608" s="231"/>
      <c r="X608" s="231"/>
      <c r="Y608" s="231"/>
      <c r="Z608" s="231"/>
    </row>
    <row r="609">
      <c r="A609" s="231"/>
      <c r="B609" s="231"/>
      <c r="C609" s="231"/>
      <c r="D609" s="231"/>
      <c r="E609" s="231"/>
      <c r="F609" s="231"/>
      <c r="G609" s="231"/>
      <c r="H609" s="231"/>
      <c r="I609" s="231"/>
      <c r="J609" s="231"/>
      <c r="K609" s="231"/>
      <c r="L609" s="231"/>
      <c r="M609" s="231"/>
      <c r="N609" s="231"/>
      <c r="O609" s="231"/>
      <c r="P609" s="231"/>
      <c r="Q609" s="231"/>
      <c r="R609" s="231"/>
      <c r="S609" s="231"/>
      <c r="T609" s="231"/>
      <c r="U609" s="231"/>
      <c r="V609" s="231"/>
      <c r="W609" s="231"/>
      <c r="X609" s="231"/>
      <c r="Y609" s="231"/>
      <c r="Z609" s="231"/>
    </row>
    <row r="610">
      <c r="A610" s="231"/>
      <c r="B610" s="231"/>
      <c r="C610" s="231"/>
      <c r="D610" s="231"/>
      <c r="E610" s="231"/>
      <c r="F610" s="231"/>
      <c r="G610" s="231"/>
      <c r="H610" s="231"/>
      <c r="I610" s="231"/>
      <c r="J610" s="231"/>
      <c r="K610" s="231"/>
      <c r="L610" s="231"/>
      <c r="M610" s="231"/>
      <c r="N610" s="231"/>
      <c r="O610" s="231"/>
      <c r="P610" s="231"/>
      <c r="Q610" s="231"/>
      <c r="R610" s="231"/>
      <c r="S610" s="231"/>
      <c r="T610" s="231"/>
      <c r="U610" s="231"/>
      <c r="V610" s="231"/>
      <c r="W610" s="231"/>
      <c r="X610" s="231"/>
      <c r="Y610" s="231"/>
      <c r="Z610" s="231"/>
    </row>
    <row r="611">
      <c r="A611" s="231"/>
      <c r="B611" s="231"/>
      <c r="C611" s="231"/>
      <c r="D611" s="231"/>
      <c r="E611" s="231"/>
      <c r="F611" s="231"/>
      <c r="G611" s="231"/>
      <c r="H611" s="231"/>
      <c r="I611" s="231"/>
      <c r="J611" s="231"/>
      <c r="K611" s="231"/>
      <c r="L611" s="231"/>
      <c r="M611" s="231"/>
      <c r="N611" s="231"/>
      <c r="O611" s="231"/>
      <c r="P611" s="231"/>
      <c r="Q611" s="231"/>
      <c r="R611" s="231"/>
      <c r="S611" s="231"/>
      <c r="T611" s="231"/>
      <c r="U611" s="231"/>
      <c r="V611" s="231"/>
      <c r="W611" s="231"/>
      <c r="X611" s="231"/>
      <c r="Y611" s="231"/>
      <c r="Z611" s="231"/>
    </row>
    <row r="612">
      <c r="A612" s="231"/>
      <c r="B612" s="231"/>
      <c r="C612" s="231"/>
      <c r="D612" s="231"/>
      <c r="E612" s="231"/>
      <c r="F612" s="231"/>
      <c r="G612" s="231"/>
      <c r="H612" s="231"/>
      <c r="I612" s="231"/>
      <c r="J612" s="231"/>
      <c r="K612" s="231"/>
      <c r="L612" s="231"/>
      <c r="M612" s="231"/>
      <c r="N612" s="231"/>
      <c r="O612" s="231"/>
      <c r="P612" s="231"/>
      <c r="Q612" s="231"/>
      <c r="R612" s="231"/>
      <c r="S612" s="231"/>
      <c r="T612" s="231"/>
      <c r="U612" s="231"/>
      <c r="V612" s="231"/>
      <c r="W612" s="231"/>
      <c r="X612" s="231"/>
      <c r="Y612" s="231"/>
      <c r="Z612" s="231"/>
    </row>
    <row r="613">
      <c r="A613" s="231"/>
      <c r="B613" s="231"/>
      <c r="C613" s="231"/>
      <c r="D613" s="231"/>
      <c r="E613" s="231"/>
      <c r="F613" s="231"/>
      <c r="G613" s="231"/>
      <c r="H613" s="231"/>
      <c r="I613" s="231"/>
      <c r="J613" s="231"/>
      <c r="K613" s="231"/>
      <c r="L613" s="231"/>
      <c r="M613" s="231"/>
      <c r="N613" s="231"/>
      <c r="O613" s="231"/>
      <c r="P613" s="231"/>
      <c r="Q613" s="231"/>
      <c r="R613" s="231"/>
      <c r="S613" s="231"/>
      <c r="T613" s="231"/>
      <c r="U613" s="231"/>
      <c r="V613" s="231"/>
      <c r="W613" s="231"/>
      <c r="X613" s="231"/>
      <c r="Y613" s="231"/>
      <c r="Z613" s="231"/>
    </row>
    <row r="614">
      <c r="A614" s="231"/>
      <c r="B614" s="231"/>
      <c r="C614" s="231"/>
      <c r="D614" s="231"/>
      <c r="E614" s="231"/>
      <c r="F614" s="231"/>
      <c r="G614" s="231"/>
      <c r="H614" s="231"/>
      <c r="I614" s="231"/>
      <c r="J614" s="231"/>
      <c r="K614" s="231"/>
      <c r="L614" s="231"/>
      <c r="M614" s="231"/>
      <c r="N614" s="231"/>
      <c r="O614" s="231"/>
      <c r="P614" s="231"/>
      <c r="Q614" s="231"/>
      <c r="R614" s="231"/>
      <c r="S614" s="231"/>
      <c r="T614" s="231"/>
      <c r="U614" s="231"/>
      <c r="V614" s="231"/>
      <c r="W614" s="231"/>
      <c r="X614" s="231"/>
      <c r="Y614" s="231"/>
      <c r="Z614" s="231"/>
    </row>
    <row r="615">
      <c r="A615" s="231"/>
      <c r="B615" s="231"/>
      <c r="C615" s="231"/>
      <c r="D615" s="231"/>
      <c r="E615" s="231"/>
      <c r="F615" s="231"/>
      <c r="G615" s="231"/>
      <c r="H615" s="231"/>
      <c r="I615" s="231"/>
      <c r="J615" s="231"/>
      <c r="K615" s="231"/>
      <c r="L615" s="231"/>
      <c r="M615" s="231"/>
      <c r="N615" s="231"/>
      <c r="O615" s="231"/>
      <c r="P615" s="231"/>
      <c r="Q615" s="231"/>
      <c r="R615" s="231"/>
      <c r="S615" s="231"/>
      <c r="T615" s="231"/>
      <c r="U615" s="231"/>
      <c r="V615" s="231"/>
      <c r="W615" s="231"/>
      <c r="X615" s="231"/>
      <c r="Y615" s="231"/>
      <c r="Z615" s="231"/>
    </row>
    <row r="616">
      <c r="A616" s="231"/>
      <c r="B616" s="231"/>
      <c r="C616" s="231"/>
      <c r="D616" s="231"/>
      <c r="E616" s="231"/>
      <c r="F616" s="231"/>
      <c r="G616" s="231"/>
      <c r="H616" s="231"/>
      <c r="I616" s="231"/>
      <c r="J616" s="231"/>
      <c r="K616" s="231"/>
      <c r="L616" s="231"/>
      <c r="M616" s="231"/>
      <c r="N616" s="231"/>
      <c r="O616" s="231"/>
      <c r="P616" s="231"/>
      <c r="Q616" s="231"/>
      <c r="R616" s="231"/>
      <c r="S616" s="231"/>
      <c r="T616" s="231"/>
      <c r="U616" s="231"/>
      <c r="V616" s="231"/>
      <c r="W616" s="231"/>
      <c r="X616" s="231"/>
      <c r="Y616" s="231"/>
      <c r="Z616" s="231"/>
    </row>
    <row r="617">
      <c r="A617" s="231"/>
      <c r="B617" s="231"/>
      <c r="C617" s="231"/>
      <c r="D617" s="231"/>
      <c r="E617" s="231"/>
      <c r="F617" s="231"/>
      <c r="G617" s="231"/>
      <c r="H617" s="231"/>
      <c r="I617" s="231"/>
      <c r="J617" s="231"/>
      <c r="K617" s="231"/>
      <c r="L617" s="231"/>
      <c r="M617" s="231"/>
      <c r="N617" s="231"/>
      <c r="O617" s="231"/>
      <c r="P617" s="231"/>
      <c r="Q617" s="231"/>
      <c r="R617" s="231"/>
      <c r="S617" s="231"/>
      <c r="T617" s="231"/>
      <c r="U617" s="231"/>
      <c r="V617" s="231"/>
      <c r="W617" s="231"/>
      <c r="X617" s="231"/>
      <c r="Y617" s="231"/>
      <c r="Z617" s="231"/>
    </row>
    <row r="618">
      <c r="A618" s="231"/>
      <c r="B618" s="231"/>
      <c r="C618" s="231"/>
      <c r="D618" s="231"/>
      <c r="E618" s="231"/>
      <c r="F618" s="231"/>
      <c r="G618" s="231"/>
      <c r="H618" s="231"/>
      <c r="I618" s="231"/>
      <c r="J618" s="231"/>
      <c r="K618" s="231"/>
      <c r="L618" s="231"/>
      <c r="M618" s="231"/>
      <c r="N618" s="231"/>
      <c r="O618" s="231"/>
      <c r="P618" s="231"/>
      <c r="Q618" s="231"/>
      <c r="R618" s="231"/>
      <c r="S618" s="231"/>
      <c r="T618" s="231"/>
      <c r="U618" s="231"/>
      <c r="V618" s="231"/>
      <c r="W618" s="231"/>
      <c r="X618" s="231"/>
      <c r="Y618" s="231"/>
      <c r="Z618" s="231"/>
    </row>
    <row r="619">
      <c r="A619" s="231"/>
      <c r="B619" s="231"/>
      <c r="C619" s="231"/>
      <c r="D619" s="231"/>
      <c r="E619" s="231"/>
      <c r="F619" s="231"/>
      <c r="G619" s="231"/>
      <c r="H619" s="231"/>
      <c r="I619" s="231"/>
      <c r="J619" s="231"/>
      <c r="K619" s="231"/>
      <c r="L619" s="231"/>
      <c r="M619" s="231"/>
      <c r="N619" s="231"/>
      <c r="O619" s="231"/>
      <c r="P619" s="231"/>
      <c r="Q619" s="231"/>
      <c r="R619" s="231"/>
      <c r="S619" s="231"/>
      <c r="T619" s="231"/>
      <c r="U619" s="231"/>
      <c r="V619" s="231"/>
      <c r="W619" s="231"/>
      <c r="X619" s="231"/>
      <c r="Y619" s="231"/>
      <c r="Z619" s="231"/>
    </row>
    <row r="620">
      <c r="A620" s="231"/>
      <c r="B620" s="231"/>
      <c r="C620" s="231"/>
      <c r="D620" s="231"/>
      <c r="E620" s="231"/>
      <c r="F620" s="231"/>
      <c r="G620" s="231"/>
      <c r="H620" s="231"/>
      <c r="I620" s="231"/>
      <c r="J620" s="231"/>
      <c r="K620" s="231"/>
      <c r="L620" s="231"/>
      <c r="M620" s="231"/>
      <c r="N620" s="231"/>
      <c r="O620" s="231"/>
      <c r="P620" s="231"/>
      <c r="Q620" s="231"/>
      <c r="R620" s="231"/>
      <c r="S620" s="231"/>
      <c r="T620" s="231"/>
      <c r="U620" s="231"/>
      <c r="V620" s="231"/>
      <c r="W620" s="231"/>
      <c r="X620" s="231"/>
      <c r="Y620" s="231"/>
      <c r="Z620" s="231"/>
    </row>
    <row r="621">
      <c r="A621" s="231"/>
      <c r="B621" s="231"/>
      <c r="C621" s="231"/>
      <c r="D621" s="231"/>
      <c r="E621" s="231"/>
      <c r="F621" s="231"/>
      <c r="G621" s="231"/>
      <c r="H621" s="231"/>
      <c r="I621" s="231"/>
      <c r="J621" s="231"/>
      <c r="K621" s="231"/>
      <c r="L621" s="231"/>
      <c r="M621" s="231"/>
      <c r="N621" s="231"/>
      <c r="O621" s="231"/>
      <c r="P621" s="231"/>
      <c r="Q621" s="231"/>
      <c r="R621" s="231"/>
      <c r="S621" s="231"/>
      <c r="T621" s="231"/>
      <c r="U621" s="231"/>
      <c r="V621" s="231"/>
      <c r="W621" s="231"/>
      <c r="X621" s="231"/>
      <c r="Y621" s="231"/>
      <c r="Z621" s="231"/>
    </row>
    <row r="622">
      <c r="A622" s="231"/>
      <c r="B622" s="231"/>
      <c r="C622" s="231"/>
      <c r="D622" s="231"/>
      <c r="E622" s="231"/>
      <c r="F622" s="231"/>
      <c r="G622" s="231"/>
      <c r="H622" s="231"/>
      <c r="I622" s="231"/>
      <c r="J622" s="231"/>
      <c r="K622" s="231"/>
      <c r="L622" s="231"/>
      <c r="M622" s="231"/>
      <c r="N622" s="231"/>
      <c r="O622" s="231"/>
      <c r="P622" s="231"/>
      <c r="Q622" s="231"/>
      <c r="R622" s="231"/>
      <c r="S622" s="231"/>
      <c r="T622" s="231"/>
      <c r="U622" s="231"/>
      <c r="V622" s="231"/>
      <c r="W622" s="231"/>
      <c r="X622" s="231"/>
      <c r="Y622" s="231"/>
      <c r="Z622" s="231"/>
    </row>
    <row r="623">
      <c r="A623" s="231"/>
      <c r="B623" s="231"/>
      <c r="C623" s="231"/>
      <c r="D623" s="231"/>
      <c r="E623" s="231"/>
      <c r="F623" s="231"/>
      <c r="G623" s="231"/>
      <c r="H623" s="231"/>
      <c r="I623" s="231"/>
      <c r="J623" s="231"/>
      <c r="K623" s="231"/>
      <c r="L623" s="231"/>
      <c r="M623" s="231"/>
      <c r="N623" s="231"/>
      <c r="O623" s="231"/>
      <c r="P623" s="231"/>
      <c r="Q623" s="231"/>
      <c r="R623" s="231"/>
      <c r="S623" s="231"/>
      <c r="T623" s="231"/>
      <c r="U623" s="231"/>
      <c r="V623" s="231"/>
      <c r="W623" s="231"/>
      <c r="X623" s="231"/>
      <c r="Y623" s="231"/>
      <c r="Z623" s="231"/>
    </row>
    <row r="624">
      <c r="A624" s="231"/>
      <c r="B624" s="231"/>
      <c r="C624" s="231"/>
      <c r="D624" s="231"/>
      <c r="E624" s="231"/>
      <c r="F624" s="231"/>
      <c r="G624" s="231"/>
      <c r="H624" s="231"/>
      <c r="I624" s="231"/>
      <c r="J624" s="231"/>
      <c r="K624" s="231"/>
      <c r="L624" s="231"/>
      <c r="M624" s="231"/>
      <c r="N624" s="231"/>
      <c r="O624" s="231"/>
      <c r="P624" s="231"/>
      <c r="Q624" s="231"/>
      <c r="R624" s="231"/>
      <c r="S624" s="231"/>
      <c r="T624" s="231"/>
      <c r="U624" s="231"/>
      <c r="V624" s="231"/>
      <c r="W624" s="231"/>
      <c r="X624" s="231"/>
      <c r="Y624" s="231"/>
      <c r="Z624" s="231"/>
    </row>
    <row r="625">
      <c r="A625" s="231"/>
      <c r="B625" s="231"/>
      <c r="C625" s="231"/>
      <c r="D625" s="231"/>
      <c r="E625" s="231"/>
      <c r="F625" s="231"/>
      <c r="G625" s="231"/>
      <c r="H625" s="231"/>
      <c r="I625" s="231"/>
      <c r="J625" s="231"/>
      <c r="K625" s="231"/>
      <c r="L625" s="231"/>
      <c r="M625" s="231"/>
      <c r="N625" s="231"/>
      <c r="O625" s="231"/>
      <c r="P625" s="231"/>
      <c r="Q625" s="231"/>
      <c r="R625" s="231"/>
      <c r="S625" s="231"/>
      <c r="T625" s="231"/>
      <c r="U625" s="231"/>
      <c r="V625" s="231"/>
      <c r="W625" s="231"/>
      <c r="X625" s="231"/>
      <c r="Y625" s="231"/>
      <c r="Z625" s="231"/>
    </row>
    <row r="626">
      <c r="A626" s="231"/>
      <c r="B626" s="231"/>
      <c r="C626" s="231"/>
      <c r="D626" s="231"/>
      <c r="E626" s="231"/>
      <c r="F626" s="231"/>
      <c r="G626" s="231"/>
      <c r="H626" s="231"/>
      <c r="I626" s="231"/>
      <c r="J626" s="231"/>
      <c r="K626" s="231"/>
      <c r="L626" s="231"/>
      <c r="M626" s="231"/>
      <c r="N626" s="231"/>
      <c r="O626" s="231"/>
      <c r="P626" s="231"/>
      <c r="Q626" s="231"/>
      <c r="R626" s="231"/>
      <c r="S626" s="231"/>
      <c r="T626" s="231"/>
      <c r="U626" s="231"/>
      <c r="V626" s="231"/>
      <c r="W626" s="231"/>
      <c r="X626" s="231"/>
      <c r="Y626" s="231"/>
      <c r="Z626" s="231"/>
    </row>
    <row r="627">
      <c r="A627" s="231"/>
      <c r="B627" s="231"/>
      <c r="C627" s="231"/>
      <c r="D627" s="231"/>
      <c r="E627" s="231"/>
      <c r="F627" s="231"/>
      <c r="G627" s="231"/>
      <c r="H627" s="231"/>
      <c r="I627" s="231"/>
      <c r="J627" s="231"/>
      <c r="K627" s="231"/>
      <c r="L627" s="231"/>
      <c r="M627" s="231"/>
      <c r="N627" s="231"/>
      <c r="O627" s="231"/>
      <c r="P627" s="231"/>
      <c r="Q627" s="231"/>
      <c r="R627" s="231"/>
      <c r="S627" s="231"/>
      <c r="T627" s="231"/>
      <c r="U627" s="231"/>
      <c r="V627" s="231"/>
      <c r="W627" s="231"/>
      <c r="X627" s="231"/>
      <c r="Y627" s="231"/>
      <c r="Z627" s="231"/>
    </row>
    <row r="628">
      <c r="A628" s="231"/>
      <c r="B628" s="231"/>
      <c r="C628" s="231"/>
      <c r="D628" s="231"/>
      <c r="E628" s="231"/>
      <c r="F628" s="231"/>
      <c r="G628" s="231"/>
      <c r="H628" s="231"/>
      <c r="I628" s="231"/>
      <c r="J628" s="231"/>
      <c r="K628" s="231"/>
      <c r="L628" s="231"/>
      <c r="M628" s="231"/>
      <c r="N628" s="231"/>
      <c r="O628" s="231"/>
      <c r="P628" s="231"/>
      <c r="Q628" s="231"/>
      <c r="R628" s="231"/>
      <c r="S628" s="231"/>
      <c r="T628" s="231"/>
      <c r="U628" s="231"/>
      <c r="V628" s="231"/>
      <c r="W628" s="231"/>
      <c r="X628" s="231"/>
      <c r="Y628" s="231"/>
      <c r="Z628" s="231"/>
    </row>
    <row r="629">
      <c r="A629" s="231"/>
      <c r="B629" s="231"/>
      <c r="C629" s="231"/>
      <c r="D629" s="231"/>
      <c r="E629" s="231"/>
      <c r="F629" s="231"/>
      <c r="G629" s="231"/>
      <c r="H629" s="231"/>
      <c r="I629" s="231"/>
      <c r="J629" s="231"/>
      <c r="K629" s="231"/>
      <c r="L629" s="231"/>
      <c r="M629" s="231"/>
      <c r="N629" s="231"/>
      <c r="O629" s="231"/>
      <c r="P629" s="231"/>
      <c r="Q629" s="231"/>
      <c r="R629" s="231"/>
      <c r="S629" s="231"/>
      <c r="T629" s="231"/>
      <c r="U629" s="231"/>
      <c r="V629" s="231"/>
      <c r="W629" s="231"/>
      <c r="X629" s="231"/>
      <c r="Y629" s="231"/>
      <c r="Z629" s="231"/>
    </row>
    <row r="630">
      <c r="A630" s="231"/>
      <c r="B630" s="231"/>
      <c r="C630" s="231"/>
      <c r="D630" s="231"/>
      <c r="E630" s="231"/>
      <c r="F630" s="231"/>
      <c r="G630" s="231"/>
      <c r="H630" s="231"/>
      <c r="I630" s="231"/>
      <c r="J630" s="231"/>
      <c r="K630" s="231"/>
      <c r="L630" s="231"/>
      <c r="M630" s="231"/>
      <c r="N630" s="231"/>
      <c r="O630" s="231"/>
      <c r="P630" s="231"/>
      <c r="Q630" s="231"/>
      <c r="R630" s="231"/>
      <c r="S630" s="231"/>
      <c r="T630" s="231"/>
      <c r="U630" s="231"/>
      <c r="V630" s="231"/>
      <c r="W630" s="231"/>
      <c r="X630" s="231"/>
      <c r="Y630" s="231"/>
      <c r="Z630" s="231"/>
    </row>
    <row r="631">
      <c r="A631" s="231"/>
      <c r="B631" s="231"/>
      <c r="C631" s="231"/>
      <c r="D631" s="231"/>
      <c r="E631" s="231"/>
      <c r="F631" s="231"/>
      <c r="G631" s="231"/>
      <c r="H631" s="231"/>
      <c r="I631" s="231"/>
      <c r="J631" s="231"/>
      <c r="K631" s="231"/>
      <c r="L631" s="231"/>
      <c r="M631" s="231"/>
      <c r="N631" s="231"/>
      <c r="O631" s="231"/>
      <c r="P631" s="231"/>
      <c r="Q631" s="231"/>
      <c r="R631" s="231"/>
      <c r="S631" s="231"/>
      <c r="T631" s="231"/>
      <c r="U631" s="231"/>
      <c r="V631" s="231"/>
      <c r="W631" s="231"/>
      <c r="X631" s="231"/>
      <c r="Y631" s="231"/>
      <c r="Z631" s="231"/>
    </row>
    <row r="632">
      <c r="A632" s="231"/>
      <c r="B632" s="231"/>
      <c r="C632" s="231"/>
      <c r="D632" s="231"/>
      <c r="E632" s="231"/>
      <c r="F632" s="231"/>
      <c r="G632" s="231"/>
      <c r="H632" s="231"/>
      <c r="I632" s="231"/>
      <c r="J632" s="231"/>
      <c r="K632" s="231"/>
      <c r="L632" s="231"/>
      <c r="M632" s="231"/>
      <c r="N632" s="231"/>
      <c r="O632" s="231"/>
      <c r="P632" s="231"/>
      <c r="Q632" s="231"/>
      <c r="R632" s="231"/>
      <c r="S632" s="231"/>
      <c r="T632" s="231"/>
      <c r="U632" s="231"/>
      <c r="V632" s="231"/>
      <c r="W632" s="231"/>
      <c r="X632" s="231"/>
      <c r="Y632" s="231"/>
      <c r="Z632" s="231"/>
    </row>
    <row r="633">
      <c r="A633" s="231"/>
      <c r="B633" s="231"/>
      <c r="C633" s="231"/>
      <c r="D633" s="231"/>
      <c r="E633" s="231"/>
      <c r="F633" s="231"/>
      <c r="G633" s="231"/>
      <c r="H633" s="231"/>
      <c r="I633" s="231"/>
      <c r="J633" s="231"/>
      <c r="K633" s="231"/>
      <c r="L633" s="231"/>
      <c r="M633" s="231"/>
      <c r="N633" s="231"/>
      <c r="O633" s="231"/>
      <c r="P633" s="231"/>
      <c r="Q633" s="231"/>
      <c r="R633" s="231"/>
      <c r="S633" s="231"/>
      <c r="T633" s="231"/>
      <c r="U633" s="231"/>
      <c r="V633" s="231"/>
      <c r="W633" s="231"/>
      <c r="X633" s="231"/>
      <c r="Y633" s="231"/>
      <c r="Z633" s="231"/>
    </row>
    <row r="634">
      <c r="A634" s="231"/>
      <c r="B634" s="231"/>
      <c r="C634" s="231"/>
      <c r="D634" s="231"/>
      <c r="E634" s="231"/>
      <c r="F634" s="231"/>
      <c r="G634" s="231"/>
      <c r="H634" s="231"/>
      <c r="I634" s="231"/>
      <c r="J634" s="231"/>
      <c r="K634" s="231"/>
      <c r="L634" s="231"/>
      <c r="M634" s="231"/>
      <c r="N634" s="231"/>
      <c r="O634" s="231"/>
      <c r="P634" s="231"/>
      <c r="Q634" s="231"/>
      <c r="R634" s="231"/>
      <c r="S634" s="231"/>
      <c r="T634" s="231"/>
      <c r="U634" s="231"/>
      <c r="V634" s="231"/>
      <c r="W634" s="231"/>
      <c r="X634" s="231"/>
      <c r="Y634" s="231"/>
      <c r="Z634" s="231"/>
    </row>
    <row r="635">
      <c r="A635" s="231"/>
      <c r="B635" s="231"/>
      <c r="C635" s="231"/>
      <c r="D635" s="231"/>
      <c r="E635" s="231"/>
      <c r="F635" s="231"/>
      <c r="G635" s="231"/>
      <c r="H635" s="231"/>
      <c r="I635" s="231"/>
      <c r="J635" s="231"/>
      <c r="K635" s="231"/>
      <c r="L635" s="231"/>
      <c r="M635" s="231"/>
      <c r="N635" s="231"/>
      <c r="O635" s="231"/>
      <c r="P635" s="231"/>
      <c r="Q635" s="231"/>
      <c r="R635" s="231"/>
      <c r="S635" s="231"/>
      <c r="T635" s="231"/>
      <c r="U635" s="231"/>
      <c r="V635" s="231"/>
      <c r="W635" s="231"/>
      <c r="X635" s="231"/>
      <c r="Y635" s="231"/>
      <c r="Z635" s="231"/>
    </row>
    <row r="636">
      <c r="A636" s="231"/>
      <c r="B636" s="231"/>
      <c r="C636" s="231"/>
      <c r="D636" s="231"/>
      <c r="E636" s="231"/>
      <c r="F636" s="231"/>
      <c r="G636" s="231"/>
      <c r="H636" s="231"/>
      <c r="I636" s="231"/>
      <c r="J636" s="231"/>
      <c r="K636" s="231"/>
      <c r="L636" s="231"/>
      <c r="M636" s="231"/>
      <c r="N636" s="231"/>
      <c r="O636" s="231"/>
      <c r="P636" s="231"/>
      <c r="Q636" s="231"/>
      <c r="R636" s="231"/>
      <c r="S636" s="231"/>
      <c r="T636" s="231"/>
      <c r="U636" s="231"/>
      <c r="V636" s="231"/>
      <c r="W636" s="231"/>
      <c r="X636" s="231"/>
      <c r="Y636" s="231"/>
      <c r="Z636" s="231"/>
    </row>
    <row r="637">
      <c r="A637" s="231"/>
      <c r="B637" s="231"/>
      <c r="C637" s="231"/>
      <c r="D637" s="231"/>
      <c r="E637" s="231"/>
      <c r="F637" s="231"/>
      <c r="G637" s="231"/>
      <c r="H637" s="231"/>
      <c r="I637" s="231"/>
      <c r="J637" s="231"/>
      <c r="K637" s="231"/>
      <c r="L637" s="231"/>
      <c r="M637" s="231"/>
      <c r="N637" s="231"/>
      <c r="O637" s="231"/>
      <c r="P637" s="231"/>
      <c r="Q637" s="231"/>
      <c r="R637" s="231"/>
      <c r="S637" s="231"/>
      <c r="T637" s="231"/>
      <c r="U637" s="231"/>
      <c r="V637" s="231"/>
      <c r="W637" s="231"/>
      <c r="X637" s="231"/>
      <c r="Y637" s="231"/>
      <c r="Z637" s="231"/>
    </row>
    <row r="638">
      <c r="A638" s="231"/>
      <c r="B638" s="231"/>
      <c r="C638" s="231"/>
      <c r="D638" s="231"/>
      <c r="E638" s="231"/>
      <c r="F638" s="231"/>
      <c r="G638" s="231"/>
      <c r="H638" s="231"/>
      <c r="I638" s="231"/>
      <c r="J638" s="231"/>
      <c r="K638" s="231"/>
      <c r="L638" s="231"/>
      <c r="M638" s="231"/>
      <c r="N638" s="231"/>
      <c r="O638" s="231"/>
      <c r="P638" s="231"/>
      <c r="Q638" s="231"/>
      <c r="R638" s="231"/>
      <c r="S638" s="231"/>
      <c r="T638" s="231"/>
      <c r="U638" s="231"/>
      <c r="V638" s="231"/>
      <c r="W638" s="231"/>
      <c r="X638" s="231"/>
      <c r="Y638" s="231"/>
      <c r="Z638" s="231"/>
    </row>
    <row r="639">
      <c r="A639" s="231"/>
      <c r="B639" s="231"/>
      <c r="C639" s="231"/>
      <c r="D639" s="231"/>
      <c r="E639" s="231"/>
      <c r="F639" s="231"/>
      <c r="G639" s="231"/>
      <c r="H639" s="231"/>
      <c r="I639" s="231"/>
      <c r="J639" s="231"/>
      <c r="K639" s="231"/>
      <c r="L639" s="231"/>
      <c r="M639" s="231"/>
      <c r="N639" s="231"/>
      <c r="O639" s="231"/>
      <c r="P639" s="231"/>
      <c r="Q639" s="231"/>
      <c r="R639" s="231"/>
      <c r="S639" s="231"/>
      <c r="T639" s="231"/>
      <c r="U639" s="231"/>
      <c r="V639" s="231"/>
      <c r="W639" s="231"/>
      <c r="X639" s="231"/>
      <c r="Y639" s="231"/>
      <c r="Z639" s="231"/>
    </row>
    <row r="640">
      <c r="A640" s="231"/>
      <c r="B640" s="231"/>
      <c r="C640" s="231"/>
      <c r="D640" s="231"/>
      <c r="E640" s="231"/>
      <c r="F640" s="231"/>
      <c r="G640" s="231"/>
      <c r="H640" s="231"/>
      <c r="I640" s="231"/>
      <c r="J640" s="231"/>
      <c r="K640" s="231"/>
      <c r="L640" s="231"/>
      <c r="M640" s="231"/>
      <c r="N640" s="231"/>
      <c r="O640" s="231"/>
      <c r="P640" s="231"/>
      <c r="Q640" s="231"/>
      <c r="R640" s="231"/>
      <c r="S640" s="231"/>
      <c r="T640" s="231"/>
      <c r="U640" s="231"/>
      <c r="V640" s="231"/>
      <c r="W640" s="231"/>
      <c r="X640" s="231"/>
      <c r="Y640" s="231"/>
      <c r="Z640" s="231"/>
    </row>
    <row r="641">
      <c r="A641" s="231"/>
      <c r="B641" s="231"/>
      <c r="C641" s="231"/>
      <c r="D641" s="231"/>
      <c r="E641" s="231"/>
      <c r="F641" s="231"/>
      <c r="G641" s="231"/>
      <c r="H641" s="231"/>
      <c r="I641" s="231"/>
      <c r="J641" s="231"/>
      <c r="K641" s="231"/>
      <c r="L641" s="231"/>
      <c r="M641" s="231"/>
      <c r="N641" s="231"/>
      <c r="O641" s="231"/>
      <c r="P641" s="231"/>
      <c r="Q641" s="231"/>
      <c r="R641" s="231"/>
      <c r="S641" s="231"/>
      <c r="T641" s="231"/>
      <c r="U641" s="231"/>
      <c r="V641" s="231"/>
      <c r="W641" s="231"/>
      <c r="X641" s="231"/>
      <c r="Y641" s="231"/>
      <c r="Z641" s="231"/>
    </row>
    <row r="642">
      <c r="A642" s="231"/>
      <c r="B642" s="231"/>
      <c r="C642" s="231"/>
      <c r="D642" s="231"/>
      <c r="E642" s="231"/>
      <c r="F642" s="231"/>
      <c r="G642" s="231"/>
      <c r="H642" s="231"/>
      <c r="I642" s="231"/>
      <c r="J642" s="231"/>
      <c r="K642" s="231"/>
      <c r="L642" s="231"/>
      <c r="M642" s="231"/>
      <c r="N642" s="231"/>
      <c r="O642" s="231"/>
      <c r="P642" s="231"/>
      <c r="Q642" s="231"/>
      <c r="R642" s="231"/>
      <c r="S642" s="231"/>
      <c r="T642" s="231"/>
      <c r="U642" s="231"/>
      <c r="V642" s="231"/>
      <c r="W642" s="231"/>
      <c r="X642" s="231"/>
      <c r="Y642" s="231"/>
      <c r="Z642" s="231"/>
    </row>
    <row r="643">
      <c r="A643" s="231"/>
      <c r="B643" s="231"/>
      <c r="C643" s="231"/>
      <c r="D643" s="231"/>
      <c r="E643" s="231"/>
      <c r="F643" s="231"/>
      <c r="G643" s="231"/>
      <c r="H643" s="231"/>
      <c r="I643" s="231"/>
      <c r="J643" s="231"/>
      <c r="K643" s="231"/>
      <c r="L643" s="231"/>
      <c r="M643" s="231"/>
      <c r="N643" s="231"/>
      <c r="O643" s="231"/>
      <c r="P643" s="231"/>
      <c r="Q643" s="231"/>
      <c r="R643" s="231"/>
      <c r="S643" s="231"/>
      <c r="T643" s="231"/>
      <c r="U643" s="231"/>
      <c r="V643" s="231"/>
      <c r="W643" s="231"/>
      <c r="X643" s="231"/>
      <c r="Y643" s="231"/>
      <c r="Z643" s="231"/>
    </row>
    <row r="644">
      <c r="A644" s="231"/>
      <c r="B644" s="231"/>
      <c r="C644" s="231"/>
      <c r="D644" s="231"/>
      <c r="E644" s="231"/>
      <c r="F644" s="231"/>
      <c r="G644" s="231"/>
      <c r="H644" s="231"/>
      <c r="I644" s="231"/>
      <c r="J644" s="231"/>
      <c r="K644" s="231"/>
      <c r="L644" s="231"/>
      <c r="M644" s="231"/>
      <c r="N644" s="231"/>
      <c r="O644" s="231"/>
      <c r="P644" s="231"/>
      <c r="Q644" s="231"/>
      <c r="R644" s="231"/>
      <c r="S644" s="231"/>
      <c r="T644" s="231"/>
      <c r="U644" s="231"/>
      <c r="V644" s="231"/>
      <c r="W644" s="231"/>
      <c r="X644" s="231"/>
      <c r="Y644" s="231"/>
      <c r="Z644" s="231"/>
    </row>
    <row r="645">
      <c r="A645" s="231"/>
      <c r="B645" s="231"/>
      <c r="C645" s="231"/>
      <c r="D645" s="231"/>
      <c r="E645" s="231"/>
      <c r="F645" s="231"/>
      <c r="G645" s="231"/>
      <c r="H645" s="231"/>
      <c r="I645" s="231"/>
      <c r="J645" s="231"/>
      <c r="K645" s="231"/>
      <c r="L645" s="231"/>
      <c r="M645" s="231"/>
      <c r="N645" s="231"/>
      <c r="O645" s="231"/>
      <c r="P645" s="231"/>
      <c r="Q645" s="231"/>
      <c r="R645" s="231"/>
      <c r="S645" s="231"/>
      <c r="T645" s="231"/>
      <c r="U645" s="231"/>
      <c r="V645" s="231"/>
      <c r="W645" s="231"/>
      <c r="X645" s="231"/>
      <c r="Y645" s="231"/>
      <c r="Z645" s="231"/>
    </row>
    <row r="646">
      <c r="A646" s="231"/>
      <c r="B646" s="231"/>
      <c r="C646" s="231"/>
      <c r="D646" s="231"/>
      <c r="E646" s="231"/>
      <c r="F646" s="231"/>
      <c r="G646" s="231"/>
      <c r="H646" s="231"/>
      <c r="I646" s="231"/>
      <c r="J646" s="231"/>
      <c r="K646" s="231"/>
      <c r="L646" s="231"/>
      <c r="M646" s="231"/>
      <c r="N646" s="231"/>
      <c r="O646" s="231"/>
      <c r="P646" s="231"/>
      <c r="Q646" s="231"/>
      <c r="R646" s="231"/>
      <c r="S646" s="231"/>
      <c r="T646" s="231"/>
      <c r="U646" s="231"/>
      <c r="V646" s="231"/>
      <c r="W646" s="231"/>
      <c r="X646" s="231"/>
      <c r="Y646" s="231"/>
      <c r="Z646" s="231"/>
    </row>
    <row r="647">
      <c r="A647" s="231"/>
      <c r="B647" s="231"/>
      <c r="C647" s="231"/>
      <c r="D647" s="231"/>
      <c r="E647" s="231"/>
      <c r="F647" s="231"/>
      <c r="G647" s="231"/>
      <c r="H647" s="231"/>
      <c r="I647" s="231"/>
      <c r="J647" s="231"/>
      <c r="K647" s="231"/>
      <c r="L647" s="231"/>
      <c r="M647" s="231"/>
      <c r="N647" s="231"/>
      <c r="O647" s="231"/>
      <c r="P647" s="231"/>
      <c r="Q647" s="231"/>
      <c r="R647" s="231"/>
      <c r="S647" s="231"/>
      <c r="T647" s="231"/>
      <c r="U647" s="231"/>
      <c r="V647" s="231"/>
      <c r="W647" s="231"/>
      <c r="X647" s="231"/>
      <c r="Y647" s="231"/>
      <c r="Z647" s="231"/>
    </row>
    <row r="648">
      <c r="A648" s="231"/>
      <c r="B648" s="231"/>
      <c r="C648" s="231"/>
      <c r="D648" s="231"/>
      <c r="E648" s="231"/>
      <c r="F648" s="231"/>
      <c r="G648" s="231"/>
      <c r="H648" s="231"/>
      <c r="I648" s="231"/>
      <c r="J648" s="231"/>
      <c r="K648" s="231"/>
      <c r="L648" s="231"/>
      <c r="M648" s="231"/>
      <c r="N648" s="231"/>
      <c r="O648" s="231"/>
      <c r="P648" s="231"/>
      <c r="Q648" s="231"/>
      <c r="R648" s="231"/>
      <c r="S648" s="231"/>
      <c r="T648" s="231"/>
      <c r="U648" s="231"/>
      <c r="V648" s="231"/>
      <c r="W648" s="231"/>
      <c r="X648" s="231"/>
      <c r="Y648" s="231"/>
      <c r="Z648" s="231"/>
    </row>
    <row r="649">
      <c r="A649" s="231"/>
      <c r="B649" s="231"/>
      <c r="C649" s="231"/>
      <c r="D649" s="231"/>
      <c r="E649" s="231"/>
      <c r="F649" s="231"/>
      <c r="G649" s="231"/>
      <c r="H649" s="231"/>
      <c r="I649" s="231"/>
      <c r="J649" s="231"/>
      <c r="K649" s="231"/>
      <c r="L649" s="231"/>
      <c r="M649" s="231"/>
      <c r="N649" s="231"/>
      <c r="O649" s="231"/>
      <c r="P649" s="231"/>
      <c r="Q649" s="231"/>
      <c r="R649" s="231"/>
      <c r="S649" s="231"/>
      <c r="T649" s="231"/>
      <c r="U649" s="231"/>
      <c r="V649" s="231"/>
      <c r="W649" s="231"/>
      <c r="X649" s="231"/>
      <c r="Y649" s="231"/>
      <c r="Z649" s="231"/>
    </row>
    <row r="650">
      <c r="A650" s="231"/>
      <c r="B650" s="231"/>
      <c r="C650" s="231"/>
      <c r="D650" s="231"/>
      <c r="E650" s="231"/>
      <c r="F650" s="231"/>
      <c r="G650" s="231"/>
      <c r="H650" s="231"/>
      <c r="I650" s="231"/>
      <c r="J650" s="231"/>
      <c r="K650" s="231"/>
      <c r="L650" s="231"/>
      <c r="M650" s="231"/>
      <c r="N650" s="231"/>
      <c r="O650" s="231"/>
      <c r="P650" s="231"/>
      <c r="Q650" s="231"/>
      <c r="R650" s="231"/>
      <c r="S650" s="231"/>
      <c r="T650" s="231"/>
      <c r="U650" s="231"/>
      <c r="V650" s="231"/>
      <c r="W650" s="231"/>
      <c r="X650" s="231"/>
      <c r="Y650" s="231"/>
      <c r="Z650" s="231"/>
    </row>
    <row r="651">
      <c r="A651" s="231"/>
      <c r="B651" s="231"/>
      <c r="C651" s="231"/>
      <c r="D651" s="231"/>
      <c r="E651" s="231"/>
      <c r="F651" s="231"/>
      <c r="G651" s="231"/>
      <c r="H651" s="231"/>
      <c r="I651" s="231"/>
      <c r="J651" s="231"/>
      <c r="K651" s="231"/>
      <c r="L651" s="231"/>
      <c r="M651" s="231"/>
      <c r="N651" s="231"/>
      <c r="O651" s="231"/>
      <c r="P651" s="231"/>
      <c r="Q651" s="231"/>
      <c r="R651" s="231"/>
      <c r="S651" s="231"/>
      <c r="T651" s="231"/>
      <c r="U651" s="231"/>
      <c r="V651" s="231"/>
      <c r="W651" s="231"/>
      <c r="X651" s="231"/>
      <c r="Y651" s="231"/>
      <c r="Z651" s="231"/>
    </row>
    <row r="652">
      <c r="A652" s="231"/>
      <c r="B652" s="231"/>
      <c r="C652" s="231"/>
      <c r="D652" s="231"/>
      <c r="E652" s="231"/>
      <c r="F652" s="231"/>
      <c r="G652" s="231"/>
      <c r="H652" s="231"/>
      <c r="I652" s="231"/>
      <c r="J652" s="231"/>
      <c r="K652" s="231"/>
      <c r="L652" s="231"/>
      <c r="M652" s="231"/>
      <c r="N652" s="231"/>
      <c r="O652" s="231"/>
      <c r="P652" s="231"/>
      <c r="Q652" s="231"/>
      <c r="R652" s="231"/>
      <c r="S652" s="231"/>
      <c r="T652" s="231"/>
      <c r="U652" s="231"/>
      <c r="V652" s="231"/>
      <c r="W652" s="231"/>
      <c r="X652" s="231"/>
      <c r="Y652" s="231"/>
      <c r="Z652" s="231"/>
    </row>
    <row r="653">
      <c r="A653" s="231"/>
      <c r="B653" s="231"/>
      <c r="C653" s="231"/>
      <c r="D653" s="231"/>
      <c r="E653" s="231"/>
      <c r="F653" s="231"/>
      <c r="G653" s="231"/>
      <c r="H653" s="231"/>
      <c r="I653" s="231"/>
      <c r="J653" s="231"/>
      <c r="K653" s="231"/>
      <c r="L653" s="231"/>
      <c r="M653" s="231"/>
      <c r="N653" s="231"/>
      <c r="O653" s="231"/>
      <c r="P653" s="231"/>
      <c r="Q653" s="231"/>
      <c r="R653" s="231"/>
      <c r="S653" s="231"/>
      <c r="T653" s="231"/>
      <c r="U653" s="231"/>
      <c r="V653" s="231"/>
      <c r="W653" s="231"/>
      <c r="X653" s="231"/>
      <c r="Y653" s="231"/>
      <c r="Z653" s="231"/>
    </row>
    <row r="654">
      <c r="A654" s="231"/>
      <c r="B654" s="231"/>
      <c r="C654" s="231"/>
      <c r="D654" s="231"/>
      <c r="E654" s="231"/>
      <c r="F654" s="231"/>
      <c r="G654" s="231"/>
      <c r="H654" s="231"/>
      <c r="I654" s="231"/>
      <c r="J654" s="231"/>
      <c r="K654" s="231"/>
      <c r="L654" s="231"/>
      <c r="M654" s="231"/>
      <c r="N654" s="231"/>
      <c r="O654" s="231"/>
      <c r="P654" s="231"/>
      <c r="Q654" s="231"/>
      <c r="R654" s="231"/>
      <c r="S654" s="231"/>
      <c r="T654" s="231"/>
      <c r="U654" s="231"/>
      <c r="V654" s="231"/>
      <c r="W654" s="231"/>
      <c r="X654" s="231"/>
      <c r="Y654" s="231"/>
      <c r="Z654" s="231"/>
    </row>
    <row r="655">
      <c r="A655" s="231"/>
      <c r="B655" s="231"/>
      <c r="C655" s="231"/>
      <c r="D655" s="231"/>
      <c r="E655" s="231"/>
      <c r="F655" s="231"/>
      <c r="G655" s="231"/>
      <c r="H655" s="231"/>
      <c r="I655" s="231"/>
      <c r="J655" s="231"/>
      <c r="K655" s="231"/>
      <c r="L655" s="231"/>
      <c r="M655" s="231"/>
      <c r="N655" s="231"/>
      <c r="O655" s="231"/>
      <c r="P655" s="231"/>
      <c r="Q655" s="231"/>
      <c r="R655" s="231"/>
      <c r="S655" s="231"/>
      <c r="T655" s="231"/>
      <c r="U655" s="231"/>
      <c r="V655" s="231"/>
      <c r="W655" s="231"/>
      <c r="X655" s="231"/>
      <c r="Y655" s="231"/>
      <c r="Z655" s="231"/>
    </row>
    <row r="656">
      <c r="A656" s="231"/>
      <c r="B656" s="231"/>
      <c r="C656" s="231"/>
      <c r="D656" s="231"/>
      <c r="E656" s="231"/>
      <c r="F656" s="231"/>
      <c r="G656" s="231"/>
      <c r="H656" s="231"/>
      <c r="I656" s="231"/>
      <c r="J656" s="231"/>
      <c r="K656" s="231"/>
      <c r="L656" s="231"/>
      <c r="M656" s="231"/>
      <c r="N656" s="231"/>
      <c r="O656" s="231"/>
      <c r="P656" s="231"/>
      <c r="Q656" s="231"/>
      <c r="R656" s="231"/>
      <c r="S656" s="231"/>
      <c r="T656" s="231"/>
      <c r="U656" s="231"/>
      <c r="V656" s="231"/>
      <c r="W656" s="231"/>
      <c r="X656" s="231"/>
      <c r="Y656" s="231"/>
      <c r="Z656" s="231"/>
    </row>
    <row r="657">
      <c r="A657" s="231"/>
      <c r="B657" s="231"/>
      <c r="C657" s="231"/>
      <c r="D657" s="231"/>
      <c r="E657" s="231"/>
      <c r="F657" s="231"/>
      <c r="G657" s="231"/>
      <c r="H657" s="231"/>
      <c r="I657" s="231"/>
      <c r="J657" s="231"/>
      <c r="K657" s="231"/>
      <c r="L657" s="231"/>
      <c r="M657" s="231"/>
      <c r="N657" s="231"/>
      <c r="O657" s="231"/>
      <c r="P657" s="231"/>
      <c r="Q657" s="231"/>
      <c r="R657" s="231"/>
      <c r="S657" s="231"/>
      <c r="T657" s="231"/>
      <c r="U657" s="231"/>
      <c r="V657" s="231"/>
      <c r="W657" s="231"/>
      <c r="X657" s="231"/>
      <c r="Y657" s="231"/>
      <c r="Z657" s="231"/>
    </row>
    <row r="658">
      <c r="A658" s="231"/>
      <c r="B658" s="231"/>
      <c r="C658" s="231"/>
      <c r="D658" s="231"/>
      <c r="E658" s="231"/>
      <c r="F658" s="231"/>
      <c r="G658" s="231"/>
      <c r="H658" s="231"/>
      <c r="I658" s="231"/>
      <c r="J658" s="231"/>
      <c r="K658" s="231"/>
      <c r="L658" s="231"/>
      <c r="M658" s="231"/>
      <c r="N658" s="231"/>
      <c r="O658" s="231"/>
      <c r="P658" s="231"/>
      <c r="Q658" s="231"/>
      <c r="R658" s="231"/>
      <c r="S658" s="231"/>
      <c r="T658" s="231"/>
      <c r="U658" s="231"/>
      <c r="V658" s="231"/>
      <c r="W658" s="231"/>
      <c r="X658" s="231"/>
      <c r="Y658" s="231"/>
      <c r="Z658" s="231"/>
    </row>
    <row r="659">
      <c r="A659" s="231"/>
      <c r="B659" s="231"/>
      <c r="C659" s="231"/>
      <c r="D659" s="231"/>
      <c r="E659" s="231"/>
      <c r="F659" s="231"/>
      <c r="G659" s="231"/>
      <c r="H659" s="231"/>
      <c r="I659" s="231"/>
      <c r="J659" s="231"/>
      <c r="K659" s="231"/>
      <c r="L659" s="231"/>
      <c r="M659" s="231"/>
      <c r="N659" s="231"/>
      <c r="O659" s="231"/>
      <c r="P659" s="231"/>
      <c r="Q659" s="231"/>
      <c r="R659" s="231"/>
      <c r="S659" s="231"/>
      <c r="T659" s="231"/>
      <c r="U659" s="231"/>
      <c r="V659" s="231"/>
      <c r="W659" s="231"/>
      <c r="X659" s="231"/>
      <c r="Y659" s="231"/>
      <c r="Z659" s="231"/>
    </row>
    <row r="660">
      <c r="A660" s="231"/>
      <c r="B660" s="231"/>
      <c r="C660" s="231"/>
      <c r="D660" s="231"/>
      <c r="E660" s="231"/>
      <c r="F660" s="231"/>
      <c r="G660" s="231"/>
      <c r="H660" s="231"/>
      <c r="I660" s="231"/>
      <c r="J660" s="231"/>
      <c r="K660" s="231"/>
      <c r="L660" s="231"/>
      <c r="M660" s="231"/>
      <c r="N660" s="231"/>
      <c r="O660" s="231"/>
      <c r="P660" s="231"/>
      <c r="Q660" s="231"/>
      <c r="R660" s="231"/>
      <c r="S660" s="231"/>
      <c r="T660" s="231"/>
      <c r="U660" s="231"/>
      <c r="V660" s="231"/>
      <c r="W660" s="231"/>
      <c r="X660" s="231"/>
      <c r="Y660" s="231"/>
      <c r="Z660" s="231"/>
    </row>
    <row r="661">
      <c r="A661" s="231"/>
      <c r="B661" s="231"/>
      <c r="C661" s="231"/>
      <c r="D661" s="231"/>
      <c r="E661" s="231"/>
      <c r="F661" s="231"/>
      <c r="G661" s="231"/>
      <c r="H661" s="231"/>
      <c r="I661" s="231"/>
      <c r="J661" s="231"/>
      <c r="K661" s="231"/>
      <c r="L661" s="231"/>
      <c r="M661" s="231"/>
      <c r="N661" s="231"/>
      <c r="O661" s="231"/>
      <c r="P661" s="231"/>
      <c r="Q661" s="231"/>
      <c r="R661" s="231"/>
      <c r="S661" s="231"/>
      <c r="T661" s="231"/>
      <c r="U661" s="231"/>
      <c r="V661" s="231"/>
      <c r="W661" s="231"/>
      <c r="X661" s="231"/>
      <c r="Y661" s="231"/>
      <c r="Z661" s="231"/>
    </row>
    <row r="662">
      <c r="A662" s="231"/>
      <c r="B662" s="231"/>
      <c r="C662" s="231"/>
      <c r="D662" s="231"/>
      <c r="E662" s="231"/>
      <c r="F662" s="231"/>
      <c r="G662" s="231"/>
      <c r="H662" s="231"/>
      <c r="I662" s="231"/>
      <c r="J662" s="231"/>
      <c r="K662" s="231"/>
      <c r="L662" s="231"/>
      <c r="M662" s="231"/>
      <c r="N662" s="231"/>
      <c r="O662" s="231"/>
      <c r="P662" s="231"/>
      <c r="Q662" s="231"/>
      <c r="R662" s="231"/>
      <c r="S662" s="231"/>
      <c r="T662" s="231"/>
      <c r="U662" s="231"/>
      <c r="V662" s="231"/>
      <c r="W662" s="231"/>
      <c r="X662" s="231"/>
      <c r="Y662" s="231"/>
      <c r="Z662" s="231"/>
    </row>
    <row r="663">
      <c r="A663" s="231"/>
      <c r="B663" s="231"/>
      <c r="C663" s="231"/>
      <c r="D663" s="231"/>
      <c r="E663" s="231"/>
      <c r="F663" s="231"/>
      <c r="G663" s="231"/>
      <c r="H663" s="231"/>
      <c r="I663" s="231"/>
      <c r="J663" s="231"/>
      <c r="K663" s="231"/>
      <c r="L663" s="231"/>
      <c r="M663" s="231"/>
      <c r="N663" s="231"/>
      <c r="O663" s="231"/>
      <c r="P663" s="231"/>
      <c r="Q663" s="231"/>
      <c r="R663" s="231"/>
      <c r="S663" s="231"/>
      <c r="T663" s="231"/>
      <c r="U663" s="231"/>
      <c r="V663" s="231"/>
      <c r="W663" s="231"/>
      <c r="X663" s="231"/>
      <c r="Y663" s="231"/>
      <c r="Z663" s="231"/>
    </row>
    <row r="664">
      <c r="A664" s="231"/>
      <c r="B664" s="231"/>
      <c r="C664" s="231"/>
      <c r="D664" s="231"/>
      <c r="E664" s="231"/>
      <c r="F664" s="231"/>
      <c r="G664" s="231"/>
      <c r="H664" s="231"/>
      <c r="I664" s="231"/>
      <c r="J664" s="231"/>
      <c r="K664" s="231"/>
      <c r="L664" s="231"/>
      <c r="M664" s="231"/>
      <c r="N664" s="231"/>
      <c r="O664" s="231"/>
      <c r="P664" s="231"/>
      <c r="Q664" s="231"/>
      <c r="R664" s="231"/>
      <c r="S664" s="231"/>
      <c r="T664" s="231"/>
      <c r="U664" s="231"/>
      <c r="V664" s="231"/>
      <c r="W664" s="231"/>
      <c r="X664" s="231"/>
      <c r="Y664" s="231"/>
      <c r="Z664" s="231"/>
    </row>
    <row r="665">
      <c r="A665" s="231"/>
      <c r="B665" s="231"/>
      <c r="C665" s="231"/>
      <c r="D665" s="231"/>
      <c r="E665" s="231"/>
      <c r="F665" s="231"/>
      <c r="G665" s="231"/>
      <c r="H665" s="231"/>
      <c r="I665" s="231"/>
      <c r="J665" s="231"/>
      <c r="K665" s="231"/>
      <c r="L665" s="231"/>
      <c r="M665" s="231"/>
      <c r="N665" s="231"/>
      <c r="O665" s="231"/>
      <c r="P665" s="231"/>
      <c r="Q665" s="231"/>
      <c r="R665" s="231"/>
      <c r="S665" s="231"/>
      <c r="T665" s="231"/>
      <c r="U665" s="231"/>
      <c r="V665" s="231"/>
      <c r="W665" s="231"/>
      <c r="X665" s="231"/>
      <c r="Y665" s="231"/>
      <c r="Z665" s="231"/>
    </row>
    <row r="666">
      <c r="A666" s="231"/>
      <c r="B666" s="231"/>
      <c r="C666" s="231"/>
      <c r="D666" s="231"/>
      <c r="E666" s="231"/>
      <c r="F666" s="231"/>
      <c r="G666" s="231"/>
      <c r="H666" s="231"/>
      <c r="I666" s="231"/>
      <c r="J666" s="231"/>
      <c r="K666" s="231"/>
      <c r="L666" s="231"/>
      <c r="M666" s="231"/>
      <c r="N666" s="231"/>
      <c r="O666" s="231"/>
      <c r="P666" s="231"/>
      <c r="Q666" s="231"/>
      <c r="R666" s="231"/>
      <c r="S666" s="231"/>
      <c r="T666" s="231"/>
      <c r="U666" s="231"/>
      <c r="V666" s="231"/>
      <c r="W666" s="231"/>
      <c r="X666" s="231"/>
      <c r="Y666" s="231"/>
      <c r="Z666" s="231"/>
    </row>
    <row r="667">
      <c r="A667" s="231"/>
      <c r="B667" s="231"/>
      <c r="C667" s="231"/>
      <c r="D667" s="231"/>
      <c r="E667" s="231"/>
      <c r="F667" s="231"/>
      <c r="G667" s="231"/>
      <c r="H667" s="231"/>
      <c r="I667" s="231"/>
      <c r="J667" s="231"/>
      <c r="K667" s="231"/>
      <c r="L667" s="231"/>
      <c r="M667" s="231"/>
      <c r="N667" s="231"/>
      <c r="O667" s="231"/>
      <c r="P667" s="231"/>
      <c r="Q667" s="231"/>
      <c r="R667" s="231"/>
      <c r="S667" s="231"/>
      <c r="T667" s="231"/>
      <c r="U667" s="231"/>
      <c r="V667" s="231"/>
      <c r="W667" s="231"/>
      <c r="X667" s="231"/>
      <c r="Y667" s="231"/>
      <c r="Z667" s="231"/>
    </row>
    <row r="668">
      <c r="A668" s="231"/>
      <c r="B668" s="231"/>
      <c r="C668" s="231"/>
      <c r="D668" s="231"/>
      <c r="E668" s="231"/>
      <c r="F668" s="231"/>
      <c r="G668" s="231"/>
      <c r="H668" s="231"/>
      <c r="I668" s="231"/>
      <c r="J668" s="231"/>
      <c r="K668" s="231"/>
      <c r="L668" s="231"/>
      <c r="M668" s="231"/>
      <c r="N668" s="231"/>
      <c r="O668" s="231"/>
      <c r="P668" s="231"/>
      <c r="Q668" s="231"/>
      <c r="R668" s="231"/>
      <c r="S668" s="231"/>
      <c r="T668" s="231"/>
      <c r="U668" s="231"/>
      <c r="V668" s="231"/>
      <c r="W668" s="231"/>
      <c r="X668" s="231"/>
      <c r="Y668" s="231"/>
      <c r="Z668" s="231"/>
    </row>
    <row r="669">
      <c r="A669" s="231"/>
      <c r="B669" s="231"/>
      <c r="C669" s="231"/>
      <c r="D669" s="231"/>
      <c r="E669" s="231"/>
      <c r="F669" s="231"/>
      <c r="G669" s="231"/>
      <c r="H669" s="231"/>
      <c r="I669" s="231"/>
      <c r="J669" s="231"/>
      <c r="K669" s="231"/>
      <c r="L669" s="231"/>
      <c r="M669" s="231"/>
      <c r="N669" s="231"/>
      <c r="O669" s="231"/>
      <c r="P669" s="231"/>
      <c r="Q669" s="231"/>
      <c r="R669" s="231"/>
      <c r="S669" s="231"/>
      <c r="T669" s="231"/>
      <c r="U669" s="231"/>
      <c r="V669" s="231"/>
      <c r="W669" s="231"/>
      <c r="X669" s="231"/>
      <c r="Y669" s="231"/>
      <c r="Z669" s="231"/>
    </row>
    <row r="670">
      <c r="A670" s="231"/>
      <c r="B670" s="231"/>
      <c r="C670" s="231"/>
      <c r="D670" s="231"/>
      <c r="E670" s="231"/>
      <c r="F670" s="231"/>
      <c r="G670" s="231"/>
      <c r="H670" s="231"/>
      <c r="I670" s="231"/>
      <c r="J670" s="231"/>
      <c r="K670" s="231"/>
      <c r="L670" s="231"/>
      <c r="M670" s="231"/>
      <c r="N670" s="231"/>
      <c r="O670" s="231"/>
      <c r="P670" s="231"/>
      <c r="Q670" s="231"/>
      <c r="R670" s="231"/>
      <c r="S670" s="231"/>
      <c r="T670" s="231"/>
      <c r="U670" s="231"/>
      <c r="V670" s="231"/>
      <c r="W670" s="231"/>
      <c r="X670" s="231"/>
      <c r="Y670" s="231"/>
      <c r="Z670" s="231"/>
    </row>
    <row r="671">
      <c r="A671" s="231"/>
      <c r="B671" s="231"/>
      <c r="C671" s="231"/>
      <c r="D671" s="231"/>
      <c r="E671" s="231"/>
      <c r="F671" s="231"/>
      <c r="G671" s="231"/>
      <c r="H671" s="231"/>
      <c r="I671" s="231"/>
      <c r="J671" s="231"/>
      <c r="K671" s="231"/>
      <c r="L671" s="231"/>
      <c r="M671" s="231"/>
      <c r="N671" s="231"/>
      <c r="O671" s="231"/>
      <c r="P671" s="231"/>
      <c r="Q671" s="231"/>
      <c r="R671" s="231"/>
      <c r="S671" s="231"/>
      <c r="T671" s="231"/>
      <c r="U671" s="231"/>
      <c r="V671" s="231"/>
      <c r="W671" s="231"/>
      <c r="X671" s="231"/>
      <c r="Y671" s="231"/>
      <c r="Z671" s="231"/>
    </row>
    <row r="672">
      <c r="A672" s="231"/>
      <c r="B672" s="231"/>
      <c r="C672" s="231"/>
      <c r="D672" s="231"/>
      <c r="E672" s="231"/>
      <c r="F672" s="231"/>
      <c r="G672" s="231"/>
      <c r="H672" s="231"/>
      <c r="I672" s="231"/>
      <c r="J672" s="231"/>
      <c r="K672" s="231"/>
      <c r="L672" s="231"/>
      <c r="M672" s="231"/>
      <c r="N672" s="231"/>
      <c r="O672" s="231"/>
      <c r="P672" s="231"/>
      <c r="Q672" s="231"/>
      <c r="R672" s="231"/>
      <c r="S672" s="231"/>
      <c r="T672" s="231"/>
      <c r="U672" s="231"/>
      <c r="V672" s="231"/>
      <c r="W672" s="231"/>
      <c r="X672" s="231"/>
      <c r="Y672" s="231"/>
      <c r="Z672" s="231"/>
    </row>
    <row r="673">
      <c r="A673" s="231"/>
      <c r="B673" s="231"/>
      <c r="C673" s="231"/>
      <c r="D673" s="231"/>
      <c r="E673" s="231"/>
      <c r="F673" s="231"/>
      <c r="G673" s="231"/>
      <c r="H673" s="231"/>
      <c r="I673" s="231"/>
      <c r="J673" s="231"/>
      <c r="K673" s="231"/>
      <c r="L673" s="231"/>
      <c r="M673" s="231"/>
      <c r="N673" s="231"/>
      <c r="O673" s="231"/>
      <c r="P673" s="231"/>
      <c r="Q673" s="231"/>
      <c r="R673" s="231"/>
      <c r="S673" s="231"/>
      <c r="T673" s="231"/>
      <c r="U673" s="231"/>
      <c r="V673" s="231"/>
      <c r="W673" s="231"/>
      <c r="X673" s="231"/>
      <c r="Y673" s="231"/>
      <c r="Z673" s="231"/>
    </row>
    <row r="674">
      <c r="A674" s="231"/>
      <c r="B674" s="231"/>
      <c r="C674" s="231"/>
      <c r="D674" s="231"/>
      <c r="E674" s="231"/>
      <c r="F674" s="231"/>
      <c r="G674" s="231"/>
      <c r="H674" s="231"/>
      <c r="I674" s="231"/>
      <c r="J674" s="231"/>
      <c r="K674" s="231"/>
      <c r="L674" s="231"/>
      <c r="M674" s="231"/>
      <c r="N674" s="231"/>
      <c r="O674" s="231"/>
      <c r="P674" s="231"/>
      <c r="Q674" s="231"/>
      <c r="R674" s="231"/>
      <c r="S674" s="231"/>
      <c r="T674" s="231"/>
      <c r="U674" s="231"/>
      <c r="V674" s="231"/>
      <c r="W674" s="231"/>
      <c r="X674" s="231"/>
      <c r="Y674" s="231"/>
      <c r="Z674" s="231"/>
    </row>
    <row r="675">
      <c r="A675" s="231"/>
      <c r="B675" s="231"/>
      <c r="C675" s="231"/>
      <c r="D675" s="231"/>
      <c r="E675" s="231"/>
      <c r="F675" s="231"/>
      <c r="G675" s="231"/>
      <c r="H675" s="231"/>
      <c r="I675" s="231"/>
      <c r="J675" s="231"/>
      <c r="K675" s="231"/>
      <c r="L675" s="231"/>
      <c r="M675" s="231"/>
      <c r="N675" s="231"/>
      <c r="O675" s="231"/>
      <c r="P675" s="231"/>
      <c r="Q675" s="231"/>
      <c r="R675" s="231"/>
      <c r="S675" s="231"/>
      <c r="T675" s="231"/>
      <c r="U675" s="231"/>
      <c r="V675" s="231"/>
      <c r="W675" s="231"/>
      <c r="X675" s="231"/>
      <c r="Y675" s="231"/>
      <c r="Z675" s="231"/>
    </row>
    <row r="676">
      <c r="A676" s="231"/>
      <c r="B676" s="231"/>
      <c r="C676" s="231"/>
      <c r="D676" s="231"/>
      <c r="E676" s="231"/>
      <c r="F676" s="231"/>
      <c r="G676" s="231"/>
      <c r="H676" s="231"/>
      <c r="I676" s="231"/>
      <c r="J676" s="231"/>
      <c r="K676" s="231"/>
      <c r="L676" s="231"/>
      <c r="M676" s="231"/>
      <c r="N676" s="231"/>
      <c r="O676" s="231"/>
      <c r="P676" s="231"/>
      <c r="Q676" s="231"/>
      <c r="R676" s="231"/>
      <c r="S676" s="231"/>
      <c r="T676" s="231"/>
      <c r="U676" s="231"/>
      <c r="V676" s="231"/>
      <c r="W676" s="231"/>
      <c r="X676" s="231"/>
      <c r="Y676" s="231"/>
      <c r="Z676" s="231"/>
    </row>
    <row r="677">
      <c r="A677" s="231"/>
      <c r="B677" s="231"/>
      <c r="C677" s="231"/>
      <c r="D677" s="231"/>
      <c r="E677" s="231"/>
      <c r="F677" s="231"/>
      <c r="G677" s="231"/>
      <c r="H677" s="231"/>
      <c r="I677" s="231"/>
      <c r="J677" s="231"/>
      <c r="K677" s="231"/>
      <c r="L677" s="231"/>
      <c r="M677" s="231"/>
      <c r="N677" s="231"/>
      <c r="O677" s="231"/>
      <c r="P677" s="231"/>
      <c r="Q677" s="231"/>
      <c r="R677" s="231"/>
      <c r="S677" s="231"/>
      <c r="T677" s="231"/>
      <c r="U677" s="231"/>
      <c r="V677" s="231"/>
      <c r="W677" s="231"/>
      <c r="X677" s="231"/>
      <c r="Y677" s="231"/>
      <c r="Z677" s="231"/>
    </row>
    <row r="678">
      <c r="A678" s="231"/>
      <c r="B678" s="231"/>
      <c r="C678" s="231"/>
      <c r="D678" s="231"/>
      <c r="E678" s="231"/>
      <c r="F678" s="231"/>
      <c r="G678" s="231"/>
      <c r="H678" s="231"/>
      <c r="I678" s="231"/>
      <c r="J678" s="231"/>
      <c r="K678" s="231"/>
      <c r="L678" s="231"/>
      <c r="M678" s="231"/>
      <c r="N678" s="231"/>
      <c r="O678" s="231"/>
      <c r="P678" s="231"/>
      <c r="Q678" s="231"/>
      <c r="R678" s="231"/>
      <c r="S678" s="231"/>
      <c r="T678" s="231"/>
      <c r="U678" s="231"/>
      <c r="V678" s="231"/>
      <c r="W678" s="231"/>
      <c r="X678" s="231"/>
      <c r="Y678" s="231"/>
      <c r="Z678" s="231"/>
    </row>
    <row r="679">
      <c r="A679" s="231"/>
      <c r="B679" s="231"/>
      <c r="C679" s="231"/>
      <c r="D679" s="231"/>
      <c r="E679" s="231"/>
      <c r="F679" s="231"/>
      <c r="G679" s="231"/>
      <c r="H679" s="231"/>
      <c r="I679" s="231"/>
      <c r="J679" s="231"/>
      <c r="K679" s="231"/>
      <c r="L679" s="231"/>
      <c r="M679" s="231"/>
      <c r="N679" s="231"/>
      <c r="O679" s="231"/>
      <c r="P679" s="231"/>
      <c r="Q679" s="231"/>
      <c r="R679" s="231"/>
      <c r="S679" s="231"/>
      <c r="T679" s="231"/>
      <c r="U679" s="231"/>
      <c r="V679" s="231"/>
      <c r="W679" s="231"/>
      <c r="X679" s="231"/>
      <c r="Y679" s="231"/>
      <c r="Z679" s="231"/>
    </row>
    <row r="680">
      <c r="A680" s="231"/>
      <c r="B680" s="231"/>
      <c r="C680" s="231"/>
      <c r="D680" s="231"/>
      <c r="E680" s="231"/>
      <c r="F680" s="231"/>
      <c r="G680" s="231"/>
      <c r="H680" s="231"/>
      <c r="I680" s="231"/>
      <c r="J680" s="231"/>
      <c r="K680" s="231"/>
      <c r="L680" s="231"/>
      <c r="M680" s="231"/>
      <c r="N680" s="231"/>
      <c r="O680" s="231"/>
      <c r="P680" s="231"/>
      <c r="Q680" s="231"/>
      <c r="R680" s="231"/>
      <c r="S680" s="231"/>
      <c r="T680" s="231"/>
      <c r="U680" s="231"/>
      <c r="V680" s="231"/>
      <c r="W680" s="231"/>
      <c r="X680" s="231"/>
      <c r="Y680" s="231"/>
      <c r="Z680" s="231"/>
    </row>
    <row r="681">
      <c r="A681" s="231"/>
      <c r="B681" s="231"/>
      <c r="C681" s="231"/>
      <c r="D681" s="231"/>
      <c r="E681" s="231"/>
      <c r="F681" s="231"/>
      <c r="G681" s="231"/>
      <c r="H681" s="231"/>
      <c r="I681" s="231"/>
      <c r="J681" s="231"/>
      <c r="K681" s="231"/>
      <c r="L681" s="231"/>
      <c r="M681" s="231"/>
      <c r="N681" s="231"/>
      <c r="O681" s="231"/>
      <c r="P681" s="231"/>
      <c r="Q681" s="231"/>
      <c r="R681" s="231"/>
      <c r="S681" s="231"/>
      <c r="T681" s="231"/>
      <c r="U681" s="231"/>
      <c r="V681" s="231"/>
      <c r="W681" s="231"/>
      <c r="X681" s="231"/>
      <c r="Y681" s="231"/>
      <c r="Z681" s="231"/>
    </row>
    <row r="682">
      <c r="A682" s="231"/>
      <c r="B682" s="231"/>
      <c r="C682" s="231"/>
      <c r="D682" s="231"/>
      <c r="E682" s="231"/>
      <c r="F682" s="231"/>
      <c r="G682" s="231"/>
      <c r="H682" s="231"/>
      <c r="I682" s="231"/>
      <c r="J682" s="231"/>
      <c r="K682" s="231"/>
      <c r="L682" s="231"/>
      <c r="M682" s="231"/>
      <c r="N682" s="231"/>
      <c r="O682" s="231"/>
      <c r="P682" s="231"/>
      <c r="Q682" s="231"/>
      <c r="R682" s="231"/>
      <c r="S682" s="231"/>
      <c r="T682" s="231"/>
      <c r="U682" s="231"/>
      <c r="V682" s="231"/>
      <c r="W682" s="231"/>
      <c r="X682" s="231"/>
      <c r="Y682" s="231"/>
      <c r="Z682" s="231"/>
    </row>
    <row r="683">
      <c r="A683" s="231"/>
      <c r="B683" s="231"/>
      <c r="C683" s="231"/>
      <c r="D683" s="231"/>
      <c r="E683" s="231"/>
      <c r="F683" s="231"/>
      <c r="G683" s="231"/>
      <c r="H683" s="231"/>
      <c r="I683" s="231"/>
      <c r="J683" s="231"/>
      <c r="K683" s="231"/>
      <c r="L683" s="231"/>
      <c r="M683" s="231"/>
      <c r="N683" s="231"/>
      <c r="O683" s="231"/>
      <c r="P683" s="231"/>
      <c r="Q683" s="231"/>
      <c r="R683" s="231"/>
      <c r="S683" s="231"/>
      <c r="T683" s="231"/>
      <c r="U683" s="231"/>
      <c r="V683" s="231"/>
      <c r="W683" s="231"/>
      <c r="X683" s="231"/>
      <c r="Y683" s="231"/>
      <c r="Z683" s="231"/>
    </row>
    <row r="684">
      <c r="A684" s="231"/>
      <c r="B684" s="231"/>
      <c r="C684" s="231"/>
      <c r="D684" s="231"/>
      <c r="E684" s="231"/>
      <c r="F684" s="231"/>
      <c r="G684" s="231"/>
      <c r="H684" s="231"/>
      <c r="I684" s="231"/>
      <c r="J684" s="231"/>
      <c r="K684" s="231"/>
      <c r="L684" s="231"/>
      <c r="M684" s="231"/>
      <c r="N684" s="231"/>
      <c r="O684" s="231"/>
      <c r="P684" s="231"/>
      <c r="Q684" s="231"/>
      <c r="R684" s="231"/>
      <c r="S684" s="231"/>
      <c r="T684" s="231"/>
      <c r="U684" s="231"/>
      <c r="V684" s="231"/>
      <c r="W684" s="231"/>
      <c r="X684" s="231"/>
      <c r="Y684" s="231"/>
      <c r="Z684" s="231"/>
    </row>
    <row r="685">
      <c r="A685" s="231"/>
      <c r="B685" s="231"/>
      <c r="C685" s="231"/>
      <c r="D685" s="231"/>
      <c r="E685" s="231"/>
      <c r="F685" s="231"/>
      <c r="G685" s="231"/>
      <c r="H685" s="231"/>
      <c r="I685" s="231"/>
      <c r="J685" s="231"/>
      <c r="K685" s="231"/>
      <c r="L685" s="231"/>
      <c r="M685" s="231"/>
      <c r="N685" s="231"/>
      <c r="O685" s="231"/>
      <c r="P685" s="231"/>
      <c r="Q685" s="231"/>
      <c r="R685" s="231"/>
      <c r="S685" s="231"/>
      <c r="T685" s="231"/>
      <c r="U685" s="231"/>
      <c r="V685" s="231"/>
      <c r="W685" s="231"/>
      <c r="X685" s="231"/>
      <c r="Y685" s="231"/>
      <c r="Z685" s="231"/>
    </row>
    <row r="686">
      <c r="A686" s="231"/>
      <c r="B686" s="231"/>
      <c r="C686" s="231"/>
      <c r="D686" s="231"/>
      <c r="E686" s="231"/>
      <c r="F686" s="231"/>
      <c r="G686" s="231"/>
      <c r="H686" s="231"/>
      <c r="I686" s="231"/>
      <c r="J686" s="231"/>
      <c r="K686" s="231"/>
      <c r="L686" s="231"/>
      <c r="M686" s="231"/>
      <c r="N686" s="231"/>
      <c r="O686" s="231"/>
      <c r="P686" s="231"/>
      <c r="Q686" s="231"/>
      <c r="R686" s="231"/>
      <c r="S686" s="231"/>
      <c r="T686" s="231"/>
      <c r="U686" s="231"/>
      <c r="V686" s="231"/>
      <c r="W686" s="231"/>
      <c r="X686" s="231"/>
      <c r="Y686" s="231"/>
      <c r="Z686" s="231"/>
    </row>
    <row r="687">
      <c r="A687" s="231"/>
      <c r="B687" s="231"/>
      <c r="C687" s="231"/>
      <c r="D687" s="231"/>
      <c r="E687" s="231"/>
      <c r="F687" s="231"/>
      <c r="G687" s="231"/>
      <c r="H687" s="231"/>
      <c r="I687" s="231"/>
      <c r="J687" s="231"/>
      <c r="K687" s="231"/>
      <c r="L687" s="231"/>
      <c r="M687" s="231"/>
      <c r="N687" s="231"/>
      <c r="O687" s="231"/>
      <c r="P687" s="231"/>
      <c r="Q687" s="231"/>
      <c r="R687" s="231"/>
      <c r="S687" s="231"/>
      <c r="T687" s="231"/>
      <c r="U687" s="231"/>
      <c r="V687" s="231"/>
      <c r="W687" s="231"/>
      <c r="X687" s="231"/>
      <c r="Y687" s="231"/>
      <c r="Z687" s="231"/>
    </row>
    <row r="688">
      <c r="A688" s="231"/>
      <c r="B688" s="231"/>
      <c r="C688" s="231"/>
      <c r="D688" s="231"/>
      <c r="E688" s="231"/>
      <c r="F688" s="231"/>
      <c r="G688" s="231"/>
      <c r="H688" s="231"/>
      <c r="I688" s="231"/>
      <c r="J688" s="231"/>
      <c r="K688" s="231"/>
      <c r="L688" s="231"/>
      <c r="M688" s="231"/>
      <c r="N688" s="231"/>
      <c r="O688" s="231"/>
      <c r="P688" s="231"/>
      <c r="Q688" s="231"/>
      <c r="R688" s="231"/>
      <c r="S688" s="231"/>
      <c r="T688" s="231"/>
      <c r="U688" s="231"/>
      <c r="V688" s="231"/>
      <c r="W688" s="231"/>
      <c r="X688" s="231"/>
      <c r="Y688" s="231"/>
      <c r="Z688" s="231"/>
    </row>
    <row r="689">
      <c r="A689" s="231"/>
      <c r="B689" s="231"/>
      <c r="C689" s="231"/>
      <c r="D689" s="231"/>
      <c r="E689" s="231"/>
      <c r="F689" s="231"/>
      <c r="G689" s="231"/>
      <c r="H689" s="231"/>
      <c r="I689" s="231"/>
      <c r="J689" s="231"/>
      <c r="K689" s="231"/>
      <c r="L689" s="231"/>
      <c r="M689" s="231"/>
      <c r="N689" s="231"/>
      <c r="O689" s="231"/>
      <c r="P689" s="231"/>
      <c r="Q689" s="231"/>
      <c r="R689" s="231"/>
      <c r="S689" s="231"/>
      <c r="T689" s="231"/>
      <c r="U689" s="231"/>
      <c r="V689" s="231"/>
      <c r="W689" s="231"/>
      <c r="X689" s="231"/>
      <c r="Y689" s="231"/>
      <c r="Z689" s="231"/>
    </row>
    <row r="690">
      <c r="A690" s="231"/>
      <c r="B690" s="231"/>
      <c r="C690" s="231"/>
      <c r="D690" s="231"/>
      <c r="E690" s="231"/>
      <c r="F690" s="231"/>
      <c r="G690" s="231"/>
      <c r="H690" s="231"/>
      <c r="I690" s="231"/>
      <c r="J690" s="231"/>
      <c r="K690" s="231"/>
      <c r="L690" s="231"/>
      <c r="M690" s="231"/>
      <c r="N690" s="231"/>
      <c r="O690" s="231"/>
      <c r="P690" s="231"/>
      <c r="Q690" s="231"/>
      <c r="R690" s="231"/>
      <c r="S690" s="231"/>
      <c r="T690" s="231"/>
      <c r="U690" s="231"/>
      <c r="V690" s="231"/>
      <c r="W690" s="231"/>
      <c r="X690" s="231"/>
      <c r="Y690" s="231"/>
      <c r="Z690" s="231"/>
    </row>
    <row r="691">
      <c r="A691" s="231"/>
      <c r="B691" s="231"/>
      <c r="C691" s="231"/>
      <c r="D691" s="231"/>
      <c r="E691" s="231"/>
      <c r="F691" s="231"/>
      <c r="G691" s="231"/>
      <c r="H691" s="231"/>
      <c r="I691" s="231"/>
      <c r="J691" s="231"/>
      <c r="K691" s="231"/>
      <c r="L691" s="231"/>
      <c r="M691" s="231"/>
      <c r="N691" s="231"/>
      <c r="O691" s="231"/>
      <c r="P691" s="231"/>
      <c r="Q691" s="231"/>
      <c r="R691" s="231"/>
      <c r="S691" s="231"/>
      <c r="T691" s="231"/>
      <c r="U691" s="231"/>
      <c r="V691" s="231"/>
      <c r="W691" s="231"/>
      <c r="X691" s="231"/>
      <c r="Y691" s="231"/>
      <c r="Z691" s="231"/>
    </row>
    <row r="692">
      <c r="A692" s="231"/>
      <c r="B692" s="231"/>
      <c r="C692" s="231"/>
      <c r="D692" s="231"/>
      <c r="E692" s="231"/>
      <c r="F692" s="231"/>
      <c r="G692" s="231"/>
      <c r="H692" s="231"/>
      <c r="I692" s="231"/>
      <c r="J692" s="231"/>
      <c r="K692" s="231"/>
      <c r="L692" s="231"/>
      <c r="M692" s="231"/>
      <c r="N692" s="231"/>
      <c r="O692" s="231"/>
      <c r="P692" s="231"/>
      <c r="Q692" s="231"/>
      <c r="R692" s="231"/>
      <c r="S692" s="231"/>
      <c r="T692" s="231"/>
      <c r="U692" s="231"/>
      <c r="V692" s="231"/>
      <c r="W692" s="231"/>
      <c r="X692" s="231"/>
      <c r="Y692" s="231"/>
      <c r="Z692" s="231"/>
    </row>
    <row r="693">
      <c r="A693" s="231"/>
      <c r="B693" s="231"/>
      <c r="C693" s="231"/>
      <c r="D693" s="231"/>
      <c r="E693" s="231"/>
      <c r="F693" s="231"/>
      <c r="G693" s="231"/>
      <c r="H693" s="231"/>
      <c r="I693" s="231"/>
      <c r="J693" s="231"/>
      <c r="K693" s="231"/>
      <c r="L693" s="231"/>
      <c r="M693" s="231"/>
      <c r="N693" s="231"/>
      <c r="O693" s="231"/>
      <c r="P693" s="231"/>
      <c r="Q693" s="231"/>
      <c r="R693" s="231"/>
      <c r="S693" s="231"/>
      <c r="T693" s="231"/>
      <c r="U693" s="231"/>
      <c r="V693" s="231"/>
      <c r="W693" s="231"/>
      <c r="X693" s="231"/>
      <c r="Y693" s="231"/>
      <c r="Z693" s="231"/>
    </row>
    <row r="694">
      <c r="A694" s="231"/>
      <c r="B694" s="231"/>
      <c r="C694" s="231"/>
      <c r="D694" s="231"/>
      <c r="E694" s="231"/>
      <c r="F694" s="231"/>
      <c r="G694" s="231"/>
      <c r="H694" s="231"/>
      <c r="I694" s="231"/>
      <c r="J694" s="231"/>
      <c r="K694" s="231"/>
      <c r="L694" s="231"/>
      <c r="M694" s="231"/>
      <c r="N694" s="231"/>
      <c r="O694" s="231"/>
      <c r="P694" s="231"/>
      <c r="Q694" s="231"/>
      <c r="R694" s="231"/>
      <c r="S694" s="231"/>
      <c r="T694" s="231"/>
      <c r="U694" s="231"/>
      <c r="V694" s="231"/>
      <c r="W694" s="231"/>
      <c r="X694" s="231"/>
      <c r="Y694" s="231"/>
      <c r="Z694" s="231"/>
    </row>
    <row r="695">
      <c r="A695" s="231"/>
      <c r="B695" s="231"/>
      <c r="C695" s="231"/>
      <c r="D695" s="231"/>
      <c r="E695" s="231"/>
      <c r="F695" s="231"/>
      <c r="G695" s="231"/>
      <c r="H695" s="231"/>
      <c r="I695" s="231"/>
      <c r="J695" s="231"/>
      <c r="K695" s="231"/>
      <c r="L695" s="231"/>
      <c r="M695" s="231"/>
      <c r="N695" s="231"/>
      <c r="O695" s="231"/>
      <c r="P695" s="231"/>
      <c r="Q695" s="231"/>
      <c r="R695" s="231"/>
      <c r="S695" s="231"/>
      <c r="T695" s="231"/>
      <c r="U695" s="231"/>
      <c r="V695" s="231"/>
      <c r="W695" s="231"/>
      <c r="X695" s="231"/>
      <c r="Y695" s="231"/>
      <c r="Z695" s="231"/>
    </row>
    <row r="696">
      <c r="A696" s="231"/>
      <c r="B696" s="231"/>
      <c r="C696" s="231"/>
      <c r="D696" s="231"/>
      <c r="E696" s="231"/>
      <c r="F696" s="231"/>
      <c r="G696" s="231"/>
      <c r="H696" s="231"/>
      <c r="I696" s="231"/>
      <c r="J696" s="231"/>
      <c r="K696" s="231"/>
      <c r="L696" s="231"/>
      <c r="M696" s="231"/>
      <c r="N696" s="231"/>
      <c r="O696" s="231"/>
      <c r="P696" s="231"/>
      <c r="Q696" s="231"/>
      <c r="R696" s="231"/>
      <c r="S696" s="231"/>
      <c r="T696" s="231"/>
      <c r="U696" s="231"/>
      <c r="V696" s="231"/>
      <c r="W696" s="231"/>
      <c r="X696" s="231"/>
      <c r="Y696" s="231"/>
      <c r="Z696" s="231"/>
    </row>
    <row r="697">
      <c r="A697" s="231"/>
      <c r="B697" s="231"/>
      <c r="C697" s="231"/>
      <c r="D697" s="231"/>
      <c r="E697" s="231"/>
      <c r="F697" s="231"/>
      <c r="G697" s="231"/>
      <c r="H697" s="231"/>
      <c r="I697" s="231"/>
      <c r="J697" s="231"/>
      <c r="K697" s="231"/>
      <c r="L697" s="231"/>
      <c r="M697" s="231"/>
      <c r="N697" s="231"/>
      <c r="O697" s="231"/>
      <c r="P697" s="231"/>
      <c r="Q697" s="231"/>
      <c r="R697" s="231"/>
      <c r="S697" s="231"/>
      <c r="T697" s="231"/>
      <c r="U697" s="231"/>
      <c r="V697" s="231"/>
      <c r="W697" s="231"/>
      <c r="X697" s="231"/>
      <c r="Y697" s="231"/>
      <c r="Z697" s="231"/>
    </row>
    <row r="698">
      <c r="A698" s="231"/>
      <c r="B698" s="231"/>
      <c r="C698" s="231"/>
      <c r="D698" s="231"/>
      <c r="E698" s="231"/>
      <c r="F698" s="231"/>
      <c r="G698" s="231"/>
      <c r="H698" s="231"/>
      <c r="I698" s="231"/>
      <c r="J698" s="231"/>
      <c r="K698" s="231"/>
      <c r="L698" s="231"/>
      <c r="M698" s="231"/>
      <c r="N698" s="231"/>
      <c r="O698" s="231"/>
      <c r="P698" s="231"/>
      <c r="Q698" s="231"/>
      <c r="R698" s="231"/>
      <c r="S698" s="231"/>
      <c r="T698" s="231"/>
      <c r="U698" s="231"/>
      <c r="V698" s="231"/>
      <c r="W698" s="231"/>
      <c r="X698" s="231"/>
      <c r="Y698" s="231"/>
      <c r="Z698" s="231"/>
    </row>
    <row r="699">
      <c r="A699" s="231"/>
      <c r="B699" s="231"/>
      <c r="C699" s="231"/>
      <c r="D699" s="231"/>
      <c r="E699" s="231"/>
      <c r="F699" s="231"/>
      <c r="G699" s="231"/>
      <c r="H699" s="231"/>
      <c r="I699" s="231"/>
      <c r="J699" s="231"/>
      <c r="K699" s="231"/>
      <c r="L699" s="231"/>
      <c r="M699" s="231"/>
      <c r="N699" s="231"/>
      <c r="O699" s="231"/>
      <c r="P699" s="231"/>
      <c r="Q699" s="231"/>
      <c r="R699" s="231"/>
      <c r="S699" s="231"/>
      <c r="T699" s="231"/>
      <c r="U699" s="231"/>
      <c r="V699" s="231"/>
      <c r="W699" s="231"/>
      <c r="X699" s="231"/>
      <c r="Y699" s="231"/>
      <c r="Z699" s="231"/>
    </row>
    <row r="700">
      <c r="A700" s="231"/>
      <c r="B700" s="231"/>
      <c r="C700" s="231"/>
      <c r="D700" s="231"/>
      <c r="E700" s="231"/>
      <c r="F700" s="231"/>
      <c r="G700" s="231"/>
      <c r="H700" s="231"/>
      <c r="I700" s="231"/>
      <c r="J700" s="231"/>
      <c r="K700" s="231"/>
      <c r="L700" s="231"/>
      <c r="M700" s="231"/>
      <c r="N700" s="231"/>
      <c r="O700" s="231"/>
      <c r="P700" s="231"/>
      <c r="Q700" s="231"/>
      <c r="R700" s="231"/>
      <c r="S700" s="231"/>
      <c r="T700" s="231"/>
      <c r="U700" s="231"/>
      <c r="V700" s="231"/>
      <c r="W700" s="231"/>
      <c r="X700" s="231"/>
      <c r="Y700" s="231"/>
      <c r="Z700" s="231"/>
    </row>
    <row r="701">
      <c r="A701" s="231"/>
      <c r="B701" s="231"/>
      <c r="C701" s="231"/>
      <c r="D701" s="231"/>
      <c r="E701" s="231"/>
      <c r="F701" s="231"/>
      <c r="G701" s="231"/>
      <c r="H701" s="231"/>
      <c r="I701" s="231"/>
      <c r="J701" s="231"/>
      <c r="K701" s="231"/>
      <c r="L701" s="231"/>
      <c r="M701" s="231"/>
      <c r="N701" s="231"/>
      <c r="O701" s="231"/>
      <c r="P701" s="231"/>
      <c r="Q701" s="231"/>
      <c r="R701" s="231"/>
      <c r="S701" s="231"/>
      <c r="T701" s="231"/>
      <c r="U701" s="231"/>
      <c r="V701" s="231"/>
      <c r="W701" s="231"/>
      <c r="X701" s="231"/>
      <c r="Y701" s="231"/>
      <c r="Z701" s="231"/>
    </row>
    <row r="702">
      <c r="A702" s="231"/>
      <c r="B702" s="231"/>
      <c r="C702" s="231"/>
      <c r="D702" s="231"/>
      <c r="E702" s="231"/>
      <c r="F702" s="231"/>
      <c r="G702" s="231"/>
      <c r="H702" s="231"/>
      <c r="I702" s="231"/>
      <c r="J702" s="231"/>
      <c r="K702" s="231"/>
      <c r="L702" s="231"/>
      <c r="M702" s="231"/>
      <c r="N702" s="231"/>
      <c r="O702" s="231"/>
      <c r="P702" s="231"/>
      <c r="Q702" s="231"/>
      <c r="R702" s="231"/>
      <c r="S702" s="231"/>
      <c r="T702" s="231"/>
      <c r="U702" s="231"/>
      <c r="V702" s="231"/>
      <c r="W702" s="231"/>
      <c r="X702" s="231"/>
      <c r="Y702" s="231"/>
      <c r="Z702" s="231"/>
    </row>
    <row r="703">
      <c r="A703" s="231"/>
      <c r="B703" s="231"/>
      <c r="C703" s="231"/>
      <c r="D703" s="231"/>
      <c r="E703" s="231"/>
      <c r="F703" s="231"/>
      <c r="G703" s="231"/>
      <c r="H703" s="231"/>
      <c r="I703" s="231"/>
      <c r="J703" s="231"/>
      <c r="K703" s="231"/>
      <c r="L703" s="231"/>
      <c r="M703" s="231"/>
      <c r="N703" s="231"/>
      <c r="O703" s="231"/>
      <c r="P703" s="231"/>
      <c r="Q703" s="231"/>
      <c r="R703" s="231"/>
      <c r="S703" s="231"/>
      <c r="T703" s="231"/>
      <c r="U703" s="231"/>
      <c r="V703" s="231"/>
      <c r="W703" s="231"/>
      <c r="X703" s="231"/>
      <c r="Y703" s="231"/>
      <c r="Z703" s="231"/>
    </row>
    <row r="704">
      <c r="A704" s="231"/>
      <c r="B704" s="231"/>
      <c r="C704" s="231"/>
      <c r="D704" s="231"/>
      <c r="E704" s="231"/>
      <c r="F704" s="231"/>
      <c r="G704" s="231"/>
      <c r="H704" s="231"/>
      <c r="I704" s="231"/>
      <c r="J704" s="231"/>
      <c r="K704" s="231"/>
      <c r="L704" s="231"/>
      <c r="M704" s="231"/>
      <c r="N704" s="231"/>
      <c r="O704" s="231"/>
      <c r="P704" s="231"/>
      <c r="Q704" s="231"/>
      <c r="R704" s="231"/>
      <c r="S704" s="231"/>
      <c r="T704" s="231"/>
      <c r="U704" s="231"/>
      <c r="V704" s="231"/>
      <c r="W704" s="231"/>
      <c r="X704" s="231"/>
      <c r="Y704" s="231"/>
      <c r="Z704" s="231"/>
    </row>
    <row r="705">
      <c r="A705" s="231"/>
      <c r="B705" s="231"/>
      <c r="C705" s="231"/>
      <c r="D705" s="231"/>
      <c r="E705" s="231"/>
      <c r="F705" s="231"/>
      <c r="G705" s="231"/>
      <c r="H705" s="231"/>
      <c r="I705" s="231"/>
      <c r="J705" s="231"/>
      <c r="K705" s="231"/>
      <c r="L705" s="231"/>
      <c r="M705" s="231"/>
      <c r="N705" s="231"/>
      <c r="O705" s="231"/>
      <c r="P705" s="231"/>
      <c r="Q705" s="231"/>
      <c r="R705" s="231"/>
      <c r="S705" s="231"/>
      <c r="T705" s="231"/>
      <c r="U705" s="231"/>
      <c r="V705" s="231"/>
      <c r="W705" s="231"/>
      <c r="X705" s="231"/>
      <c r="Y705" s="231"/>
      <c r="Z705" s="231"/>
    </row>
    <row r="706">
      <c r="A706" s="231"/>
      <c r="B706" s="231"/>
      <c r="C706" s="231"/>
      <c r="D706" s="231"/>
      <c r="E706" s="231"/>
      <c r="F706" s="231"/>
      <c r="G706" s="231"/>
      <c r="H706" s="231"/>
      <c r="I706" s="231"/>
      <c r="J706" s="231"/>
      <c r="K706" s="231"/>
      <c r="L706" s="231"/>
      <c r="M706" s="231"/>
      <c r="N706" s="231"/>
      <c r="O706" s="231"/>
      <c r="P706" s="231"/>
      <c r="Q706" s="231"/>
      <c r="R706" s="231"/>
      <c r="S706" s="231"/>
      <c r="T706" s="231"/>
      <c r="U706" s="231"/>
      <c r="V706" s="231"/>
      <c r="W706" s="231"/>
      <c r="X706" s="231"/>
      <c r="Y706" s="231"/>
      <c r="Z706" s="231"/>
    </row>
    <row r="707">
      <c r="A707" s="231"/>
      <c r="B707" s="231"/>
      <c r="C707" s="231"/>
      <c r="D707" s="231"/>
      <c r="E707" s="231"/>
      <c r="F707" s="231"/>
      <c r="G707" s="231"/>
      <c r="H707" s="231"/>
      <c r="I707" s="231"/>
      <c r="J707" s="231"/>
      <c r="K707" s="231"/>
      <c r="L707" s="231"/>
      <c r="M707" s="231"/>
      <c r="N707" s="231"/>
      <c r="O707" s="231"/>
      <c r="P707" s="231"/>
      <c r="Q707" s="231"/>
      <c r="R707" s="231"/>
      <c r="S707" s="231"/>
      <c r="T707" s="231"/>
      <c r="U707" s="231"/>
      <c r="V707" s="231"/>
      <c r="W707" s="231"/>
      <c r="X707" s="231"/>
      <c r="Y707" s="231"/>
      <c r="Z707" s="231"/>
    </row>
    <row r="708">
      <c r="A708" s="231"/>
      <c r="B708" s="231"/>
      <c r="C708" s="231"/>
      <c r="D708" s="231"/>
      <c r="E708" s="231"/>
      <c r="F708" s="231"/>
      <c r="G708" s="231"/>
      <c r="H708" s="231"/>
      <c r="I708" s="231"/>
      <c r="J708" s="231"/>
      <c r="K708" s="231"/>
      <c r="L708" s="231"/>
      <c r="M708" s="231"/>
      <c r="N708" s="231"/>
      <c r="O708" s="231"/>
      <c r="P708" s="231"/>
      <c r="Q708" s="231"/>
      <c r="R708" s="231"/>
      <c r="S708" s="231"/>
      <c r="T708" s="231"/>
      <c r="U708" s="231"/>
      <c r="V708" s="231"/>
      <c r="W708" s="231"/>
      <c r="X708" s="231"/>
      <c r="Y708" s="231"/>
      <c r="Z708" s="231"/>
    </row>
    <row r="709">
      <c r="A709" s="231"/>
      <c r="B709" s="231"/>
      <c r="C709" s="231"/>
      <c r="D709" s="231"/>
      <c r="E709" s="231"/>
      <c r="F709" s="231"/>
      <c r="G709" s="231"/>
      <c r="H709" s="231"/>
      <c r="I709" s="231"/>
      <c r="J709" s="231"/>
      <c r="K709" s="231"/>
      <c r="L709" s="231"/>
      <c r="M709" s="231"/>
      <c r="N709" s="231"/>
      <c r="O709" s="231"/>
      <c r="P709" s="231"/>
      <c r="Q709" s="231"/>
      <c r="R709" s="231"/>
      <c r="S709" s="231"/>
      <c r="T709" s="231"/>
      <c r="U709" s="231"/>
      <c r="V709" s="231"/>
      <c r="W709" s="231"/>
      <c r="X709" s="231"/>
      <c r="Y709" s="231"/>
      <c r="Z709" s="231"/>
    </row>
    <row r="710">
      <c r="A710" s="231"/>
      <c r="B710" s="231"/>
      <c r="C710" s="231"/>
      <c r="D710" s="231"/>
      <c r="E710" s="231"/>
      <c r="F710" s="231"/>
      <c r="G710" s="231"/>
      <c r="H710" s="231"/>
      <c r="I710" s="231"/>
      <c r="J710" s="231"/>
      <c r="K710" s="231"/>
      <c r="L710" s="231"/>
      <c r="M710" s="231"/>
      <c r="N710" s="231"/>
      <c r="O710" s="231"/>
      <c r="P710" s="231"/>
      <c r="Q710" s="231"/>
      <c r="R710" s="231"/>
      <c r="S710" s="231"/>
      <c r="T710" s="231"/>
      <c r="U710" s="231"/>
      <c r="V710" s="231"/>
      <c r="W710" s="231"/>
      <c r="X710" s="231"/>
      <c r="Y710" s="231"/>
      <c r="Z710" s="231"/>
    </row>
    <row r="711">
      <c r="A711" s="231"/>
      <c r="B711" s="231"/>
      <c r="C711" s="231"/>
      <c r="D711" s="231"/>
      <c r="E711" s="231"/>
      <c r="F711" s="231"/>
      <c r="G711" s="231"/>
      <c r="H711" s="231"/>
      <c r="I711" s="231"/>
      <c r="J711" s="231"/>
      <c r="K711" s="231"/>
      <c r="L711" s="231"/>
      <c r="M711" s="231"/>
      <c r="N711" s="231"/>
      <c r="O711" s="231"/>
      <c r="P711" s="231"/>
      <c r="Q711" s="231"/>
      <c r="R711" s="231"/>
      <c r="S711" s="231"/>
      <c r="T711" s="231"/>
      <c r="U711" s="231"/>
      <c r="V711" s="231"/>
      <c r="W711" s="231"/>
      <c r="X711" s="231"/>
      <c r="Y711" s="231"/>
      <c r="Z711" s="231"/>
    </row>
    <row r="712">
      <c r="A712" s="231"/>
      <c r="B712" s="231"/>
      <c r="C712" s="231"/>
      <c r="D712" s="231"/>
      <c r="E712" s="231"/>
      <c r="F712" s="231"/>
      <c r="G712" s="231"/>
      <c r="H712" s="231"/>
      <c r="I712" s="231"/>
      <c r="J712" s="231"/>
      <c r="K712" s="231"/>
      <c r="L712" s="231"/>
      <c r="M712" s="231"/>
      <c r="N712" s="231"/>
      <c r="O712" s="231"/>
      <c r="P712" s="231"/>
      <c r="Q712" s="231"/>
      <c r="R712" s="231"/>
      <c r="S712" s="231"/>
      <c r="T712" s="231"/>
      <c r="U712" s="231"/>
      <c r="V712" s="231"/>
      <c r="W712" s="231"/>
      <c r="X712" s="231"/>
      <c r="Y712" s="231"/>
      <c r="Z712" s="231"/>
    </row>
    <row r="713">
      <c r="A713" s="231"/>
      <c r="B713" s="231"/>
      <c r="C713" s="231"/>
      <c r="D713" s="231"/>
      <c r="E713" s="231"/>
      <c r="F713" s="231"/>
      <c r="G713" s="231"/>
      <c r="H713" s="231"/>
      <c r="I713" s="231"/>
      <c r="J713" s="231"/>
      <c r="K713" s="231"/>
      <c r="L713" s="231"/>
      <c r="M713" s="231"/>
      <c r="N713" s="231"/>
      <c r="O713" s="231"/>
      <c r="P713" s="231"/>
      <c r="Q713" s="231"/>
      <c r="R713" s="231"/>
      <c r="S713" s="231"/>
      <c r="T713" s="231"/>
      <c r="U713" s="231"/>
      <c r="V713" s="231"/>
      <c r="W713" s="231"/>
      <c r="X713" s="231"/>
      <c r="Y713" s="231"/>
      <c r="Z713" s="231"/>
    </row>
    <row r="714">
      <c r="A714" s="231"/>
      <c r="B714" s="231"/>
      <c r="C714" s="231"/>
      <c r="D714" s="231"/>
      <c r="E714" s="231"/>
      <c r="F714" s="231"/>
      <c r="G714" s="231"/>
      <c r="H714" s="231"/>
      <c r="I714" s="231"/>
      <c r="J714" s="231"/>
      <c r="K714" s="231"/>
      <c r="L714" s="231"/>
      <c r="M714" s="231"/>
      <c r="N714" s="231"/>
      <c r="O714" s="231"/>
      <c r="P714" s="231"/>
      <c r="Q714" s="231"/>
      <c r="R714" s="231"/>
      <c r="S714" s="231"/>
      <c r="T714" s="231"/>
      <c r="U714" s="231"/>
      <c r="V714" s="231"/>
      <c r="W714" s="231"/>
      <c r="X714" s="231"/>
      <c r="Y714" s="231"/>
      <c r="Z714" s="231"/>
    </row>
    <row r="715">
      <c r="A715" s="231"/>
      <c r="B715" s="231"/>
      <c r="C715" s="231"/>
      <c r="D715" s="231"/>
      <c r="E715" s="231"/>
      <c r="F715" s="231"/>
      <c r="G715" s="231"/>
      <c r="H715" s="231"/>
      <c r="I715" s="231"/>
      <c r="J715" s="231"/>
      <c r="K715" s="231"/>
      <c r="L715" s="231"/>
      <c r="M715" s="231"/>
      <c r="N715" s="231"/>
      <c r="O715" s="231"/>
      <c r="P715" s="231"/>
      <c r="Q715" s="231"/>
      <c r="R715" s="231"/>
      <c r="S715" s="231"/>
      <c r="T715" s="231"/>
      <c r="U715" s="231"/>
      <c r="V715" s="231"/>
      <c r="W715" s="231"/>
      <c r="X715" s="231"/>
      <c r="Y715" s="231"/>
      <c r="Z715" s="231"/>
    </row>
    <row r="716">
      <c r="A716" s="231"/>
      <c r="B716" s="231"/>
      <c r="C716" s="231"/>
      <c r="D716" s="231"/>
      <c r="E716" s="231"/>
      <c r="F716" s="231"/>
      <c r="G716" s="231"/>
      <c r="H716" s="231"/>
      <c r="I716" s="231"/>
      <c r="J716" s="231"/>
      <c r="K716" s="231"/>
      <c r="L716" s="231"/>
      <c r="M716" s="231"/>
      <c r="N716" s="231"/>
      <c r="O716" s="231"/>
      <c r="P716" s="231"/>
      <c r="Q716" s="231"/>
      <c r="R716" s="231"/>
      <c r="S716" s="231"/>
      <c r="T716" s="231"/>
      <c r="U716" s="231"/>
      <c r="V716" s="231"/>
      <c r="W716" s="231"/>
      <c r="X716" s="231"/>
      <c r="Y716" s="231"/>
      <c r="Z716" s="231"/>
    </row>
    <row r="717">
      <c r="A717" s="231"/>
      <c r="B717" s="231"/>
      <c r="C717" s="231"/>
      <c r="D717" s="231"/>
      <c r="E717" s="231"/>
      <c r="F717" s="231"/>
      <c r="G717" s="231"/>
      <c r="H717" s="231"/>
      <c r="I717" s="231"/>
      <c r="J717" s="231"/>
      <c r="K717" s="231"/>
      <c r="L717" s="231"/>
      <c r="M717" s="231"/>
      <c r="N717" s="231"/>
      <c r="O717" s="231"/>
      <c r="P717" s="231"/>
      <c r="Q717" s="231"/>
      <c r="R717" s="231"/>
      <c r="S717" s="231"/>
      <c r="T717" s="231"/>
      <c r="U717" s="231"/>
      <c r="V717" s="231"/>
      <c r="W717" s="231"/>
      <c r="X717" s="231"/>
      <c r="Y717" s="231"/>
      <c r="Z717" s="231"/>
    </row>
    <row r="718">
      <c r="A718" s="231"/>
      <c r="B718" s="231"/>
      <c r="C718" s="231"/>
      <c r="D718" s="231"/>
      <c r="E718" s="231"/>
      <c r="F718" s="231"/>
      <c r="G718" s="231"/>
      <c r="H718" s="231"/>
      <c r="I718" s="231"/>
      <c r="J718" s="231"/>
      <c r="K718" s="231"/>
      <c r="L718" s="231"/>
      <c r="M718" s="231"/>
      <c r="N718" s="231"/>
      <c r="O718" s="231"/>
      <c r="P718" s="231"/>
      <c r="Q718" s="231"/>
      <c r="R718" s="231"/>
      <c r="S718" s="231"/>
      <c r="T718" s="231"/>
      <c r="U718" s="231"/>
      <c r="V718" s="231"/>
      <c r="W718" s="231"/>
      <c r="X718" s="231"/>
      <c r="Y718" s="231"/>
      <c r="Z718" s="231"/>
    </row>
    <row r="719">
      <c r="A719" s="231"/>
      <c r="B719" s="231"/>
      <c r="C719" s="231"/>
      <c r="D719" s="231"/>
      <c r="E719" s="231"/>
      <c r="F719" s="231"/>
      <c r="G719" s="231"/>
      <c r="H719" s="231"/>
      <c r="I719" s="231"/>
      <c r="J719" s="231"/>
      <c r="K719" s="231"/>
      <c r="L719" s="231"/>
      <c r="M719" s="231"/>
      <c r="N719" s="231"/>
      <c r="O719" s="231"/>
      <c r="P719" s="231"/>
      <c r="Q719" s="231"/>
      <c r="R719" s="231"/>
      <c r="S719" s="231"/>
      <c r="T719" s="231"/>
      <c r="U719" s="231"/>
      <c r="V719" s="231"/>
      <c r="W719" s="231"/>
      <c r="X719" s="231"/>
      <c r="Y719" s="231"/>
      <c r="Z719" s="231"/>
    </row>
    <row r="720">
      <c r="A720" s="231"/>
      <c r="B720" s="231"/>
      <c r="C720" s="231"/>
      <c r="D720" s="231"/>
      <c r="E720" s="231"/>
      <c r="F720" s="231"/>
      <c r="G720" s="231"/>
      <c r="H720" s="231"/>
      <c r="I720" s="231"/>
      <c r="J720" s="231"/>
      <c r="K720" s="231"/>
      <c r="L720" s="231"/>
      <c r="M720" s="231"/>
      <c r="N720" s="231"/>
      <c r="O720" s="231"/>
      <c r="P720" s="231"/>
      <c r="Q720" s="231"/>
      <c r="R720" s="231"/>
      <c r="S720" s="231"/>
      <c r="T720" s="231"/>
      <c r="U720" s="231"/>
      <c r="V720" s="231"/>
      <c r="W720" s="231"/>
      <c r="X720" s="231"/>
      <c r="Y720" s="231"/>
      <c r="Z720" s="231"/>
    </row>
    <row r="721">
      <c r="A721" s="231"/>
      <c r="B721" s="231"/>
      <c r="C721" s="231"/>
      <c r="D721" s="231"/>
      <c r="E721" s="231"/>
      <c r="F721" s="231"/>
      <c r="G721" s="231"/>
      <c r="H721" s="231"/>
      <c r="I721" s="231"/>
      <c r="J721" s="231"/>
      <c r="K721" s="231"/>
      <c r="L721" s="231"/>
      <c r="M721" s="231"/>
      <c r="N721" s="231"/>
      <c r="O721" s="231"/>
      <c r="P721" s="231"/>
      <c r="Q721" s="231"/>
      <c r="R721" s="231"/>
      <c r="S721" s="231"/>
      <c r="T721" s="231"/>
      <c r="U721" s="231"/>
      <c r="V721" s="231"/>
      <c r="W721" s="231"/>
      <c r="X721" s="231"/>
      <c r="Y721" s="231"/>
      <c r="Z721" s="231"/>
    </row>
    <row r="722">
      <c r="A722" s="231"/>
      <c r="B722" s="231"/>
      <c r="C722" s="231"/>
      <c r="D722" s="231"/>
      <c r="E722" s="231"/>
      <c r="F722" s="231"/>
      <c r="G722" s="231"/>
      <c r="H722" s="231"/>
      <c r="I722" s="231"/>
      <c r="J722" s="231"/>
      <c r="K722" s="231"/>
      <c r="L722" s="231"/>
      <c r="M722" s="231"/>
      <c r="N722" s="231"/>
      <c r="O722" s="231"/>
      <c r="P722" s="231"/>
      <c r="Q722" s="231"/>
      <c r="R722" s="231"/>
      <c r="S722" s="231"/>
      <c r="T722" s="231"/>
      <c r="U722" s="231"/>
      <c r="V722" s="231"/>
      <c r="W722" s="231"/>
      <c r="X722" s="231"/>
      <c r="Y722" s="231"/>
      <c r="Z722" s="231"/>
    </row>
    <row r="723">
      <c r="A723" s="231"/>
      <c r="B723" s="231"/>
      <c r="C723" s="231"/>
      <c r="D723" s="231"/>
      <c r="E723" s="231"/>
      <c r="F723" s="231"/>
      <c r="G723" s="231"/>
      <c r="H723" s="231"/>
      <c r="I723" s="231"/>
      <c r="J723" s="231"/>
      <c r="K723" s="231"/>
      <c r="L723" s="231"/>
      <c r="M723" s="231"/>
      <c r="N723" s="231"/>
      <c r="O723" s="231"/>
      <c r="P723" s="231"/>
      <c r="Q723" s="231"/>
      <c r="R723" s="231"/>
      <c r="S723" s="231"/>
      <c r="T723" s="231"/>
      <c r="U723" s="231"/>
      <c r="V723" s="231"/>
      <c r="W723" s="231"/>
      <c r="X723" s="231"/>
      <c r="Y723" s="231"/>
      <c r="Z723" s="231"/>
    </row>
    <row r="724">
      <c r="A724" s="231"/>
      <c r="B724" s="231"/>
      <c r="C724" s="231"/>
      <c r="D724" s="231"/>
      <c r="E724" s="231"/>
      <c r="F724" s="231"/>
      <c r="G724" s="231"/>
      <c r="H724" s="231"/>
      <c r="I724" s="231"/>
      <c r="J724" s="231"/>
      <c r="K724" s="231"/>
      <c r="L724" s="231"/>
      <c r="M724" s="231"/>
      <c r="N724" s="231"/>
      <c r="O724" s="231"/>
      <c r="P724" s="231"/>
      <c r="Q724" s="231"/>
      <c r="R724" s="231"/>
      <c r="S724" s="231"/>
      <c r="T724" s="231"/>
      <c r="U724" s="231"/>
      <c r="V724" s="231"/>
      <c r="W724" s="231"/>
      <c r="X724" s="231"/>
      <c r="Y724" s="231"/>
      <c r="Z724" s="231"/>
    </row>
    <row r="725">
      <c r="A725" s="231"/>
      <c r="B725" s="231"/>
      <c r="C725" s="231"/>
      <c r="D725" s="231"/>
      <c r="E725" s="231"/>
      <c r="F725" s="231"/>
      <c r="G725" s="231"/>
      <c r="H725" s="231"/>
      <c r="I725" s="231"/>
      <c r="J725" s="231"/>
      <c r="K725" s="231"/>
      <c r="L725" s="231"/>
      <c r="M725" s="231"/>
      <c r="N725" s="231"/>
      <c r="O725" s="231"/>
      <c r="P725" s="231"/>
      <c r="Q725" s="231"/>
      <c r="R725" s="231"/>
      <c r="S725" s="231"/>
      <c r="T725" s="231"/>
      <c r="U725" s="231"/>
      <c r="V725" s="231"/>
      <c r="W725" s="231"/>
      <c r="X725" s="231"/>
      <c r="Y725" s="231"/>
      <c r="Z725" s="231"/>
    </row>
    <row r="726">
      <c r="A726" s="231"/>
      <c r="B726" s="231"/>
      <c r="C726" s="231"/>
      <c r="D726" s="231"/>
      <c r="E726" s="231"/>
      <c r="F726" s="231"/>
      <c r="G726" s="231"/>
      <c r="H726" s="231"/>
      <c r="I726" s="231"/>
      <c r="J726" s="231"/>
      <c r="K726" s="231"/>
      <c r="L726" s="231"/>
      <c r="M726" s="231"/>
      <c r="N726" s="231"/>
      <c r="O726" s="231"/>
      <c r="P726" s="231"/>
      <c r="Q726" s="231"/>
      <c r="R726" s="231"/>
      <c r="S726" s="231"/>
      <c r="T726" s="231"/>
      <c r="U726" s="231"/>
      <c r="V726" s="231"/>
      <c r="W726" s="231"/>
      <c r="X726" s="231"/>
      <c r="Y726" s="231"/>
      <c r="Z726" s="231"/>
    </row>
    <row r="727">
      <c r="A727" s="231"/>
      <c r="B727" s="231"/>
      <c r="C727" s="231"/>
      <c r="D727" s="231"/>
      <c r="E727" s="231"/>
      <c r="F727" s="231"/>
      <c r="G727" s="231"/>
      <c r="H727" s="231"/>
      <c r="I727" s="231"/>
      <c r="J727" s="231"/>
      <c r="K727" s="231"/>
      <c r="L727" s="231"/>
      <c r="M727" s="231"/>
      <c r="N727" s="231"/>
      <c r="O727" s="231"/>
      <c r="P727" s="231"/>
      <c r="Q727" s="231"/>
      <c r="R727" s="231"/>
      <c r="S727" s="231"/>
      <c r="T727" s="231"/>
      <c r="U727" s="231"/>
      <c r="V727" s="231"/>
      <c r="W727" s="231"/>
      <c r="X727" s="231"/>
      <c r="Y727" s="231"/>
      <c r="Z727" s="231"/>
    </row>
    <row r="728">
      <c r="A728" s="231"/>
      <c r="B728" s="231"/>
      <c r="C728" s="231"/>
      <c r="D728" s="231"/>
      <c r="E728" s="231"/>
      <c r="F728" s="231"/>
      <c r="G728" s="231"/>
      <c r="H728" s="231"/>
      <c r="I728" s="231"/>
      <c r="J728" s="231"/>
      <c r="K728" s="231"/>
      <c r="L728" s="231"/>
      <c r="M728" s="231"/>
      <c r="N728" s="231"/>
      <c r="O728" s="231"/>
      <c r="P728" s="231"/>
      <c r="Q728" s="231"/>
      <c r="R728" s="231"/>
      <c r="S728" s="231"/>
      <c r="T728" s="231"/>
      <c r="U728" s="231"/>
      <c r="V728" s="231"/>
      <c r="W728" s="231"/>
      <c r="X728" s="231"/>
      <c r="Y728" s="231"/>
      <c r="Z728" s="231"/>
    </row>
    <row r="729">
      <c r="A729" s="231"/>
      <c r="B729" s="231"/>
      <c r="C729" s="231"/>
      <c r="D729" s="231"/>
      <c r="E729" s="231"/>
      <c r="F729" s="231"/>
      <c r="G729" s="231"/>
      <c r="H729" s="231"/>
      <c r="I729" s="231"/>
      <c r="J729" s="231"/>
      <c r="K729" s="231"/>
      <c r="L729" s="231"/>
      <c r="M729" s="231"/>
      <c r="N729" s="231"/>
      <c r="O729" s="231"/>
      <c r="P729" s="231"/>
      <c r="Q729" s="231"/>
      <c r="R729" s="231"/>
      <c r="S729" s="231"/>
      <c r="T729" s="231"/>
      <c r="U729" s="231"/>
      <c r="V729" s="231"/>
      <c r="W729" s="231"/>
      <c r="X729" s="231"/>
      <c r="Y729" s="231"/>
      <c r="Z729" s="231"/>
    </row>
    <row r="730">
      <c r="A730" s="231"/>
      <c r="B730" s="231"/>
      <c r="C730" s="231"/>
      <c r="D730" s="231"/>
      <c r="E730" s="231"/>
      <c r="F730" s="231"/>
      <c r="G730" s="231"/>
      <c r="H730" s="231"/>
      <c r="I730" s="231"/>
      <c r="J730" s="231"/>
      <c r="K730" s="231"/>
      <c r="L730" s="231"/>
      <c r="M730" s="231"/>
      <c r="N730" s="231"/>
      <c r="O730" s="231"/>
      <c r="P730" s="231"/>
      <c r="Q730" s="231"/>
      <c r="R730" s="231"/>
      <c r="S730" s="231"/>
      <c r="T730" s="231"/>
      <c r="U730" s="231"/>
      <c r="V730" s="231"/>
      <c r="W730" s="231"/>
      <c r="X730" s="231"/>
      <c r="Y730" s="231"/>
      <c r="Z730" s="231"/>
    </row>
    <row r="731">
      <c r="A731" s="231"/>
      <c r="B731" s="231"/>
      <c r="C731" s="231"/>
      <c r="D731" s="231"/>
      <c r="E731" s="231"/>
      <c r="F731" s="231"/>
      <c r="G731" s="231"/>
      <c r="H731" s="231"/>
      <c r="I731" s="231"/>
      <c r="J731" s="231"/>
      <c r="K731" s="231"/>
      <c r="L731" s="231"/>
      <c r="M731" s="231"/>
      <c r="N731" s="231"/>
      <c r="O731" s="231"/>
      <c r="P731" s="231"/>
      <c r="Q731" s="231"/>
      <c r="R731" s="231"/>
      <c r="S731" s="231"/>
      <c r="T731" s="231"/>
      <c r="U731" s="231"/>
      <c r="V731" s="231"/>
      <c r="W731" s="231"/>
      <c r="X731" s="231"/>
      <c r="Y731" s="231"/>
      <c r="Z731" s="231"/>
    </row>
    <row r="732">
      <c r="A732" s="231"/>
      <c r="B732" s="231"/>
      <c r="C732" s="231"/>
      <c r="D732" s="231"/>
      <c r="E732" s="231"/>
      <c r="F732" s="231"/>
      <c r="G732" s="231"/>
      <c r="H732" s="231"/>
      <c r="I732" s="231"/>
      <c r="J732" s="231"/>
      <c r="K732" s="231"/>
      <c r="L732" s="231"/>
      <c r="M732" s="231"/>
      <c r="N732" s="231"/>
      <c r="O732" s="231"/>
      <c r="P732" s="231"/>
      <c r="Q732" s="231"/>
      <c r="R732" s="231"/>
      <c r="S732" s="231"/>
      <c r="T732" s="231"/>
      <c r="U732" s="231"/>
      <c r="V732" s="231"/>
      <c r="W732" s="231"/>
      <c r="X732" s="231"/>
      <c r="Y732" s="231"/>
      <c r="Z732" s="231"/>
    </row>
    <row r="733">
      <c r="A733" s="231"/>
      <c r="B733" s="231"/>
      <c r="C733" s="231"/>
      <c r="D733" s="231"/>
      <c r="E733" s="231"/>
      <c r="F733" s="231"/>
      <c r="G733" s="231"/>
      <c r="H733" s="231"/>
      <c r="I733" s="231"/>
      <c r="J733" s="231"/>
      <c r="K733" s="231"/>
      <c r="L733" s="231"/>
      <c r="M733" s="231"/>
      <c r="N733" s="231"/>
      <c r="O733" s="231"/>
      <c r="P733" s="231"/>
      <c r="Q733" s="231"/>
      <c r="R733" s="231"/>
      <c r="S733" s="231"/>
      <c r="T733" s="231"/>
      <c r="U733" s="231"/>
      <c r="V733" s="231"/>
      <c r="W733" s="231"/>
      <c r="X733" s="231"/>
      <c r="Y733" s="231"/>
      <c r="Z733" s="231"/>
    </row>
    <row r="734">
      <c r="A734" s="231"/>
      <c r="B734" s="231"/>
      <c r="C734" s="231"/>
      <c r="D734" s="231"/>
      <c r="E734" s="231"/>
      <c r="F734" s="231"/>
      <c r="G734" s="231"/>
      <c r="H734" s="231"/>
      <c r="I734" s="231"/>
      <c r="J734" s="231"/>
      <c r="K734" s="231"/>
      <c r="L734" s="231"/>
      <c r="M734" s="231"/>
      <c r="N734" s="231"/>
      <c r="O734" s="231"/>
      <c r="P734" s="231"/>
      <c r="Q734" s="231"/>
      <c r="R734" s="231"/>
      <c r="S734" s="231"/>
      <c r="T734" s="231"/>
      <c r="U734" s="231"/>
      <c r="V734" s="231"/>
      <c r="W734" s="231"/>
      <c r="X734" s="231"/>
      <c r="Y734" s="231"/>
      <c r="Z734" s="231"/>
    </row>
    <row r="735">
      <c r="A735" s="231"/>
      <c r="B735" s="231"/>
      <c r="C735" s="231"/>
      <c r="D735" s="231"/>
      <c r="E735" s="231"/>
      <c r="F735" s="231"/>
      <c r="G735" s="231"/>
      <c r="H735" s="231"/>
      <c r="I735" s="231"/>
      <c r="J735" s="231"/>
      <c r="K735" s="231"/>
      <c r="L735" s="231"/>
      <c r="M735" s="231"/>
      <c r="N735" s="231"/>
      <c r="O735" s="231"/>
      <c r="P735" s="231"/>
      <c r="Q735" s="231"/>
      <c r="R735" s="231"/>
      <c r="S735" s="231"/>
      <c r="T735" s="231"/>
      <c r="U735" s="231"/>
      <c r="V735" s="231"/>
      <c r="W735" s="231"/>
      <c r="X735" s="231"/>
      <c r="Y735" s="231"/>
      <c r="Z735" s="231"/>
    </row>
    <row r="736">
      <c r="A736" s="231"/>
      <c r="B736" s="231"/>
      <c r="C736" s="231"/>
      <c r="D736" s="231"/>
      <c r="E736" s="231"/>
      <c r="F736" s="231"/>
      <c r="G736" s="231"/>
      <c r="H736" s="231"/>
      <c r="I736" s="231"/>
      <c r="J736" s="231"/>
      <c r="K736" s="231"/>
      <c r="L736" s="231"/>
      <c r="M736" s="231"/>
      <c r="N736" s="231"/>
      <c r="O736" s="231"/>
      <c r="P736" s="231"/>
      <c r="Q736" s="231"/>
      <c r="R736" s="231"/>
      <c r="S736" s="231"/>
      <c r="T736" s="231"/>
      <c r="U736" s="231"/>
      <c r="V736" s="231"/>
      <c r="W736" s="231"/>
      <c r="X736" s="231"/>
      <c r="Y736" s="231"/>
      <c r="Z736" s="231"/>
    </row>
    <row r="737">
      <c r="A737" s="231"/>
      <c r="B737" s="231"/>
      <c r="C737" s="231"/>
      <c r="D737" s="231"/>
      <c r="E737" s="231"/>
      <c r="F737" s="231"/>
      <c r="G737" s="231"/>
      <c r="H737" s="231"/>
      <c r="I737" s="231"/>
      <c r="J737" s="231"/>
      <c r="K737" s="231"/>
      <c r="L737" s="231"/>
      <c r="M737" s="231"/>
      <c r="N737" s="231"/>
      <c r="O737" s="231"/>
      <c r="P737" s="231"/>
      <c r="Q737" s="231"/>
      <c r="R737" s="231"/>
      <c r="S737" s="231"/>
      <c r="T737" s="231"/>
      <c r="U737" s="231"/>
      <c r="V737" s="231"/>
      <c r="W737" s="231"/>
      <c r="X737" s="231"/>
      <c r="Y737" s="231"/>
      <c r="Z737" s="231"/>
    </row>
    <row r="738">
      <c r="A738" s="231"/>
      <c r="B738" s="231"/>
      <c r="C738" s="231"/>
      <c r="D738" s="231"/>
      <c r="E738" s="231"/>
      <c r="F738" s="231"/>
      <c r="G738" s="231"/>
      <c r="H738" s="231"/>
      <c r="I738" s="231"/>
      <c r="J738" s="231"/>
      <c r="K738" s="231"/>
      <c r="L738" s="231"/>
      <c r="M738" s="231"/>
      <c r="N738" s="231"/>
      <c r="O738" s="231"/>
      <c r="P738" s="231"/>
      <c r="Q738" s="231"/>
      <c r="R738" s="231"/>
      <c r="S738" s="231"/>
      <c r="T738" s="231"/>
      <c r="U738" s="231"/>
      <c r="V738" s="231"/>
      <c r="W738" s="231"/>
      <c r="X738" s="231"/>
      <c r="Y738" s="231"/>
      <c r="Z738" s="231"/>
    </row>
    <row r="739">
      <c r="A739" s="231"/>
      <c r="B739" s="231"/>
      <c r="C739" s="231"/>
      <c r="D739" s="231"/>
      <c r="E739" s="231"/>
      <c r="F739" s="231"/>
      <c r="G739" s="231"/>
      <c r="H739" s="231"/>
      <c r="I739" s="231"/>
      <c r="J739" s="231"/>
      <c r="K739" s="231"/>
      <c r="L739" s="231"/>
      <c r="M739" s="231"/>
      <c r="N739" s="231"/>
      <c r="O739" s="231"/>
      <c r="P739" s="231"/>
      <c r="Q739" s="231"/>
      <c r="R739" s="231"/>
      <c r="S739" s="231"/>
      <c r="T739" s="231"/>
      <c r="U739" s="231"/>
      <c r="V739" s="231"/>
      <c r="W739" s="231"/>
      <c r="X739" s="231"/>
      <c r="Y739" s="231"/>
      <c r="Z739" s="231"/>
    </row>
    <row r="740">
      <c r="A740" s="231"/>
      <c r="B740" s="231"/>
      <c r="C740" s="231"/>
      <c r="D740" s="231"/>
      <c r="E740" s="231"/>
      <c r="F740" s="231"/>
      <c r="G740" s="231"/>
      <c r="H740" s="231"/>
      <c r="I740" s="231"/>
      <c r="J740" s="231"/>
      <c r="K740" s="231"/>
      <c r="L740" s="231"/>
      <c r="M740" s="231"/>
      <c r="N740" s="231"/>
      <c r="O740" s="231"/>
      <c r="P740" s="231"/>
      <c r="Q740" s="231"/>
      <c r="R740" s="231"/>
      <c r="S740" s="231"/>
      <c r="T740" s="231"/>
      <c r="U740" s="231"/>
      <c r="V740" s="231"/>
      <c r="W740" s="231"/>
      <c r="X740" s="231"/>
      <c r="Y740" s="231"/>
      <c r="Z740" s="231"/>
    </row>
    <row r="741">
      <c r="A741" s="231"/>
      <c r="B741" s="231"/>
      <c r="C741" s="231"/>
      <c r="D741" s="231"/>
      <c r="E741" s="231"/>
      <c r="F741" s="231"/>
      <c r="G741" s="231"/>
      <c r="H741" s="231"/>
      <c r="I741" s="231"/>
      <c r="J741" s="231"/>
      <c r="K741" s="231"/>
      <c r="L741" s="231"/>
      <c r="M741" s="231"/>
      <c r="N741" s="231"/>
      <c r="O741" s="231"/>
      <c r="P741" s="231"/>
      <c r="Q741" s="231"/>
      <c r="R741" s="231"/>
      <c r="S741" s="231"/>
      <c r="T741" s="231"/>
      <c r="U741" s="231"/>
      <c r="V741" s="231"/>
      <c r="W741" s="231"/>
      <c r="X741" s="231"/>
      <c r="Y741" s="231"/>
      <c r="Z741" s="231"/>
    </row>
    <row r="742">
      <c r="A742" s="231"/>
      <c r="B742" s="231"/>
      <c r="C742" s="231"/>
      <c r="D742" s="231"/>
      <c r="E742" s="231"/>
      <c r="F742" s="231"/>
      <c r="G742" s="231"/>
      <c r="H742" s="231"/>
      <c r="I742" s="231"/>
      <c r="J742" s="231"/>
      <c r="K742" s="231"/>
      <c r="L742" s="231"/>
      <c r="M742" s="231"/>
      <c r="N742" s="231"/>
      <c r="O742" s="231"/>
      <c r="P742" s="231"/>
      <c r="Q742" s="231"/>
      <c r="R742" s="231"/>
      <c r="S742" s="231"/>
      <c r="T742" s="231"/>
      <c r="U742" s="231"/>
      <c r="V742" s="231"/>
      <c r="W742" s="231"/>
      <c r="X742" s="231"/>
      <c r="Y742" s="231"/>
      <c r="Z742" s="231"/>
    </row>
    <row r="743">
      <c r="A743" s="231"/>
      <c r="B743" s="231"/>
      <c r="C743" s="231"/>
      <c r="D743" s="231"/>
      <c r="E743" s="231"/>
      <c r="F743" s="231"/>
      <c r="G743" s="231"/>
      <c r="H743" s="231"/>
      <c r="I743" s="231"/>
      <c r="J743" s="231"/>
      <c r="K743" s="231"/>
      <c r="L743" s="231"/>
      <c r="M743" s="231"/>
      <c r="N743" s="231"/>
      <c r="O743" s="231"/>
      <c r="P743" s="231"/>
      <c r="Q743" s="231"/>
      <c r="R743" s="231"/>
      <c r="S743" s="231"/>
      <c r="T743" s="231"/>
      <c r="U743" s="231"/>
      <c r="V743" s="231"/>
      <c r="W743" s="231"/>
      <c r="X743" s="231"/>
      <c r="Y743" s="231"/>
      <c r="Z743" s="231"/>
    </row>
    <row r="744">
      <c r="A744" s="231"/>
      <c r="B744" s="231"/>
      <c r="C744" s="231"/>
      <c r="D744" s="231"/>
      <c r="E744" s="231"/>
      <c r="F744" s="231"/>
      <c r="G744" s="231"/>
      <c r="H744" s="231"/>
      <c r="I744" s="231"/>
      <c r="J744" s="231"/>
      <c r="K744" s="231"/>
      <c r="L744" s="231"/>
      <c r="M744" s="231"/>
      <c r="N744" s="231"/>
      <c r="O744" s="231"/>
      <c r="P744" s="231"/>
      <c r="Q744" s="231"/>
      <c r="R744" s="231"/>
      <c r="S744" s="231"/>
      <c r="T744" s="231"/>
      <c r="U744" s="231"/>
      <c r="V744" s="231"/>
      <c r="W744" s="231"/>
      <c r="X744" s="231"/>
      <c r="Y744" s="231"/>
      <c r="Z744" s="231"/>
    </row>
    <row r="745">
      <c r="A745" s="231"/>
      <c r="B745" s="231"/>
      <c r="C745" s="231"/>
      <c r="D745" s="231"/>
      <c r="E745" s="231"/>
      <c r="F745" s="231"/>
      <c r="G745" s="231"/>
      <c r="H745" s="231"/>
      <c r="I745" s="231"/>
      <c r="J745" s="231"/>
      <c r="K745" s="231"/>
      <c r="L745" s="231"/>
      <c r="M745" s="231"/>
      <c r="N745" s="231"/>
      <c r="O745" s="231"/>
      <c r="P745" s="231"/>
      <c r="Q745" s="231"/>
      <c r="R745" s="231"/>
      <c r="S745" s="231"/>
      <c r="T745" s="231"/>
      <c r="U745" s="231"/>
      <c r="V745" s="231"/>
      <c r="W745" s="231"/>
      <c r="X745" s="231"/>
      <c r="Y745" s="231"/>
      <c r="Z745" s="231"/>
    </row>
    <row r="746">
      <c r="A746" s="231"/>
      <c r="B746" s="231"/>
      <c r="C746" s="231"/>
      <c r="D746" s="231"/>
      <c r="E746" s="231"/>
      <c r="F746" s="231"/>
      <c r="G746" s="231"/>
      <c r="H746" s="231"/>
      <c r="I746" s="231"/>
      <c r="J746" s="231"/>
      <c r="K746" s="231"/>
      <c r="L746" s="231"/>
      <c r="M746" s="231"/>
      <c r="N746" s="231"/>
      <c r="O746" s="231"/>
      <c r="P746" s="231"/>
      <c r="Q746" s="231"/>
      <c r="R746" s="231"/>
      <c r="S746" s="231"/>
      <c r="T746" s="231"/>
      <c r="U746" s="231"/>
      <c r="V746" s="231"/>
      <c r="W746" s="231"/>
      <c r="X746" s="231"/>
      <c r="Y746" s="231"/>
      <c r="Z746" s="231"/>
    </row>
    <row r="747">
      <c r="A747" s="231"/>
      <c r="B747" s="231"/>
      <c r="C747" s="231"/>
      <c r="D747" s="231"/>
      <c r="E747" s="231"/>
      <c r="F747" s="231"/>
      <c r="G747" s="231"/>
      <c r="H747" s="231"/>
      <c r="I747" s="231"/>
      <c r="J747" s="231"/>
      <c r="K747" s="231"/>
      <c r="L747" s="231"/>
      <c r="M747" s="231"/>
      <c r="N747" s="231"/>
      <c r="O747" s="231"/>
      <c r="P747" s="231"/>
      <c r="Q747" s="231"/>
      <c r="R747" s="231"/>
      <c r="S747" s="231"/>
      <c r="T747" s="231"/>
      <c r="U747" s="231"/>
      <c r="V747" s="231"/>
      <c r="W747" s="231"/>
      <c r="X747" s="231"/>
      <c r="Y747" s="231"/>
      <c r="Z747" s="231"/>
    </row>
    <row r="748">
      <c r="A748" s="231"/>
      <c r="B748" s="231"/>
      <c r="C748" s="231"/>
      <c r="D748" s="231"/>
      <c r="E748" s="231"/>
      <c r="F748" s="231"/>
      <c r="G748" s="231"/>
      <c r="H748" s="231"/>
      <c r="I748" s="231"/>
      <c r="J748" s="231"/>
      <c r="K748" s="231"/>
      <c r="L748" s="231"/>
      <c r="M748" s="231"/>
      <c r="N748" s="231"/>
      <c r="O748" s="231"/>
      <c r="P748" s="231"/>
      <c r="Q748" s="231"/>
      <c r="R748" s="231"/>
      <c r="S748" s="231"/>
      <c r="T748" s="231"/>
      <c r="U748" s="231"/>
      <c r="V748" s="231"/>
      <c r="W748" s="231"/>
      <c r="X748" s="231"/>
      <c r="Y748" s="231"/>
      <c r="Z748" s="231"/>
    </row>
    <row r="749">
      <c r="A749" s="231"/>
      <c r="B749" s="231"/>
      <c r="C749" s="231"/>
      <c r="D749" s="231"/>
      <c r="E749" s="231"/>
      <c r="F749" s="231"/>
      <c r="G749" s="231"/>
      <c r="H749" s="231"/>
      <c r="I749" s="231"/>
      <c r="J749" s="231"/>
      <c r="K749" s="231"/>
      <c r="L749" s="231"/>
      <c r="M749" s="231"/>
      <c r="N749" s="231"/>
      <c r="O749" s="231"/>
      <c r="P749" s="231"/>
      <c r="Q749" s="231"/>
      <c r="R749" s="231"/>
      <c r="S749" s="231"/>
      <c r="T749" s="231"/>
      <c r="U749" s="231"/>
      <c r="V749" s="231"/>
      <c r="W749" s="231"/>
      <c r="X749" s="231"/>
      <c r="Y749" s="231"/>
      <c r="Z749" s="231"/>
    </row>
    <row r="750">
      <c r="A750" s="231"/>
      <c r="B750" s="231"/>
      <c r="C750" s="231"/>
      <c r="D750" s="231"/>
      <c r="E750" s="231"/>
      <c r="F750" s="231"/>
      <c r="G750" s="231"/>
      <c r="H750" s="231"/>
      <c r="I750" s="231"/>
      <c r="J750" s="231"/>
      <c r="K750" s="231"/>
      <c r="L750" s="231"/>
      <c r="M750" s="231"/>
      <c r="N750" s="231"/>
      <c r="O750" s="231"/>
      <c r="P750" s="231"/>
      <c r="Q750" s="231"/>
      <c r="R750" s="231"/>
      <c r="S750" s="231"/>
      <c r="T750" s="231"/>
      <c r="U750" s="231"/>
      <c r="V750" s="231"/>
      <c r="W750" s="231"/>
      <c r="X750" s="231"/>
      <c r="Y750" s="231"/>
      <c r="Z750" s="231"/>
    </row>
    <row r="751">
      <c r="A751" s="231"/>
      <c r="B751" s="231"/>
      <c r="C751" s="231"/>
      <c r="D751" s="231"/>
      <c r="E751" s="231"/>
      <c r="F751" s="231"/>
      <c r="G751" s="231"/>
      <c r="H751" s="231"/>
      <c r="I751" s="231"/>
      <c r="J751" s="231"/>
      <c r="K751" s="231"/>
      <c r="L751" s="231"/>
      <c r="M751" s="231"/>
      <c r="N751" s="231"/>
      <c r="O751" s="231"/>
      <c r="P751" s="231"/>
      <c r="Q751" s="231"/>
      <c r="R751" s="231"/>
      <c r="S751" s="231"/>
      <c r="T751" s="231"/>
      <c r="U751" s="231"/>
      <c r="V751" s="231"/>
      <c r="W751" s="231"/>
      <c r="X751" s="231"/>
      <c r="Y751" s="231"/>
      <c r="Z751" s="231"/>
    </row>
    <row r="752">
      <c r="A752" s="231"/>
      <c r="B752" s="231"/>
      <c r="C752" s="231"/>
      <c r="D752" s="231"/>
      <c r="E752" s="231"/>
      <c r="F752" s="231"/>
      <c r="G752" s="231"/>
      <c r="H752" s="231"/>
      <c r="I752" s="231"/>
      <c r="J752" s="231"/>
      <c r="K752" s="231"/>
      <c r="L752" s="231"/>
      <c r="M752" s="231"/>
      <c r="N752" s="231"/>
      <c r="O752" s="231"/>
      <c r="P752" s="231"/>
      <c r="Q752" s="231"/>
      <c r="R752" s="231"/>
      <c r="S752" s="231"/>
      <c r="T752" s="231"/>
      <c r="U752" s="231"/>
      <c r="V752" s="231"/>
      <c r="W752" s="231"/>
      <c r="X752" s="231"/>
      <c r="Y752" s="231"/>
      <c r="Z752" s="231"/>
    </row>
    <row r="753">
      <c r="A753" s="231"/>
      <c r="B753" s="231"/>
      <c r="C753" s="231"/>
      <c r="D753" s="231"/>
      <c r="E753" s="231"/>
      <c r="F753" s="231"/>
      <c r="G753" s="231"/>
      <c r="H753" s="231"/>
      <c r="I753" s="231"/>
      <c r="J753" s="231"/>
      <c r="K753" s="231"/>
      <c r="L753" s="231"/>
      <c r="M753" s="231"/>
      <c r="N753" s="231"/>
      <c r="O753" s="231"/>
      <c r="P753" s="231"/>
      <c r="Q753" s="231"/>
      <c r="R753" s="231"/>
      <c r="S753" s="231"/>
      <c r="T753" s="231"/>
      <c r="U753" s="231"/>
      <c r="V753" s="231"/>
      <c r="W753" s="231"/>
      <c r="X753" s="231"/>
      <c r="Y753" s="231"/>
      <c r="Z753" s="231"/>
    </row>
    <row r="754">
      <c r="A754" s="231"/>
      <c r="B754" s="231"/>
      <c r="C754" s="231"/>
      <c r="D754" s="231"/>
      <c r="E754" s="231"/>
      <c r="F754" s="231"/>
      <c r="G754" s="231"/>
      <c r="H754" s="231"/>
      <c r="I754" s="231"/>
      <c r="J754" s="231"/>
      <c r="K754" s="231"/>
      <c r="L754" s="231"/>
      <c r="M754" s="231"/>
      <c r="N754" s="231"/>
      <c r="O754" s="231"/>
      <c r="P754" s="231"/>
      <c r="Q754" s="231"/>
      <c r="R754" s="231"/>
      <c r="S754" s="231"/>
      <c r="T754" s="231"/>
      <c r="U754" s="231"/>
      <c r="V754" s="231"/>
      <c r="W754" s="231"/>
      <c r="X754" s="231"/>
      <c r="Y754" s="231"/>
      <c r="Z754" s="231"/>
    </row>
    <row r="755">
      <c r="A755" s="231"/>
      <c r="B755" s="231"/>
      <c r="C755" s="231"/>
      <c r="D755" s="231"/>
      <c r="E755" s="231"/>
      <c r="F755" s="231"/>
      <c r="G755" s="231"/>
      <c r="H755" s="231"/>
      <c r="I755" s="231"/>
      <c r="J755" s="231"/>
      <c r="K755" s="231"/>
      <c r="L755" s="231"/>
      <c r="M755" s="231"/>
      <c r="N755" s="231"/>
      <c r="O755" s="231"/>
      <c r="P755" s="231"/>
      <c r="Q755" s="231"/>
      <c r="R755" s="231"/>
      <c r="S755" s="231"/>
      <c r="T755" s="231"/>
      <c r="U755" s="231"/>
      <c r="V755" s="231"/>
      <c r="W755" s="231"/>
      <c r="X755" s="231"/>
      <c r="Y755" s="231"/>
      <c r="Z755" s="231"/>
    </row>
    <row r="756">
      <c r="A756" s="231"/>
      <c r="B756" s="231"/>
      <c r="C756" s="231"/>
      <c r="D756" s="231"/>
      <c r="E756" s="231"/>
      <c r="F756" s="231"/>
      <c r="G756" s="231"/>
      <c r="H756" s="231"/>
      <c r="I756" s="231"/>
      <c r="J756" s="231"/>
      <c r="K756" s="231"/>
      <c r="L756" s="231"/>
      <c r="M756" s="231"/>
      <c r="N756" s="231"/>
      <c r="O756" s="231"/>
      <c r="P756" s="231"/>
      <c r="Q756" s="231"/>
      <c r="R756" s="231"/>
      <c r="S756" s="231"/>
      <c r="T756" s="231"/>
      <c r="U756" s="231"/>
      <c r="V756" s="231"/>
      <c r="W756" s="231"/>
      <c r="X756" s="231"/>
      <c r="Y756" s="231"/>
      <c r="Z756" s="231"/>
    </row>
    <row r="757">
      <c r="A757" s="231"/>
      <c r="B757" s="231"/>
      <c r="C757" s="231"/>
      <c r="D757" s="231"/>
      <c r="E757" s="231"/>
      <c r="F757" s="231"/>
      <c r="G757" s="231"/>
      <c r="H757" s="231"/>
      <c r="I757" s="231"/>
      <c r="J757" s="231"/>
      <c r="K757" s="231"/>
      <c r="L757" s="231"/>
      <c r="M757" s="231"/>
      <c r="N757" s="231"/>
      <c r="O757" s="231"/>
      <c r="P757" s="231"/>
      <c r="Q757" s="231"/>
      <c r="R757" s="231"/>
      <c r="S757" s="231"/>
      <c r="T757" s="231"/>
      <c r="U757" s="231"/>
      <c r="V757" s="231"/>
      <c r="W757" s="231"/>
      <c r="X757" s="231"/>
      <c r="Y757" s="231"/>
      <c r="Z757" s="231"/>
    </row>
    <row r="758">
      <c r="A758" s="231"/>
      <c r="B758" s="231"/>
      <c r="C758" s="231"/>
      <c r="D758" s="231"/>
      <c r="E758" s="231"/>
      <c r="F758" s="231"/>
      <c r="G758" s="231"/>
      <c r="H758" s="231"/>
      <c r="I758" s="231"/>
      <c r="J758" s="231"/>
      <c r="K758" s="231"/>
      <c r="L758" s="231"/>
      <c r="M758" s="231"/>
      <c r="N758" s="231"/>
      <c r="O758" s="231"/>
      <c r="P758" s="231"/>
      <c r="Q758" s="231"/>
      <c r="R758" s="231"/>
      <c r="S758" s="231"/>
      <c r="T758" s="231"/>
      <c r="U758" s="231"/>
      <c r="V758" s="231"/>
      <c r="W758" s="231"/>
      <c r="X758" s="231"/>
      <c r="Y758" s="231"/>
      <c r="Z758" s="231"/>
    </row>
    <row r="759">
      <c r="A759" s="231"/>
      <c r="B759" s="231"/>
      <c r="C759" s="231"/>
      <c r="D759" s="231"/>
      <c r="E759" s="231"/>
      <c r="F759" s="231"/>
      <c r="G759" s="231"/>
      <c r="H759" s="231"/>
      <c r="I759" s="231"/>
      <c r="J759" s="231"/>
      <c r="K759" s="231"/>
      <c r="L759" s="231"/>
      <c r="M759" s="231"/>
      <c r="N759" s="231"/>
      <c r="O759" s="231"/>
      <c r="P759" s="231"/>
      <c r="Q759" s="231"/>
      <c r="R759" s="231"/>
      <c r="S759" s="231"/>
      <c r="T759" s="231"/>
      <c r="U759" s="231"/>
      <c r="V759" s="231"/>
      <c r="W759" s="231"/>
      <c r="X759" s="231"/>
      <c r="Y759" s="231"/>
      <c r="Z759" s="231"/>
    </row>
    <row r="760">
      <c r="A760" s="231"/>
      <c r="B760" s="231"/>
      <c r="C760" s="231"/>
      <c r="D760" s="231"/>
      <c r="E760" s="231"/>
      <c r="F760" s="231"/>
      <c r="G760" s="231"/>
      <c r="H760" s="231"/>
      <c r="I760" s="231"/>
      <c r="J760" s="231"/>
      <c r="K760" s="231"/>
      <c r="L760" s="231"/>
      <c r="M760" s="231"/>
      <c r="N760" s="231"/>
      <c r="O760" s="231"/>
      <c r="P760" s="231"/>
      <c r="Q760" s="231"/>
      <c r="R760" s="231"/>
      <c r="S760" s="231"/>
      <c r="T760" s="231"/>
      <c r="U760" s="231"/>
      <c r="V760" s="231"/>
      <c r="W760" s="231"/>
      <c r="X760" s="231"/>
      <c r="Y760" s="231"/>
      <c r="Z760" s="231"/>
    </row>
    <row r="761">
      <c r="A761" s="231"/>
      <c r="B761" s="231"/>
      <c r="C761" s="231"/>
      <c r="D761" s="231"/>
      <c r="E761" s="231"/>
      <c r="F761" s="231"/>
      <c r="G761" s="231"/>
      <c r="H761" s="231"/>
      <c r="I761" s="231"/>
      <c r="J761" s="231"/>
      <c r="K761" s="231"/>
      <c r="L761" s="231"/>
      <c r="M761" s="231"/>
      <c r="N761" s="231"/>
      <c r="O761" s="231"/>
      <c r="P761" s="231"/>
      <c r="Q761" s="231"/>
      <c r="R761" s="231"/>
      <c r="S761" s="231"/>
      <c r="T761" s="231"/>
      <c r="U761" s="231"/>
      <c r="V761" s="231"/>
      <c r="W761" s="231"/>
      <c r="X761" s="231"/>
      <c r="Y761" s="231"/>
      <c r="Z761" s="231"/>
    </row>
    <row r="762">
      <c r="A762" s="231"/>
      <c r="B762" s="231"/>
      <c r="C762" s="231"/>
      <c r="D762" s="231"/>
      <c r="E762" s="231"/>
      <c r="F762" s="231"/>
      <c r="G762" s="231"/>
      <c r="H762" s="231"/>
      <c r="I762" s="231"/>
      <c r="J762" s="231"/>
      <c r="K762" s="231"/>
      <c r="L762" s="231"/>
      <c r="M762" s="231"/>
      <c r="N762" s="231"/>
      <c r="O762" s="231"/>
      <c r="P762" s="231"/>
      <c r="Q762" s="231"/>
      <c r="R762" s="231"/>
      <c r="S762" s="231"/>
      <c r="T762" s="231"/>
      <c r="U762" s="231"/>
      <c r="V762" s="231"/>
      <c r="W762" s="231"/>
      <c r="X762" s="231"/>
      <c r="Y762" s="231"/>
      <c r="Z762" s="231"/>
    </row>
    <row r="763">
      <c r="A763" s="231"/>
      <c r="B763" s="231"/>
      <c r="C763" s="231"/>
      <c r="D763" s="231"/>
      <c r="E763" s="231"/>
      <c r="F763" s="231"/>
      <c r="G763" s="231"/>
      <c r="H763" s="231"/>
      <c r="I763" s="231"/>
      <c r="J763" s="231"/>
      <c r="K763" s="231"/>
      <c r="L763" s="231"/>
      <c r="M763" s="231"/>
      <c r="N763" s="231"/>
      <c r="O763" s="231"/>
      <c r="P763" s="231"/>
      <c r="Q763" s="231"/>
      <c r="R763" s="231"/>
      <c r="S763" s="231"/>
      <c r="T763" s="231"/>
      <c r="U763" s="231"/>
      <c r="V763" s="231"/>
      <c r="W763" s="231"/>
      <c r="X763" s="231"/>
      <c r="Y763" s="231"/>
      <c r="Z763" s="231"/>
    </row>
    <row r="764">
      <c r="A764" s="231"/>
      <c r="B764" s="231"/>
      <c r="C764" s="231"/>
      <c r="D764" s="231"/>
      <c r="E764" s="231"/>
      <c r="F764" s="231"/>
      <c r="G764" s="231"/>
      <c r="H764" s="231"/>
      <c r="I764" s="231"/>
      <c r="J764" s="231"/>
      <c r="K764" s="231"/>
      <c r="L764" s="231"/>
      <c r="M764" s="231"/>
      <c r="N764" s="231"/>
      <c r="O764" s="231"/>
      <c r="P764" s="231"/>
      <c r="Q764" s="231"/>
      <c r="R764" s="231"/>
      <c r="S764" s="231"/>
      <c r="T764" s="231"/>
      <c r="U764" s="231"/>
      <c r="V764" s="231"/>
      <c r="W764" s="231"/>
      <c r="X764" s="231"/>
      <c r="Y764" s="231"/>
      <c r="Z764" s="231"/>
    </row>
    <row r="765">
      <c r="A765" s="231"/>
      <c r="B765" s="231"/>
      <c r="C765" s="231"/>
      <c r="D765" s="231"/>
      <c r="E765" s="231"/>
      <c r="F765" s="231"/>
      <c r="G765" s="231"/>
      <c r="H765" s="231"/>
      <c r="I765" s="231"/>
      <c r="J765" s="231"/>
      <c r="K765" s="231"/>
      <c r="L765" s="231"/>
      <c r="M765" s="231"/>
      <c r="N765" s="231"/>
      <c r="O765" s="231"/>
      <c r="P765" s="231"/>
      <c r="Q765" s="231"/>
      <c r="R765" s="231"/>
      <c r="S765" s="231"/>
      <c r="T765" s="231"/>
      <c r="U765" s="231"/>
      <c r="V765" s="231"/>
      <c r="W765" s="231"/>
      <c r="X765" s="231"/>
      <c r="Y765" s="231"/>
      <c r="Z765" s="231"/>
    </row>
    <row r="766">
      <c r="A766" s="231"/>
      <c r="B766" s="231"/>
      <c r="C766" s="231"/>
      <c r="D766" s="231"/>
      <c r="E766" s="231"/>
      <c r="F766" s="231"/>
      <c r="G766" s="231"/>
      <c r="H766" s="231"/>
      <c r="I766" s="231"/>
      <c r="J766" s="231"/>
      <c r="K766" s="231"/>
      <c r="L766" s="231"/>
      <c r="M766" s="231"/>
      <c r="N766" s="231"/>
      <c r="O766" s="231"/>
      <c r="P766" s="231"/>
      <c r="Q766" s="231"/>
      <c r="R766" s="231"/>
      <c r="S766" s="231"/>
      <c r="T766" s="231"/>
      <c r="U766" s="231"/>
      <c r="V766" s="231"/>
      <c r="W766" s="231"/>
      <c r="X766" s="231"/>
      <c r="Y766" s="231"/>
      <c r="Z766" s="231"/>
    </row>
    <row r="767">
      <c r="A767" s="231"/>
      <c r="B767" s="231"/>
      <c r="C767" s="231"/>
      <c r="D767" s="231"/>
      <c r="E767" s="231"/>
      <c r="F767" s="231"/>
      <c r="G767" s="231"/>
      <c r="H767" s="231"/>
      <c r="I767" s="231"/>
      <c r="J767" s="231"/>
      <c r="K767" s="231"/>
      <c r="L767" s="231"/>
      <c r="M767" s="231"/>
      <c r="N767" s="231"/>
      <c r="O767" s="231"/>
      <c r="P767" s="231"/>
      <c r="Q767" s="231"/>
      <c r="R767" s="231"/>
      <c r="S767" s="231"/>
      <c r="T767" s="231"/>
      <c r="U767" s="231"/>
      <c r="V767" s="231"/>
      <c r="W767" s="231"/>
      <c r="X767" s="231"/>
      <c r="Y767" s="231"/>
      <c r="Z767" s="231"/>
    </row>
    <row r="768">
      <c r="A768" s="231"/>
      <c r="B768" s="231"/>
      <c r="C768" s="231"/>
      <c r="D768" s="231"/>
      <c r="E768" s="231"/>
      <c r="F768" s="231"/>
      <c r="G768" s="231"/>
      <c r="H768" s="231"/>
      <c r="I768" s="231"/>
      <c r="J768" s="231"/>
      <c r="K768" s="231"/>
      <c r="L768" s="231"/>
      <c r="M768" s="231"/>
      <c r="N768" s="231"/>
      <c r="O768" s="231"/>
      <c r="P768" s="231"/>
      <c r="Q768" s="231"/>
      <c r="R768" s="231"/>
      <c r="S768" s="231"/>
      <c r="T768" s="231"/>
      <c r="U768" s="231"/>
      <c r="V768" s="231"/>
      <c r="W768" s="231"/>
      <c r="X768" s="231"/>
      <c r="Y768" s="231"/>
      <c r="Z768" s="231"/>
    </row>
    <row r="769">
      <c r="A769" s="231"/>
      <c r="B769" s="231"/>
      <c r="C769" s="231"/>
      <c r="D769" s="231"/>
      <c r="E769" s="231"/>
      <c r="F769" s="231"/>
      <c r="G769" s="231"/>
      <c r="H769" s="231"/>
      <c r="I769" s="231"/>
      <c r="J769" s="231"/>
      <c r="K769" s="231"/>
      <c r="L769" s="231"/>
      <c r="M769" s="231"/>
      <c r="N769" s="231"/>
      <c r="O769" s="231"/>
      <c r="P769" s="231"/>
      <c r="Q769" s="231"/>
      <c r="R769" s="231"/>
      <c r="S769" s="231"/>
      <c r="T769" s="231"/>
      <c r="U769" s="231"/>
      <c r="V769" s="231"/>
      <c r="W769" s="231"/>
      <c r="X769" s="231"/>
      <c r="Y769" s="231"/>
      <c r="Z769" s="231"/>
    </row>
    <row r="770">
      <c r="A770" s="231"/>
      <c r="B770" s="231"/>
      <c r="C770" s="231"/>
      <c r="D770" s="231"/>
      <c r="E770" s="231"/>
      <c r="F770" s="231"/>
      <c r="G770" s="231"/>
      <c r="H770" s="231"/>
      <c r="I770" s="231"/>
      <c r="J770" s="231"/>
      <c r="K770" s="231"/>
      <c r="L770" s="231"/>
      <c r="M770" s="231"/>
      <c r="N770" s="231"/>
      <c r="O770" s="231"/>
      <c r="P770" s="231"/>
      <c r="Q770" s="231"/>
      <c r="R770" s="231"/>
      <c r="S770" s="231"/>
      <c r="T770" s="231"/>
      <c r="U770" s="231"/>
      <c r="V770" s="231"/>
      <c r="W770" s="231"/>
      <c r="X770" s="231"/>
      <c r="Y770" s="231"/>
      <c r="Z770" s="231"/>
    </row>
    <row r="771">
      <c r="A771" s="231"/>
      <c r="B771" s="231"/>
      <c r="C771" s="231"/>
      <c r="D771" s="231"/>
      <c r="E771" s="231"/>
      <c r="F771" s="231"/>
      <c r="G771" s="231"/>
      <c r="H771" s="231"/>
      <c r="I771" s="231"/>
      <c r="J771" s="231"/>
      <c r="K771" s="231"/>
      <c r="L771" s="231"/>
      <c r="M771" s="231"/>
      <c r="N771" s="231"/>
      <c r="O771" s="231"/>
      <c r="P771" s="231"/>
      <c r="Q771" s="231"/>
      <c r="R771" s="231"/>
      <c r="S771" s="231"/>
      <c r="T771" s="231"/>
      <c r="U771" s="231"/>
      <c r="V771" s="231"/>
      <c r="W771" s="231"/>
      <c r="X771" s="231"/>
      <c r="Y771" s="231"/>
      <c r="Z771" s="231"/>
    </row>
    <row r="772">
      <c r="A772" s="231"/>
      <c r="B772" s="231"/>
      <c r="C772" s="231"/>
      <c r="D772" s="231"/>
      <c r="E772" s="231"/>
      <c r="F772" s="231"/>
      <c r="G772" s="231"/>
      <c r="H772" s="231"/>
      <c r="I772" s="231"/>
      <c r="J772" s="231"/>
      <c r="K772" s="231"/>
      <c r="L772" s="231"/>
      <c r="M772" s="231"/>
      <c r="N772" s="231"/>
      <c r="O772" s="231"/>
      <c r="P772" s="231"/>
      <c r="Q772" s="231"/>
      <c r="R772" s="231"/>
      <c r="S772" s="231"/>
      <c r="T772" s="231"/>
      <c r="U772" s="231"/>
      <c r="V772" s="231"/>
      <c r="W772" s="231"/>
      <c r="X772" s="231"/>
      <c r="Y772" s="231"/>
      <c r="Z772" s="231"/>
    </row>
    <row r="773">
      <c r="A773" s="231"/>
      <c r="B773" s="231"/>
      <c r="C773" s="231"/>
      <c r="D773" s="231"/>
      <c r="E773" s="231"/>
      <c r="F773" s="231"/>
      <c r="G773" s="231"/>
      <c r="H773" s="231"/>
      <c r="I773" s="231"/>
      <c r="J773" s="231"/>
      <c r="K773" s="231"/>
      <c r="L773" s="231"/>
      <c r="M773" s="231"/>
      <c r="N773" s="231"/>
      <c r="O773" s="231"/>
      <c r="P773" s="231"/>
      <c r="Q773" s="231"/>
      <c r="R773" s="231"/>
      <c r="S773" s="231"/>
      <c r="T773" s="231"/>
      <c r="U773" s="231"/>
      <c r="V773" s="231"/>
      <c r="W773" s="231"/>
      <c r="X773" s="231"/>
      <c r="Y773" s="231"/>
      <c r="Z773" s="231"/>
    </row>
    <row r="774">
      <c r="A774" s="231"/>
      <c r="B774" s="231"/>
      <c r="C774" s="231"/>
      <c r="D774" s="231"/>
      <c r="E774" s="231"/>
      <c r="F774" s="231"/>
      <c r="G774" s="231"/>
      <c r="H774" s="231"/>
      <c r="I774" s="231"/>
      <c r="J774" s="231"/>
      <c r="K774" s="231"/>
      <c r="L774" s="231"/>
      <c r="M774" s="231"/>
      <c r="N774" s="231"/>
      <c r="O774" s="231"/>
      <c r="P774" s="231"/>
      <c r="Q774" s="231"/>
      <c r="R774" s="231"/>
      <c r="S774" s="231"/>
      <c r="T774" s="231"/>
      <c r="U774" s="231"/>
      <c r="V774" s="231"/>
      <c r="W774" s="231"/>
      <c r="X774" s="231"/>
      <c r="Y774" s="231"/>
      <c r="Z774" s="231"/>
    </row>
    <row r="775">
      <c r="A775" s="231"/>
      <c r="B775" s="231"/>
      <c r="C775" s="231"/>
      <c r="D775" s="231"/>
      <c r="E775" s="231"/>
      <c r="F775" s="231"/>
      <c r="G775" s="231"/>
      <c r="H775" s="231"/>
      <c r="I775" s="231"/>
      <c r="J775" s="231"/>
      <c r="K775" s="231"/>
      <c r="L775" s="231"/>
      <c r="M775" s="231"/>
      <c r="N775" s="231"/>
      <c r="O775" s="231"/>
      <c r="P775" s="231"/>
      <c r="Q775" s="231"/>
      <c r="R775" s="231"/>
      <c r="S775" s="231"/>
      <c r="T775" s="231"/>
      <c r="U775" s="231"/>
      <c r="V775" s="231"/>
      <c r="W775" s="231"/>
      <c r="X775" s="231"/>
      <c r="Y775" s="231"/>
      <c r="Z775" s="231"/>
    </row>
    <row r="776">
      <c r="A776" s="231"/>
      <c r="B776" s="231"/>
      <c r="C776" s="231"/>
      <c r="D776" s="231"/>
      <c r="E776" s="231"/>
      <c r="F776" s="231"/>
      <c r="G776" s="231"/>
      <c r="H776" s="231"/>
      <c r="I776" s="231"/>
      <c r="J776" s="231"/>
      <c r="K776" s="231"/>
      <c r="L776" s="231"/>
      <c r="M776" s="231"/>
      <c r="N776" s="231"/>
      <c r="O776" s="231"/>
      <c r="P776" s="231"/>
      <c r="Q776" s="231"/>
      <c r="R776" s="231"/>
      <c r="S776" s="231"/>
      <c r="T776" s="231"/>
      <c r="U776" s="231"/>
      <c r="V776" s="231"/>
      <c r="W776" s="231"/>
      <c r="X776" s="231"/>
      <c r="Y776" s="231"/>
      <c r="Z776" s="231"/>
    </row>
    <row r="777">
      <c r="A777" s="231"/>
      <c r="B777" s="231"/>
      <c r="C777" s="231"/>
      <c r="D777" s="231"/>
      <c r="E777" s="231"/>
      <c r="F777" s="231"/>
      <c r="G777" s="231"/>
      <c r="H777" s="231"/>
      <c r="I777" s="231"/>
      <c r="J777" s="231"/>
      <c r="K777" s="231"/>
      <c r="L777" s="231"/>
      <c r="M777" s="231"/>
      <c r="N777" s="231"/>
      <c r="O777" s="231"/>
      <c r="P777" s="231"/>
      <c r="Q777" s="231"/>
      <c r="R777" s="231"/>
      <c r="S777" s="231"/>
      <c r="T777" s="231"/>
      <c r="U777" s="231"/>
      <c r="V777" s="231"/>
      <c r="W777" s="231"/>
      <c r="X777" s="231"/>
      <c r="Y777" s="231"/>
      <c r="Z777" s="231"/>
    </row>
    <row r="778">
      <c r="A778" s="231"/>
      <c r="B778" s="231"/>
      <c r="C778" s="231"/>
      <c r="D778" s="231"/>
      <c r="E778" s="231"/>
      <c r="F778" s="231"/>
      <c r="G778" s="231"/>
      <c r="H778" s="231"/>
      <c r="I778" s="231"/>
      <c r="J778" s="231"/>
      <c r="K778" s="231"/>
      <c r="L778" s="231"/>
      <c r="M778" s="231"/>
      <c r="N778" s="231"/>
      <c r="O778" s="231"/>
      <c r="P778" s="231"/>
      <c r="Q778" s="231"/>
      <c r="R778" s="231"/>
      <c r="S778" s="231"/>
      <c r="T778" s="231"/>
      <c r="U778" s="231"/>
      <c r="V778" s="231"/>
      <c r="W778" s="231"/>
      <c r="X778" s="231"/>
      <c r="Y778" s="231"/>
      <c r="Z778" s="231"/>
    </row>
    <row r="779">
      <c r="A779" s="231"/>
      <c r="B779" s="231"/>
      <c r="C779" s="231"/>
      <c r="D779" s="231"/>
      <c r="E779" s="231"/>
      <c r="F779" s="231"/>
      <c r="G779" s="231"/>
      <c r="H779" s="231"/>
      <c r="I779" s="231"/>
      <c r="J779" s="231"/>
      <c r="K779" s="231"/>
      <c r="L779" s="231"/>
      <c r="M779" s="231"/>
      <c r="N779" s="231"/>
      <c r="O779" s="231"/>
      <c r="P779" s="231"/>
      <c r="Q779" s="231"/>
      <c r="R779" s="231"/>
      <c r="S779" s="231"/>
      <c r="T779" s="231"/>
      <c r="U779" s="231"/>
      <c r="V779" s="231"/>
      <c r="W779" s="231"/>
      <c r="X779" s="231"/>
      <c r="Y779" s="231"/>
      <c r="Z779" s="231"/>
    </row>
    <row r="780">
      <c r="A780" s="231"/>
      <c r="B780" s="231"/>
      <c r="C780" s="231"/>
      <c r="D780" s="231"/>
      <c r="E780" s="231"/>
      <c r="F780" s="231"/>
      <c r="G780" s="231"/>
      <c r="H780" s="231"/>
      <c r="I780" s="231"/>
      <c r="J780" s="231"/>
      <c r="K780" s="231"/>
      <c r="L780" s="231"/>
      <c r="M780" s="231"/>
      <c r="N780" s="231"/>
      <c r="O780" s="231"/>
      <c r="P780" s="231"/>
      <c r="Q780" s="231"/>
      <c r="R780" s="231"/>
      <c r="S780" s="231"/>
      <c r="T780" s="231"/>
      <c r="U780" s="231"/>
      <c r="V780" s="231"/>
      <c r="W780" s="231"/>
      <c r="X780" s="231"/>
      <c r="Y780" s="231"/>
      <c r="Z780" s="231"/>
    </row>
    <row r="781">
      <c r="A781" s="231"/>
      <c r="B781" s="231"/>
      <c r="C781" s="231"/>
      <c r="D781" s="231"/>
      <c r="E781" s="231"/>
      <c r="F781" s="231"/>
      <c r="G781" s="231"/>
      <c r="H781" s="231"/>
      <c r="I781" s="231"/>
      <c r="J781" s="231"/>
      <c r="K781" s="231"/>
      <c r="L781" s="231"/>
      <c r="M781" s="231"/>
      <c r="N781" s="231"/>
      <c r="O781" s="231"/>
      <c r="P781" s="231"/>
      <c r="Q781" s="231"/>
      <c r="R781" s="231"/>
      <c r="S781" s="231"/>
      <c r="T781" s="231"/>
      <c r="U781" s="231"/>
      <c r="V781" s="231"/>
      <c r="W781" s="231"/>
      <c r="X781" s="231"/>
      <c r="Y781" s="231"/>
      <c r="Z781" s="231"/>
    </row>
    <row r="782">
      <c r="A782" s="231"/>
      <c r="B782" s="231"/>
      <c r="C782" s="231"/>
      <c r="D782" s="231"/>
      <c r="E782" s="231"/>
      <c r="F782" s="231"/>
      <c r="G782" s="231"/>
      <c r="H782" s="231"/>
      <c r="I782" s="231"/>
      <c r="J782" s="231"/>
      <c r="K782" s="231"/>
      <c r="L782" s="231"/>
      <c r="M782" s="231"/>
      <c r="N782" s="231"/>
      <c r="O782" s="231"/>
      <c r="P782" s="231"/>
      <c r="Q782" s="231"/>
      <c r="R782" s="231"/>
      <c r="S782" s="231"/>
      <c r="T782" s="231"/>
      <c r="U782" s="231"/>
      <c r="V782" s="231"/>
      <c r="W782" s="231"/>
      <c r="X782" s="231"/>
      <c r="Y782" s="231"/>
      <c r="Z782" s="231"/>
    </row>
    <row r="783">
      <c r="A783" s="231"/>
      <c r="B783" s="231"/>
      <c r="C783" s="231"/>
      <c r="D783" s="231"/>
      <c r="E783" s="231"/>
      <c r="F783" s="231"/>
      <c r="G783" s="231"/>
      <c r="H783" s="231"/>
      <c r="I783" s="231"/>
      <c r="J783" s="231"/>
      <c r="K783" s="231"/>
      <c r="L783" s="231"/>
      <c r="M783" s="231"/>
      <c r="N783" s="231"/>
      <c r="O783" s="231"/>
      <c r="P783" s="231"/>
      <c r="Q783" s="231"/>
      <c r="R783" s="231"/>
      <c r="S783" s="231"/>
      <c r="T783" s="231"/>
      <c r="U783" s="231"/>
      <c r="V783" s="231"/>
      <c r="W783" s="231"/>
      <c r="X783" s="231"/>
      <c r="Y783" s="231"/>
      <c r="Z783" s="231"/>
    </row>
    <row r="784">
      <c r="A784" s="231"/>
      <c r="B784" s="231"/>
      <c r="C784" s="231"/>
      <c r="D784" s="231"/>
      <c r="E784" s="231"/>
      <c r="F784" s="231"/>
      <c r="G784" s="231"/>
      <c r="H784" s="231"/>
      <c r="I784" s="231"/>
      <c r="J784" s="231"/>
      <c r="K784" s="231"/>
      <c r="L784" s="231"/>
      <c r="M784" s="231"/>
      <c r="N784" s="231"/>
      <c r="O784" s="231"/>
      <c r="P784" s="231"/>
      <c r="Q784" s="231"/>
      <c r="R784" s="231"/>
      <c r="S784" s="231"/>
      <c r="T784" s="231"/>
      <c r="U784" s="231"/>
      <c r="V784" s="231"/>
      <c r="W784" s="231"/>
      <c r="X784" s="231"/>
      <c r="Y784" s="231"/>
      <c r="Z784" s="231"/>
    </row>
    <row r="785">
      <c r="A785" s="231"/>
      <c r="B785" s="231"/>
      <c r="C785" s="231"/>
      <c r="D785" s="231"/>
      <c r="E785" s="231"/>
      <c r="F785" s="231"/>
      <c r="G785" s="231"/>
      <c r="H785" s="231"/>
      <c r="I785" s="231"/>
      <c r="J785" s="231"/>
      <c r="K785" s="231"/>
      <c r="L785" s="231"/>
      <c r="M785" s="231"/>
      <c r="N785" s="231"/>
      <c r="O785" s="231"/>
      <c r="P785" s="231"/>
      <c r="Q785" s="231"/>
      <c r="R785" s="231"/>
      <c r="S785" s="231"/>
      <c r="T785" s="231"/>
      <c r="U785" s="231"/>
      <c r="V785" s="231"/>
      <c r="W785" s="231"/>
      <c r="X785" s="231"/>
      <c r="Y785" s="231"/>
      <c r="Z785" s="231"/>
    </row>
    <row r="786">
      <c r="A786" s="231"/>
      <c r="B786" s="231"/>
      <c r="C786" s="231"/>
      <c r="D786" s="231"/>
      <c r="E786" s="231"/>
      <c r="F786" s="231"/>
      <c r="G786" s="231"/>
      <c r="H786" s="231"/>
      <c r="I786" s="231"/>
      <c r="J786" s="231"/>
      <c r="K786" s="231"/>
      <c r="L786" s="231"/>
      <c r="M786" s="231"/>
      <c r="N786" s="231"/>
      <c r="O786" s="231"/>
      <c r="P786" s="231"/>
      <c r="Q786" s="231"/>
      <c r="R786" s="231"/>
      <c r="S786" s="231"/>
      <c r="T786" s="231"/>
      <c r="U786" s="231"/>
      <c r="V786" s="231"/>
      <c r="W786" s="231"/>
      <c r="X786" s="231"/>
      <c r="Y786" s="231"/>
      <c r="Z786" s="231"/>
    </row>
    <row r="787">
      <c r="A787" s="231"/>
      <c r="B787" s="231"/>
      <c r="C787" s="231"/>
      <c r="D787" s="231"/>
      <c r="E787" s="231"/>
      <c r="F787" s="231"/>
      <c r="G787" s="231"/>
      <c r="H787" s="231"/>
      <c r="I787" s="231"/>
      <c r="J787" s="231"/>
      <c r="K787" s="231"/>
      <c r="L787" s="231"/>
      <c r="M787" s="231"/>
      <c r="N787" s="231"/>
      <c r="O787" s="231"/>
      <c r="P787" s="231"/>
      <c r="Q787" s="231"/>
      <c r="R787" s="231"/>
      <c r="S787" s="231"/>
      <c r="T787" s="231"/>
      <c r="U787" s="231"/>
      <c r="V787" s="231"/>
      <c r="W787" s="231"/>
      <c r="X787" s="231"/>
      <c r="Y787" s="231"/>
      <c r="Z787" s="231"/>
    </row>
    <row r="788">
      <c r="A788" s="231"/>
      <c r="B788" s="231"/>
      <c r="C788" s="231"/>
      <c r="D788" s="231"/>
      <c r="E788" s="231"/>
      <c r="F788" s="231"/>
      <c r="G788" s="231"/>
      <c r="H788" s="231"/>
      <c r="I788" s="231"/>
      <c r="J788" s="231"/>
      <c r="K788" s="231"/>
      <c r="L788" s="231"/>
      <c r="M788" s="231"/>
      <c r="N788" s="231"/>
      <c r="O788" s="231"/>
      <c r="P788" s="231"/>
      <c r="Q788" s="231"/>
      <c r="R788" s="231"/>
      <c r="S788" s="231"/>
      <c r="T788" s="231"/>
      <c r="U788" s="231"/>
      <c r="V788" s="231"/>
      <c r="W788" s="231"/>
      <c r="X788" s="231"/>
      <c r="Y788" s="231"/>
      <c r="Z788" s="231"/>
    </row>
    <row r="789">
      <c r="A789" s="231"/>
      <c r="B789" s="231"/>
      <c r="C789" s="231"/>
      <c r="D789" s="231"/>
      <c r="E789" s="231"/>
      <c r="F789" s="231"/>
      <c r="G789" s="231"/>
      <c r="H789" s="231"/>
      <c r="I789" s="231"/>
      <c r="J789" s="231"/>
      <c r="K789" s="231"/>
      <c r="L789" s="231"/>
      <c r="M789" s="231"/>
      <c r="N789" s="231"/>
      <c r="O789" s="231"/>
      <c r="P789" s="231"/>
      <c r="Q789" s="231"/>
      <c r="R789" s="231"/>
      <c r="S789" s="231"/>
      <c r="T789" s="231"/>
      <c r="U789" s="231"/>
      <c r="V789" s="231"/>
      <c r="W789" s="231"/>
      <c r="X789" s="231"/>
      <c r="Y789" s="231"/>
      <c r="Z789" s="231"/>
    </row>
    <row r="790">
      <c r="A790" s="231"/>
      <c r="B790" s="231"/>
      <c r="C790" s="231"/>
      <c r="D790" s="231"/>
      <c r="E790" s="231"/>
      <c r="F790" s="231"/>
      <c r="G790" s="231"/>
      <c r="H790" s="231"/>
      <c r="I790" s="231"/>
      <c r="J790" s="231"/>
      <c r="K790" s="231"/>
      <c r="L790" s="231"/>
      <c r="M790" s="231"/>
      <c r="N790" s="231"/>
      <c r="O790" s="231"/>
      <c r="P790" s="231"/>
      <c r="Q790" s="231"/>
      <c r="R790" s="231"/>
      <c r="S790" s="231"/>
      <c r="T790" s="231"/>
      <c r="U790" s="231"/>
      <c r="V790" s="231"/>
      <c r="W790" s="231"/>
      <c r="X790" s="231"/>
      <c r="Y790" s="231"/>
      <c r="Z790" s="231"/>
    </row>
    <row r="791">
      <c r="A791" s="231"/>
      <c r="B791" s="231"/>
      <c r="C791" s="231"/>
      <c r="D791" s="231"/>
      <c r="E791" s="231"/>
      <c r="F791" s="231"/>
      <c r="G791" s="231"/>
      <c r="H791" s="231"/>
      <c r="I791" s="231"/>
      <c r="J791" s="231"/>
      <c r="K791" s="231"/>
      <c r="L791" s="231"/>
      <c r="M791" s="231"/>
      <c r="N791" s="231"/>
      <c r="O791" s="231"/>
      <c r="P791" s="231"/>
      <c r="Q791" s="231"/>
      <c r="R791" s="231"/>
      <c r="S791" s="231"/>
      <c r="T791" s="231"/>
      <c r="U791" s="231"/>
      <c r="V791" s="231"/>
      <c r="W791" s="231"/>
      <c r="X791" s="231"/>
      <c r="Y791" s="231"/>
      <c r="Z791" s="231"/>
    </row>
    <row r="792">
      <c r="A792" s="231"/>
      <c r="B792" s="231"/>
      <c r="C792" s="231"/>
      <c r="D792" s="231"/>
      <c r="E792" s="231"/>
      <c r="F792" s="231"/>
      <c r="G792" s="231"/>
      <c r="H792" s="231"/>
      <c r="I792" s="231"/>
      <c r="J792" s="231"/>
      <c r="K792" s="231"/>
      <c r="L792" s="231"/>
      <c r="M792" s="231"/>
      <c r="N792" s="231"/>
      <c r="O792" s="231"/>
      <c r="P792" s="231"/>
      <c r="Q792" s="231"/>
      <c r="R792" s="231"/>
      <c r="S792" s="231"/>
      <c r="T792" s="231"/>
      <c r="U792" s="231"/>
      <c r="V792" s="231"/>
      <c r="W792" s="231"/>
      <c r="X792" s="231"/>
      <c r="Y792" s="231"/>
      <c r="Z792" s="231"/>
    </row>
    <row r="793">
      <c r="A793" s="231"/>
      <c r="B793" s="231"/>
      <c r="C793" s="231"/>
      <c r="D793" s="231"/>
      <c r="E793" s="231"/>
      <c r="F793" s="231"/>
      <c r="G793" s="231"/>
      <c r="H793" s="231"/>
      <c r="I793" s="231"/>
      <c r="J793" s="231"/>
      <c r="K793" s="231"/>
      <c r="L793" s="231"/>
      <c r="M793" s="231"/>
      <c r="N793" s="231"/>
      <c r="O793" s="231"/>
      <c r="P793" s="231"/>
      <c r="Q793" s="231"/>
      <c r="R793" s="231"/>
      <c r="S793" s="231"/>
      <c r="T793" s="231"/>
      <c r="U793" s="231"/>
      <c r="V793" s="231"/>
      <c r="W793" s="231"/>
      <c r="X793" s="231"/>
      <c r="Y793" s="231"/>
      <c r="Z793" s="231"/>
    </row>
    <row r="794">
      <c r="A794" s="231"/>
      <c r="B794" s="231"/>
      <c r="C794" s="231"/>
      <c r="D794" s="231"/>
      <c r="E794" s="231"/>
      <c r="F794" s="231"/>
      <c r="G794" s="231"/>
      <c r="H794" s="231"/>
      <c r="I794" s="231"/>
      <c r="J794" s="231"/>
      <c r="K794" s="231"/>
      <c r="L794" s="231"/>
      <c r="M794" s="231"/>
      <c r="N794" s="231"/>
      <c r="O794" s="231"/>
      <c r="P794" s="231"/>
      <c r="Q794" s="231"/>
      <c r="R794" s="231"/>
      <c r="S794" s="231"/>
      <c r="T794" s="231"/>
      <c r="U794" s="231"/>
      <c r="V794" s="231"/>
      <c r="W794" s="231"/>
      <c r="X794" s="231"/>
      <c r="Y794" s="231"/>
      <c r="Z794" s="231"/>
    </row>
    <row r="795">
      <c r="A795" s="231"/>
      <c r="B795" s="231"/>
      <c r="C795" s="231"/>
      <c r="D795" s="231"/>
      <c r="E795" s="231"/>
      <c r="F795" s="231"/>
      <c r="G795" s="231"/>
      <c r="H795" s="231"/>
      <c r="I795" s="231"/>
      <c r="J795" s="231"/>
      <c r="K795" s="231"/>
      <c r="L795" s="231"/>
      <c r="M795" s="231"/>
      <c r="N795" s="231"/>
      <c r="O795" s="231"/>
      <c r="P795" s="231"/>
      <c r="Q795" s="231"/>
      <c r="R795" s="231"/>
      <c r="S795" s="231"/>
      <c r="T795" s="231"/>
      <c r="U795" s="231"/>
      <c r="V795" s="231"/>
      <c r="W795" s="231"/>
      <c r="X795" s="231"/>
      <c r="Y795" s="231"/>
      <c r="Z795" s="231"/>
    </row>
    <row r="796">
      <c r="A796" s="231"/>
      <c r="B796" s="231"/>
      <c r="C796" s="231"/>
      <c r="D796" s="231"/>
      <c r="E796" s="231"/>
      <c r="F796" s="231"/>
      <c r="G796" s="231"/>
      <c r="H796" s="231"/>
      <c r="I796" s="231"/>
      <c r="J796" s="231"/>
      <c r="K796" s="231"/>
      <c r="L796" s="231"/>
      <c r="M796" s="231"/>
      <c r="N796" s="231"/>
      <c r="O796" s="231"/>
      <c r="P796" s="231"/>
      <c r="Q796" s="231"/>
      <c r="R796" s="231"/>
      <c r="S796" s="231"/>
      <c r="T796" s="231"/>
      <c r="U796" s="231"/>
      <c r="V796" s="231"/>
      <c r="W796" s="231"/>
      <c r="X796" s="231"/>
      <c r="Y796" s="231"/>
      <c r="Z796" s="231"/>
    </row>
    <row r="797">
      <c r="A797" s="231"/>
      <c r="B797" s="231"/>
      <c r="C797" s="231"/>
      <c r="D797" s="231"/>
      <c r="E797" s="231"/>
      <c r="F797" s="231"/>
      <c r="G797" s="231"/>
      <c r="H797" s="231"/>
      <c r="I797" s="231"/>
      <c r="J797" s="231"/>
      <c r="K797" s="231"/>
      <c r="L797" s="231"/>
      <c r="M797" s="231"/>
      <c r="N797" s="231"/>
      <c r="O797" s="231"/>
      <c r="P797" s="231"/>
      <c r="Q797" s="231"/>
      <c r="R797" s="231"/>
      <c r="S797" s="231"/>
      <c r="T797" s="231"/>
      <c r="U797" s="231"/>
      <c r="V797" s="231"/>
      <c r="W797" s="231"/>
      <c r="X797" s="231"/>
      <c r="Y797" s="231"/>
      <c r="Z797" s="231"/>
    </row>
    <row r="798">
      <c r="A798" s="231"/>
      <c r="B798" s="231"/>
      <c r="C798" s="231"/>
      <c r="D798" s="231"/>
      <c r="E798" s="231"/>
      <c r="F798" s="231"/>
      <c r="G798" s="231"/>
      <c r="H798" s="231"/>
      <c r="I798" s="231"/>
      <c r="J798" s="231"/>
      <c r="K798" s="231"/>
      <c r="L798" s="231"/>
      <c r="M798" s="231"/>
      <c r="N798" s="231"/>
      <c r="O798" s="231"/>
      <c r="P798" s="231"/>
      <c r="Q798" s="231"/>
      <c r="R798" s="231"/>
      <c r="S798" s="231"/>
      <c r="T798" s="231"/>
      <c r="U798" s="231"/>
      <c r="V798" s="231"/>
      <c r="W798" s="231"/>
      <c r="X798" s="231"/>
      <c r="Y798" s="231"/>
      <c r="Z798" s="231"/>
    </row>
    <row r="799">
      <c r="A799" s="231"/>
      <c r="B799" s="231"/>
      <c r="C799" s="231"/>
      <c r="D799" s="231"/>
      <c r="E799" s="231"/>
      <c r="F799" s="231"/>
      <c r="G799" s="231"/>
      <c r="H799" s="231"/>
      <c r="I799" s="231"/>
      <c r="J799" s="231"/>
      <c r="K799" s="231"/>
      <c r="L799" s="231"/>
      <c r="M799" s="231"/>
      <c r="N799" s="231"/>
      <c r="O799" s="231"/>
      <c r="P799" s="231"/>
      <c r="Q799" s="231"/>
      <c r="R799" s="231"/>
      <c r="S799" s="231"/>
      <c r="T799" s="231"/>
      <c r="U799" s="231"/>
      <c r="V799" s="231"/>
      <c r="W799" s="231"/>
      <c r="X799" s="231"/>
      <c r="Y799" s="231"/>
      <c r="Z799" s="231"/>
    </row>
    <row r="800">
      <c r="A800" s="231"/>
      <c r="B800" s="231"/>
      <c r="C800" s="231"/>
      <c r="D800" s="231"/>
      <c r="E800" s="231"/>
      <c r="F800" s="231"/>
      <c r="G800" s="231"/>
      <c r="H800" s="231"/>
      <c r="I800" s="231"/>
      <c r="J800" s="231"/>
      <c r="K800" s="231"/>
      <c r="L800" s="231"/>
      <c r="M800" s="231"/>
      <c r="N800" s="231"/>
      <c r="O800" s="231"/>
      <c r="P800" s="231"/>
      <c r="Q800" s="231"/>
      <c r="R800" s="231"/>
      <c r="S800" s="231"/>
      <c r="T800" s="231"/>
      <c r="U800" s="231"/>
      <c r="V800" s="231"/>
      <c r="W800" s="231"/>
      <c r="X800" s="231"/>
      <c r="Y800" s="231"/>
      <c r="Z800" s="231"/>
    </row>
    <row r="801">
      <c r="A801" s="231"/>
      <c r="B801" s="231"/>
      <c r="C801" s="231"/>
      <c r="D801" s="231"/>
      <c r="E801" s="231"/>
      <c r="F801" s="231"/>
      <c r="G801" s="231"/>
      <c r="H801" s="231"/>
      <c r="I801" s="231"/>
      <c r="J801" s="231"/>
      <c r="K801" s="231"/>
      <c r="L801" s="231"/>
      <c r="M801" s="231"/>
      <c r="N801" s="231"/>
      <c r="O801" s="231"/>
      <c r="P801" s="231"/>
      <c r="Q801" s="231"/>
      <c r="R801" s="231"/>
      <c r="S801" s="231"/>
      <c r="T801" s="231"/>
      <c r="U801" s="231"/>
      <c r="V801" s="231"/>
      <c r="W801" s="231"/>
      <c r="X801" s="231"/>
      <c r="Y801" s="231"/>
      <c r="Z801" s="231"/>
    </row>
    <row r="802">
      <c r="A802" s="231"/>
      <c r="B802" s="231"/>
      <c r="C802" s="231"/>
      <c r="D802" s="231"/>
      <c r="E802" s="231"/>
      <c r="F802" s="231"/>
      <c r="G802" s="231"/>
      <c r="H802" s="231"/>
      <c r="I802" s="231"/>
      <c r="J802" s="231"/>
      <c r="K802" s="231"/>
      <c r="L802" s="231"/>
      <c r="M802" s="231"/>
      <c r="N802" s="231"/>
      <c r="O802" s="231"/>
      <c r="P802" s="231"/>
      <c r="Q802" s="231"/>
      <c r="R802" s="231"/>
      <c r="S802" s="231"/>
      <c r="T802" s="231"/>
      <c r="U802" s="231"/>
      <c r="V802" s="231"/>
      <c r="W802" s="231"/>
      <c r="X802" s="231"/>
      <c r="Y802" s="231"/>
      <c r="Z802" s="231"/>
    </row>
    <row r="803">
      <c r="A803" s="231"/>
      <c r="B803" s="231"/>
      <c r="C803" s="231"/>
      <c r="D803" s="231"/>
      <c r="E803" s="231"/>
      <c r="F803" s="231"/>
      <c r="G803" s="231"/>
      <c r="H803" s="231"/>
      <c r="I803" s="231"/>
      <c r="J803" s="231"/>
      <c r="K803" s="231"/>
      <c r="L803" s="231"/>
      <c r="M803" s="231"/>
      <c r="N803" s="231"/>
      <c r="O803" s="231"/>
      <c r="P803" s="231"/>
      <c r="Q803" s="231"/>
      <c r="R803" s="231"/>
      <c r="S803" s="231"/>
      <c r="T803" s="231"/>
      <c r="U803" s="231"/>
      <c r="V803" s="231"/>
      <c r="W803" s="231"/>
      <c r="X803" s="231"/>
      <c r="Y803" s="231"/>
      <c r="Z803" s="231"/>
    </row>
    <row r="804">
      <c r="A804" s="231"/>
      <c r="B804" s="231"/>
      <c r="C804" s="231"/>
      <c r="D804" s="231"/>
      <c r="E804" s="231"/>
      <c r="F804" s="231"/>
      <c r="G804" s="231"/>
      <c r="H804" s="231"/>
      <c r="I804" s="231"/>
      <c r="J804" s="231"/>
      <c r="K804" s="231"/>
      <c r="L804" s="231"/>
      <c r="M804" s="231"/>
      <c r="N804" s="231"/>
      <c r="O804" s="231"/>
      <c r="P804" s="231"/>
      <c r="Q804" s="231"/>
      <c r="R804" s="231"/>
      <c r="S804" s="231"/>
      <c r="T804" s="231"/>
      <c r="U804" s="231"/>
      <c r="V804" s="231"/>
      <c r="W804" s="231"/>
      <c r="X804" s="231"/>
      <c r="Y804" s="231"/>
      <c r="Z804" s="231"/>
    </row>
    <row r="805">
      <c r="A805" s="231"/>
      <c r="B805" s="231"/>
      <c r="C805" s="231"/>
      <c r="D805" s="231"/>
      <c r="E805" s="231"/>
      <c r="F805" s="231"/>
      <c r="G805" s="231"/>
      <c r="H805" s="231"/>
      <c r="I805" s="231"/>
      <c r="J805" s="231"/>
      <c r="K805" s="231"/>
      <c r="L805" s="231"/>
      <c r="M805" s="231"/>
      <c r="N805" s="231"/>
      <c r="O805" s="231"/>
      <c r="P805" s="231"/>
      <c r="Q805" s="231"/>
      <c r="R805" s="231"/>
      <c r="S805" s="231"/>
      <c r="T805" s="231"/>
      <c r="U805" s="231"/>
      <c r="V805" s="231"/>
      <c r="W805" s="231"/>
      <c r="X805" s="231"/>
      <c r="Y805" s="231"/>
      <c r="Z805" s="231"/>
    </row>
    <row r="806">
      <c r="A806" s="231"/>
      <c r="B806" s="231"/>
      <c r="C806" s="231"/>
      <c r="D806" s="231"/>
      <c r="E806" s="231"/>
      <c r="F806" s="231"/>
      <c r="G806" s="231"/>
      <c r="H806" s="231"/>
      <c r="I806" s="231"/>
      <c r="J806" s="231"/>
      <c r="K806" s="231"/>
      <c r="L806" s="231"/>
      <c r="M806" s="231"/>
      <c r="N806" s="231"/>
      <c r="O806" s="231"/>
      <c r="P806" s="231"/>
      <c r="Q806" s="231"/>
      <c r="R806" s="231"/>
      <c r="S806" s="231"/>
      <c r="T806" s="231"/>
      <c r="U806" s="231"/>
      <c r="V806" s="231"/>
      <c r="W806" s="231"/>
      <c r="X806" s="231"/>
      <c r="Y806" s="231"/>
      <c r="Z806" s="231"/>
    </row>
    <row r="807">
      <c r="A807" s="231"/>
      <c r="B807" s="231"/>
      <c r="C807" s="231"/>
      <c r="D807" s="231"/>
      <c r="E807" s="231"/>
      <c r="F807" s="231"/>
      <c r="G807" s="231"/>
      <c r="H807" s="231"/>
      <c r="I807" s="231"/>
      <c r="J807" s="231"/>
      <c r="K807" s="231"/>
      <c r="L807" s="231"/>
      <c r="M807" s="231"/>
      <c r="N807" s="231"/>
      <c r="O807" s="231"/>
      <c r="P807" s="231"/>
      <c r="Q807" s="231"/>
      <c r="R807" s="231"/>
      <c r="S807" s="231"/>
      <c r="T807" s="231"/>
      <c r="U807" s="231"/>
      <c r="V807" s="231"/>
      <c r="W807" s="231"/>
      <c r="X807" s="231"/>
      <c r="Y807" s="231"/>
      <c r="Z807" s="231"/>
    </row>
    <row r="808">
      <c r="A808" s="231"/>
      <c r="B808" s="231"/>
      <c r="C808" s="231"/>
      <c r="D808" s="231"/>
      <c r="E808" s="231"/>
      <c r="F808" s="231"/>
      <c r="G808" s="231"/>
      <c r="H808" s="231"/>
      <c r="I808" s="231"/>
      <c r="J808" s="231"/>
      <c r="K808" s="231"/>
      <c r="L808" s="231"/>
      <c r="M808" s="231"/>
      <c r="N808" s="231"/>
      <c r="O808" s="231"/>
      <c r="P808" s="231"/>
      <c r="Q808" s="231"/>
      <c r="R808" s="231"/>
      <c r="S808" s="231"/>
      <c r="T808" s="231"/>
      <c r="U808" s="231"/>
      <c r="V808" s="231"/>
      <c r="W808" s="231"/>
      <c r="X808" s="231"/>
      <c r="Y808" s="231"/>
      <c r="Z808" s="231"/>
    </row>
    <row r="809">
      <c r="A809" s="231"/>
      <c r="B809" s="231"/>
      <c r="C809" s="231"/>
      <c r="D809" s="231"/>
      <c r="E809" s="231"/>
      <c r="F809" s="231"/>
      <c r="G809" s="231"/>
      <c r="H809" s="231"/>
      <c r="I809" s="231"/>
      <c r="J809" s="231"/>
      <c r="K809" s="231"/>
      <c r="L809" s="231"/>
      <c r="M809" s="231"/>
      <c r="N809" s="231"/>
      <c r="O809" s="231"/>
      <c r="P809" s="231"/>
      <c r="Q809" s="231"/>
      <c r="R809" s="231"/>
      <c r="S809" s="231"/>
      <c r="T809" s="231"/>
      <c r="U809" s="231"/>
      <c r="V809" s="231"/>
      <c r="W809" s="231"/>
      <c r="X809" s="231"/>
      <c r="Y809" s="231"/>
      <c r="Z809" s="231"/>
    </row>
    <row r="810">
      <c r="A810" s="231"/>
      <c r="B810" s="231"/>
      <c r="C810" s="231"/>
      <c r="D810" s="231"/>
      <c r="E810" s="231"/>
      <c r="F810" s="231"/>
      <c r="G810" s="231"/>
      <c r="H810" s="231"/>
      <c r="I810" s="231"/>
      <c r="J810" s="231"/>
      <c r="K810" s="231"/>
      <c r="L810" s="231"/>
      <c r="M810" s="231"/>
      <c r="N810" s="231"/>
      <c r="O810" s="231"/>
      <c r="P810" s="231"/>
      <c r="Q810" s="231"/>
      <c r="R810" s="231"/>
      <c r="S810" s="231"/>
      <c r="T810" s="231"/>
      <c r="U810" s="231"/>
      <c r="V810" s="231"/>
      <c r="W810" s="231"/>
      <c r="X810" s="231"/>
      <c r="Y810" s="231"/>
      <c r="Z810" s="231"/>
    </row>
    <row r="811">
      <c r="A811" s="231"/>
      <c r="B811" s="231"/>
      <c r="C811" s="231"/>
      <c r="D811" s="231"/>
      <c r="E811" s="231"/>
      <c r="F811" s="231"/>
      <c r="G811" s="231"/>
      <c r="H811" s="231"/>
      <c r="I811" s="231"/>
      <c r="J811" s="231"/>
      <c r="K811" s="231"/>
      <c r="L811" s="231"/>
      <c r="M811" s="231"/>
      <c r="N811" s="231"/>
      <c r="O811" s="231"/>
      <c r="P811" s="231"/>
      <c r="Q811" s="231"/>
      <c r="R811" s="231"/>
      <c r="S811" s="231"/>
      <c r="T811" s="231"/>
      <c r="U811" s="231"/>
      <c r="V811" s="231"/>
      <c r="W811" s="231"/>
      <c r="X811" s="231"/>
      <c r="Y811" s="231"/>
      <c r="Z811" s="231"/>
    </row>
    <row r="812">
      <c r="A812" s="231"/>
      <c r="B812" s="231"/>
      <c r="C812" s="231"/>
      <c r="D812" s="231"/>
      <c r="E812" s="231"/>
      <c r="F812" s="231"/>
      <c r="G812" s="231"/>
      <c r="H812" s="231"/>
      <c r="I812" s="231"/>
      <c r="J812" s="231"/>
      <c r="K812" s="231"/>
      <c r="L812" s="231"/>
      <c r="M812" s="231"/>
      <c r="N812" s="231"/>
      <c r="O812" s="231"/>
      <c r="P812" s="231"/>
      <c r="Q812" s="231"/>
      <c r="R812" s="231"/>
      <c r="S812" s="231"/>
      <c r="T812" s="231"/>
      <c r="U812" s="231"/>
      <c r="V812" s="231"/>
      <c r="W812" s="231"/>
      <c r="X812" s="231"/>
      <c r="Y812" s="231"/>
      <c r="Z812" s="231"/>
    </row>
    <row r="813">
      <c r="A813" s="231"/>
      <c r="B813" s="231"/>
      <c r="C813" s="231"/>
      <c r="D813" s="231"/>
      <c r="E813" s="231"/>
      <c r="F813" s="231"/>
      <c r="G813" s="231"/>
      <c r="H813" s="231"/>
      <c r="I813" s="231"/>
      <c r="J813" s="231"/>
      <c r="K813" s="231"/>
      <c r="L813" s="231"/>
      <c r="M813" s="231"/>
      <c r="N813" s="231"/>
      <c r="O813" s="231"/>
      <c r="P813" s="231"/>
      <c r="Q813" s="231"/>
      <c r="R813" s="231"/>
      <c r="S813" s="231"/>
      <c r="T813" s="231"/>
      <c r="U813" s="231"/>
      <c r="V813" s="231"/>
      <c r="W813" s="231"/>
      <c r="X813" s="231"/>
      <c r="Y813" s="231"/>
      <c r="Z813" s="231"/>
    </row>
    <row r="814">
      <c r="A814" s="231"/>
      <c r="B814" s="231"/>
      <c r="C814" s="231"/>
      <c r="D814" s="231"/>
      <c r="E814" s="231"/>
      <c r="F814" s="231"/>
      <c r="G814" s="231"/>
      <c r="H814" s="231"/>
      <c r="I814" s="231"/>
      <c r="J814" s="231"/>
      <c r="K814" s="231"/>
      <c r="L814" s="231"/>
      <c r="M814" s="231"/>
      <c r="N814" s="231"/>
      <c r="O814" s="231"/>
      <c r="P814" s="231"/>
      <c r="Q814" s="231"/>
      <c r="R814" s="231"/>
      <c r="S814" s="231"/>
      <c r="T814" s="231"/>
      <c r="U814" s="231"/>
      <c r="V814" s="231"/>
      <c r="W814" s="231"/>
      <c r="X814" s="231"/>
      <c r="Y814" s="231"/>
      <c r="Z814" s="231"/>
    </row>
    <row r="815">
      <c r="A815" s="231"/>
      <c r="B815" s="231"/>
      <c r="C815" s="231"/>
      <c r="D815" s="231"/>
      <c r="E815" s="231"/>
      <c r="F815" s="231"/>
      <c r="G815" s="231"/>
      <c r="H815" s="231"/>
      <c r="I815" s="231"/>
      <c r="J815" s="231"/>
      <c r="K815" s="231"/>
      <c r="L815" s="231"/>
      <c r="M815" s="231"/>
      <c r="N815" s="231"/>
      <c r="O815" s="231"/>
      <c r="P815" s="231"/>
      <c r="Q815" s="231"/>
      <c r="R815" s="231"/>
      <c r="S815" s="231"/>
      <c r="T815" s="231"/>
      <c r="U815" s="231"/>
      <c r="V815" s="231"/>
      <c r="W815" s="231"/>
      <c r="X815" s="231"/>
      <c r="Y815" s="231"/>
      <c r="Z815" s="231"/>
    </row>
    <row r="816">
      <c r="A816" s="231"/>
      <c r="B816" s="231"/>
      <c r="C816" s="231"/>
      <c r="D816" s="231"/>
      <c r="E816" s="231"/>
      <c r="F816" s="231"/>
      <c r="G816" s="231"/>
      <c r="H816" s="231"/>
      <c r="I816" s="231"/>
      <c r="J816" s="231"/>
      <c r="K816" s="231"/>
      <c r="L816" s="231"/>
      <c r="M816" s="231"/>
      <c r="N816" s="231"/>
      <c r="O816" s="231"/>
      <c r="P816" s="231"/>
      <c r="Q816" s="231"/>
      <c r="R816" s="231"/>
      <c r="S816" s="231"/>
      <c r="T816" s="231"/>
      <c r="U816" s="231"/>
      <c r="V816" s="231"/>
      <c r="W816" s="231"/>
      <c r="X816" s="231"/>
      <c r="Y816" s="231"/>
      <c r="Z816" s="231"/>
    </row>
    <row r="817">
      <c r="A817" s="231"/>
      <c r="B817" s="231"/>
      <c r="C817" s="231"/>
      <c r="D817" s="231"/>
      <c r="E817" s="231"/>
      <c r="F817" s="231"/>
      <c r="G817" s="231"/>
      <c r="H817" s="231"/>
      <c r="I817" s="231"/>
      <c r="J817" s="231"/>
      <c r="K817" s="231"/>
      <c r="L817" s="231"/>
      <c r="M817" s="231"/>
      <c r="N817" s="231"/>
      <c r="O817" s="231"/>
      <c r="P817" s="231"/>
      <c r="Q817" s="231"/>
      <c r="R817" s="231"/>
      <c r="S817" s="231"/>
      <c r="T817" s="231"/>
      <c r="U817" s="231"/>
      <c r="V817" s="231"/>
      <c r="W817" s="231"/>
      <c r="X817" s="231"/>
      <c r="Y817" s="231"/>
      <c r="Z817" s="231"/>
    </row>
    <row r="818">
      <c r="A818" s="231"/>
      <c r="B818" s="231"/>
      <c r="C818" s="231"/>
      <c r="D818" s="231"/>
      <c r="E818" s="231"/>
      <c r="F818" s="231"/>
      <c r="G818" s="231"/>
      <c r="H818" s="231"/>
      <c r="I818" s="231"/>
      <c r="J818" s="231"/>
      <c r="K818" s="231"/>
      <c r="L818" s="231"/>
      <c r="M818" s="231"/>
      <c r="N818" s="231"/>
      <c r="O818" s="231"/>
      <c r="P818" s="231"/>
      <c r="Q818" s="231"/>
      <c r="R818" s="231"/>
      <c r="S818" s="231"/>
      <c r="T818" s="231"/>
      <c r="U818" s="231"/>
      <c r="V818" s="231"/>
      <c r="W818" s="231"/>
      <c r="X818" s="231"/>
      <c r="Y818" s="231"/>
      <c r="Z818" s="231"/>
    </row>
    <row r="819">
      <c r="A819" s="231"/>
      <c r="B819" s="231"/>
      <c r="C819" s="231"/>
      <c r="D819" s="231"/>
      <c r="E819" s="231"/>
      <c r="F819" s="231"/>
      <c r="G819" s="231"/>
      <c r="H819" s="231"/>
      <c r="I819" s="231"/>
      <c r="J819" s="231"/>
      <c r="K819" s="231"/>
      <c r="L819" s="231"/>
      <c r="M819" s="231"/>
      <c r="N819" s="231"/>
      <c r="O819" s="231"/>
      <c r="P819" s="231"/>
      <c r="Q819" s="231"/>
      <c r="R819" s="231"/>
      <c r="S819" s="231"/>
      <c r="T819" s="231"/>
      <c r="U819" s="231"/>
      <c r="V819" s="231"/>
      <c r="W819" s="231"/>
      <c r="X819" s="231"/>
      <c r="Y819" s="231"/>
      <c r="Z819" s="231"/>
    </row>
    <row r="820">
      <c r="A820" s="231"/>
      <c r="B820" s="231"/>
      <c r="C820" s="231"/>
      <c r="D820" s="231"/>
      <c r="E820" s="231"/>
      <c r="F820" s="231"/>
      <c r="G820" s="231"/>
      <c r="H820" s="231"/>
      <c r="I820" s="231"/>
      <c r="J820" s="231"/>
      <c r="K820" s="231"/>
      <c r="L820" s="231"/>
      <c r="M820" s="231"/>
      <c r="N820" s="231"/>
      <c r="O820" s="231"/>
      <c r="P820" s="231"/>
      <c r="Q820" s="231"/>
      <c r="R820" s="231"/>
      <c r="S820" s="231"/>
      <c r="T820" s="231"/>
      <c r="U820" s="231"/>
      <c r="V820" s="231"/>
      <c r="W820" s="231"/>
      <c r="X820" s="231"/>
      <c r="Y820" s="231"/>
      <c r="Z820" s="231"/>
    </row>
    <row r="821">
      <c r="A821" s="231"/>
      <c r="B821" s="231"/>
      <c r="C821" s="231"/>
      <c r="D821" s="231"/>
      <c r="E821" s="231"/>
      <c r="F821" s="231"/>
      <c r="G821" s="231"/>
      <c r="H821" s="231"/>
      <c r="I821" s="231"/>
      <c r="J821" s="231"/>
      <c r="K821" s="231"/>
      <c r="L821" s="231"/>
      <c r="M821" s="231"/>
      <c r="N821" s="231"/>
      <c r="O821" s="231"/>
      <c r="P821" s="231"/>
      <c r="Q821" s="231"/>
      <c r="R821" s="231"/>
      <c r="S821" s="231"/>
      <c r="T821" s="231"/>
      <c r="U821" s="231"/>
      <c r="V821" s="231"/>
      <c r="W821" s="231"/>
      <c r="X821" s="231"/>
      <c r="Y821" s="231"/>
      <c r="Z821" s="231"/>
    </row>
    <row r="822">
      <c r="A822" s="231"/>
      <c r="B822" s="231"/>
      <c r="C822" s="231"/>
      <c r="D822" s="231"/>
      <c r="E822" s="231"/>
      <c r="F822" s="231"/>
      <c r="G822" s="231"/>
      <c r="H822" s="231"/>
      <c r="I822" s="231"/>
      <c r="J822" s="231"/>
      <c r="K822" s="231"/>
      <c r="L822" s="231"/>
      <c r="M822" s="231"/>
      <c r="N822" s="231"/>
      <c r="O822" s="231"/>
      <c r="P822" s="231"/>
      <c r="Q822" s="231"/>
      <c r="R822" s="231"/>
      <c r="S822" s="231"/>
      <c r="T822" s="231"/>
      <c r="U822" s="231"/>
      <c r="V822" s="231"/>
      <c r="W822" s="231"/>
      <c r="X822" s="231"/>
      <c r="Y822" s="231"/>
      <c r="Z822" s="231"/>
    </row>
    <row r="823">
      <c r="A823" s="231"/>
      <c r="B823" s="231"/>
      <c r="C823" s="231"/>
      <c r="D823" s="231"/>
      <c r="E823" s="231"/>
      <c r="F823" s="231"/>
      <c r="G823" s="231"/>
      <c r="H823" s="231"/>
      <c r="I823" s="231"/>
      <c r="J823" s="231"/>
      <c r="K823" s="231"/>
      <c r="L823" s="231"/>
      <c r="M823" s="231"/>
      <c r="N823" s="231"/>
      <c r="O823" s="231"/>
      <c r="P823" s="231"/>
      <c r="Q823" s="231"/>
      <c r="R823" s="231"/>
      <c r="S823" s="231"/>
      <c r="T823" s="231"/>
      <c r="U823" s="231"/>
      <c r="V823" s="231"/>
      <c r="W823" s="231"/>
      <c r="X823" s="231"/>
      <c r="Y823" s="231"/>
      <c r="Z823" s="231"/>
    </row>
    <row r="824">
      <c r="A824" s="231"/>
      <c r="B824" s="231"/>
      <c r="C824" s="231"/>
      <c r="D824" s="231"/>
      <c r="E824" s="231"/>
      <c r="F824" s="231"/>
      <c r="G824" s="231"/>
      <c r="H824" s="231"/>
      <c r="I824" s="231"/>
      <c r="J824" s="231"/>
      <c r="K824" s="231"/>
      <c r="L824" s="231"/>
      <c r="M824" s="231"/>
      <c r="N824" s="231"/>
      <c r="O824" s="231"/>
      <c r="P824" s="231"/>
      <c r="Q824" s="231"/>
      <c r="R824" s="231"/>
      <c r="S824" s="231"/>
      <c r="T824" s="231"/>
      <c r="U824" s="231"/>
      <c r="V824" s="231"/>
      <c r="W824" s="231"/>
      <c r="X824" s="231"/>
      <c r="Y824" s="231"/>
      <c r="Z824" s="231"/>
    </row>
    <row r="825">
      <c r="A825" s="231"/>
      <c r="B825" s="231"/>
      <c r="C825" s="231"/>
      <c r="D825" s="231"/>
      <c r="E825" s="231"/>
      <c r="F825" s="231"/>
      <c r="G825" s="231"/>
      <c r="H825" s="231"/>
      <c r="I825" s="231"/>
      <c r="J825" s="231"/>
      <c r="K825" s="231"/>
      <c r="L825" s="231"/>
      <c r="M825" s="231"/>
      <c r="N825" s="231"/>
      <c r="O825" s="231"/>
      <c r="P825" s="231"/>
      <c r="Q825" s="231"/>
      <c r="R825" s="231"/>
      <c r="S825" s="231"/>
      <c r="T825" s="231"/>
      <c r="U825" s="231"/>
      <c r="V825" s="231"/>
      <c r="W825" s="231"/>
      <c r="X825" s="231"/>
      <c r="Y825" s="231"/>
      <c r="Z825" s="231"/>
    </row>
    <row r="826">
      <c r="A826" s="231"/>
      <c r="B826" s="231"/>
      <c r="C826" s="231"/>
      <c r="D826" s="231"/>
      <c r="E826" s="231"/>
      <c r="F826" s="231"/>
      <c r="G826" s="231"/>
      <c r="H826" s="231"/>
      <c r="I826" s="231"/>
      <c r="J826" s="231"/>
      <c r="K826" s="231"/>
      <c r="L826" s="231"/>
      <c r="M826" s="231"/>
      <c r="N826" s="231"/>
      <c r="O826" s="231"/>
      <c r="P826" s="231"/>
      <c r="Q826" s="231"/>
      <c r="R826" s="231"/>
      <c r="S826" s="231"/>
      <c r="T826" s="231"/>
      <c r="U826" s="231"/>
      <c r="V826" s="231"/>
      <c r="W826" s="231"/>
      <c r="X826" s="231"/>
      <c r="Y826" s="231"/>
      <c r="Z826" s="231"/>
    </row>
    <row r="827">
      <c r="A827" s="231"/>
      <c r="B827" s="231"/>
      <c r="C827" s="231"/>
      <c r="D827" s="231"/>
      <c r="E827" s="231"/>
      <c r="F827" s="231"/>
      <c r="G827" s="231"/>
      <c r="H827" s="231"/>
      <c r="I827" s="231"/>
      <c r="J827" s="231"/>
      <c r="K827" s="231"/>
      <c r="L827" s="231"/>
      <c r="M827" s="231"/>
      <c r="N827" s="231"/>
      <c r="O827" s="231"/>
      <c r="P827" s="231"/>
      <c r="Q827" s="231"/>
      <c r="R827" s="231"/>
      <c r="S827" s="231"/>
      <c r="T827" s="231"/>
      <c r="U827" s="231"/>
      <c r="V827" s="231"/>
      <c r="W827" s="231"/>
      <c r="X827" s="231"/>
      <c r="Y827" s="231"/>
      <c r="Z827" s="231"/>
    </row>
    <row r="828">
      <c r="A828" s="231"/>
      <c r="B828" s="231"/>
      <c r="C828" s="231"/>
      <c r="D828" s="231"/>
      <c r="E828" s="231"/>
      <c r="F828" s="231"/>
      <c r="G828" s="231"/>
      <c r="H828" s="231"/>
      <c r="I828" s="231"/>
      <c r="J828" s="231"/>
      <c r="K828" s="231"/>
      <c r="L828" s="231"/>
      <c r="M828" s="231"/>
      <c r="N828" s="231"/>
      <c r="O828" s="231"/>
      <c r="P828" s="231"/>
      <c r="Q828" s="231"/>
      <c r="R828" s="231"/>
      <c r="S828" s="231"/>
      <c r="T828" s="231"/>
      <c r="U828" s="231"/>
      <c r="V828" s="231"/>
      <c r="W828" s="231"/>
      <c r="X828" s="231"/>
      <c r="Y828" s="231"/>
      <c r="Z828" s="231"/>
    </row>
    <row r="829">
      <c r="A829" s="231"/>
      <c r="B829" s="231"/>
      <c r="C829" s="231"/>
      <c r="D829" s="231"/>
      <c r="E829" s="231"/>
      <c r="F829" s="231"/>
      <c r="G829" s="231"/>
      <c r="H829" s="231"/>
      <c r="I829" s="231"/>
      <c r="J829" s="231"/>
      <c r="K829" s="231"/>
      <c r="L829" s="231"/>
      <c r="M829" s="231"/>
      <c r="N829" s="231"/>
      <c r="O829" s="231"/>
      <c r="P829" s="231"/>
      <c r="Q829" s="231"/>
      <c r="R829" s="231"/>
      <c r="S829" s="231"/>
      <c r="T829" s="231"/>
      <c r="U829" s="231"/>
      <c r="V829" s="231"/>
      <c r="W829" s="231"/>
      <c r="X829" s="231"/>
      <c r="Y829" s="231"/>
      <c r="Z829" s="231"/>
    </row>
    <row r="830">
      <c r="A830" s="231"/>
      <c r="B830" s="231"/>
      <c r="C830" s="231"/>
      <c r="D830" s="231"/>
      <c r="E830" s="231"/>
      <c r="F830" s="231"/>
      <c r="G830" s="231"/>
      <c r="H830" s="231"/>
      <c r="I830" s="231"/>
      <c r="J830" s="231"/>
      <c r="K830" s="231"/>
      <c r="L830" s="231"/>
      <c r="M830" s="231"/>
      <c r="N830" s="231"/>
      <c r="O830" s="231"/>
      <c r="P830" s="231"/>
      <c r="Q830" s="231"/>
      <c r="R830" s="231"/>
      <c r="S830" s="231"/>
      <c r="T830" s="231"/>
      <c r="U830" s="231"/>
      <c r="V830" s="231"/>
      <c r="W830" s="231"/>
      <c r="X830" s="231"/>
      <c r="Y830" s="231"/>
      <c r="Z830" s="231"/>
    </row>
    <row r="831">
      <c r="A831" s="231"/>
      <c r="B831" s="231"/>
      <c r="C831" s="231"/>
      <c r="D831" s="231"/>
      <c r="E831" s="231"/>
      <c r="F831" s="231"/>
      <c r="G831" s="231"/>
      <c r="H831" s="231"/>
      <c r="I831" s="231"/>
      <c r="J831" s="231"/>
      <c r="K831" s="231"/>
      <c r="L831" s="231"/>
      <c r="M831" s="231"/>
      <c r="N831" s="231"/>
      <c r="O831" s="231"/>
      <c r="P831" s="231"/>
      <c r="Q831" s="231"/>
      <c r="R831" s="231"/>
      <c r="S831" s="231"/>
      <c r="T831" s="231"/>
      <c r="U831" s="231"/>
      <c r="V831" s="231"/>
      <c r="W831" s="231"/>
      <c r="X831" s="231"/>
      <c r="Y831" s="231"/>
      <c r="Z831" s="231"/>
    </row>
    <row r="832">
      <c r="A832" s="231"/>
      <c r="B832" s="231"/>
      <c r="C832" s="231"/>
      <c r="D832" s="231"/>
      <c r="E832" s="231"/>
      <c r="F832" s="231"/>
      <c r="G832" s="231"/>
      <c r="H832" s="231"/>
      <c r="I832" s="231"/>
      <c r="J832" s="231"/>
      <c r="K832" s="231"/>
      <c r="L832" s="231"/>
      <c r="M832" s="231"/>
      <c r="N832" s="231"/>
      <c r="O832" s="231"/>
      <c r="P832" s="231"/>
      <c r="Q832" s="231"/>
      <c r="R832" s="231"/>
      <c r="S832" s="231"/>
      <c r="T832" s="231"/>
      <c r="U832" s="231"/>
      <c r="V832" s="231"/>
      <c r="W832" s="231"/>
      <c r="X832" s="231"/>
      <c r="Y832" s="231"/>
      <c r="Z832" s="231"/>
    </row>
    <row r="833">
      <c r="A833" s="231"/>
      <c r="B833" s="231"/>
      <c r="C833" s="231"/>
      <c r="D833" s="231"/>
      <c r="E833" s="231"/>
      <c r="F833" s="231"/>
      <c r="G833" s="231"/>
      <c r="H833" s="231"/>
      <c r="I833" s="231"/>
      <c r="J833" s="231"/>
      <c r="K833" s="231"/>
      <c r="L833" s="231"/>
      <c r="M833" s="231"/>
      <c r="N833" s="231"/>
      <c r="O833" s="231"/>
      <c r="P833" s="231"/>
      <c r="Q833" s="231"/>
      <c r="R833" s="231"/>
      <c r="S833" s="231"/>
      <c r="T833" s="231"/>
      <c r="U833" s="231"/>
      <c r="V833" s="231"/>
      <c r="W833" s="231"/>
      <c r="X833" s="231"/>
      <c r="Y833" s="231"/>
      <c r="Z833" s="231"/>
    </row>
    <row r="834">
      <c r="A834" s="231"/>
      <c r="B834" s="231"/>
      <c r="C834" s="231"/>
      <c r="D834" s="231"/>
      <c r="E834" s="231"/>
      <c r="F834" s="231"/>
      <c r="G834" s="231"/>
      <c r="H834" s="231"/>
      <c r="I834" s="231"/>
      <c r="J834" s="231"/>
      <c r="K834" s="231"/>
      <c r="L834" s="231"/>
      <c r="M834" s="231"/>
      <c r="N834" s="231"/>
      <c r="O834" s="231"/>
      <c r="P834" s="231"/>
      <c r="Q834" s="231"/>
      <c r="R834" s="231"/>
      <c r="S834" s="231"/>
      <c r="T834" s="231"/>
      <c r="U834" s="231"/>
      <c r="V834" s="231"/>
      <c r="W834" s="231"/>
      <c r="X834" s="231"/>
      <c r="Y834" s="231"/>
      <c r="Z834" s="231"/>
    </row>
    <row r="835">
      <c r="A835" s="231"/>
      <c r="B835" s="231"/>
      <c r="C835" s="231"/>
      <c r="D835" s="231"/>
      <c r="E835" s="231"/>
      <c r="F835" s="231"/>
      <c r="G835" s="231"/>
      <c r="H835" s="231"/>
      <c r="I835" s="231"/>
      <c r="J835" s="231"/>
      <c r="K835" s="231"/>
      <c r="L835" s="231"/>
      <c r="M835" s="231"/>
      <c r="N835" s="231"/>
      <c r="O835" s="231"/>
      <c r="P835" s="231"/>
      <c r="Q835" s="231"/>
      <c r="R835" s="231"/>
      <c r="S835" s="231"/>
      <c r="T835" s="231"/>
      <c r="U835" s="231"/>
      <c r="V835" s="231"/>
      <c r="W835" s="231"/>
      <c r="X835" s="231"/>
      <c r="Y835" s="231"/>
      <c r="Z835" s="231"/>
    </row>
    <row r="836">
      <c r="A836" s="231"/>
      <c r="B836" s="231"/>
      <c r="C836" s="231"/>
      <c r="D836" s="231"/>
      <c r="E836" s="231"/>
      <c r="F836" s="231"/>
      <c r="G836" s="231"/>
      <c r="H836" s="231"/>
      <c r="I836" s="231"/>
      <c r="J836" s="231"/>
      <c r="K836" s="231"/>
      <c r="L836" s="231"/>
      <c r="M836" s="231"/>
      <c r="N836" s="231"/>
      <c r="O836" s="231"/>
      <c r="P836" s="231"/>
      <c r="Q836" s="231"/>
      <c r="R836" s="231"/>
      <c r="S836" s="231"/>
      <c r="T836" s="231"/>
      <c r="U836" s="231"/>
      <c r="V836" s="231"/>
      <c r="W836" s="231"/>
      <c r="X836" s="231"/>
      <c r="Y836" s="231"/>
      <c r="Z836" s="231"/>
    </row>
    <row r="837">
      <c r="A837" s="231"/>
      <c r="B837" s="231"/>
      <c r="C837" s="231"/>
      <c r="D837" s="231"/>
      <c r="E837" s="231"/>
      <c r="F837" s="231"/>
      <c r="G837" s="231"/>
      <c r="H837" s="231"/>
      <c r="I837" s="231"/>
      <c r="J837" s="231"/>
      <c r="K837" s="231"/>
      <c r="L837" s="231"/>
      <c r="M837" s="231"/>
      <c r="N837" s="231"/>
      <c r="O837" s="231"/>
      <c r="P837" s="231"/>
      <c r="Q837" s="231"/>
      <c r="R837" s="231"/>
      <c r="S837" s="231"/>
      <c r="T837" s="231"/>
      <c r="U837" s="231"/>
      <c r="V837" s="231"/>
      <c r="W837" s="231"/>
      <c r="X837" s="231"/>
      <c r="Y837" s="231"/>
      <c r="Z837" s="231"/>
    </row>
    <row r="838">
      <c r="A838" s="231"/>
      <c r="B838" s="231"/>
      <c r="C838" s="231"/>
      <c r="D838" s="231"/>
      <c r="E838" s="231"/>
      <c r="F838" s="231"/>
      <c r="G838" s="231"/>
      <c r="H838" s="231"/>
      <c r="I838" s="231"/>
      <c r="J838" s="231"/>
      <c r="K838" s="231"/>
      <c r="L838" s="231"/>
      <c r="M838" s="231"/>
      <c r="N838" s="231"/>
      <c r="O838" s="231"/>
      <c r="P838" s="231"/>
      <c r="Q838" s="231"/>
      <c r="R838" s="231"/>
      <c r="S838" s="231"/>
      <c r="T838" s="231"/>
      <c r="U838" s="231"/>
      <c r="V838" s="231"/>
      <c r="W838" s="231"/>
      <c r="X838" s="231"/>
      <c r="Y838" s="231"/>
      <c r="Z838" s="231"/>
    </row>
    <row r="839">
      <c r="A839" s="231"/>
      <c r="B839" s="231"/>
      <c r="C839" s="231"/>
      <c r="D839" s="231"/>
      <c r="E839" s="231"/>
      <c r="F839" s="231"/>
      <c r="G839" s="231"/>
      <c r="H839" s="231"/>
      <c r="I839" s="231"/>
      <c r="J839" s="231"/>
      <c r="K839" s="231"/>
      <c r="L839" s="231"/>
      <c r="M839" s="231"/>
      <c r="N839" s="231"/>
      <c r="O839" s="231"/>
      <c r="P839" s="231"/>
      <c r="Q839" s="231"/>
      <c r="R839" s="231"/>
      <c r="S839" s="231"/>
      <c r="T839" s="231"/>
      <c r="U839" s="231"/>
      <c r="V839" s="231"/>
      <c r="W839" s="231"/>
      <c r="X839" s="231"/>
      <c r="Y839" s="231"/>
      <c r="Z839" s="231"/>
    </row>
    <row r="840">
      <c r="A840" s="231"/>
      <c r="B840" s="231"/>
      <c r="C840" s="231"/>
      <c r="D840" s="231"/>
      <c r="E840" s="231"/>
      <c r="F840" s="231"/>
      <c r="G840" s="231"/>
      <c r="H840" s="231"/>
      <c r="I840" s="231"/>
      <c r="J840" s="231"/>
      <c r="K840" s="231"/>
      <c r="L840" s="231"/>
      <c r="M840" s="231"/>
      <c r="N840" s="231"/>
      <c r="O840" s="231"/>
      <c r="P840" s="231"/>
      <c r="Q840" s="231"/>
      <c r="R840" s="231"/>
      <c r="S840" s="231"/>
      <c r="T840" s="231"/>
      <c r="U840" s="231"/>
      <c r="V840" s="231"/>
      <c r="W840" s="231"/>
      <c r="X840" s="231"/>
      <c r="Y840" s="231"/>
      <c r="Z840" s="231"/>
    </row>
    <row r="841">
      <c r="A841" s="231"/>
      <c r="B841" s="231"/>
      <c r="C841" s="231"/>
      <c r="D841" s="231"/>
      <c r="E841" s="231"/>
      <c r="F841" s="231"/>
      <c r="G841" s="231"/>
      <c r="H841" s="231"/>
      <c r="I841" s="231"/>
      <c r="J841" s="231"/>
      <c r="K841" s="231"/>
      <c r="L841" s="231"/>
      <c r="M841" s="231"/>
      <c r="N841" s="231"/>
      <c r="O841" s="231"/>
      <c r="P841" s="231"/>
      <c r="Q841" s="231"/>
      <c r="R841" s="231"/>
      <c r="S841" s="231"/>
      <c r="T841" s="231"/>
      <c r="U841" s="231"/>
      <c r="V841" s="231"/>
      <c r="W841" s="231"/>
      <c r="X841" s="231"/>
      <c r="Y841" s="231"/>
      <c r="Z841" s="231"/>
    </row>
    <row r="842">
      <c r="A842" s="231"/>
      <c r="B842" s="231"/>
      <c r="C842" s="231"/>
      <c r="D842" s="231"/>
      <c r="E842" s="231"/>
      <c r="F842" s="231"/>
      <c r="G842" s="231"/>
      <c r="H842" s="231"/>
      <c r="I842" s="231"/>
      <c r="J842" s="231"/>
      <c r="K842" s="231"/>
      <c r="L842" s="231"/>
      <c r="M842" s="231"/>
      <c r="N842" s="231"/>
      <c r="O842" s="231"/>
      <c r="P842" s="231"/>
      <c r="Q842" s="231"/>
      <c r="R842" s="231"/>
      <c r="S842" s="231"/>
      <c r="T842" s="231"/>
      <c r="U842" s="231"/>
      <c r="V842" s="231"/>
      <c r="W842" s="231"/>
      <c r="X842" s="231"/>
      <c r="Y842" s="231"/>
      <c r="Z842" s="231"/>
    </row>
    <row r="843">
      <c r="A843" s="231"/>
      <c r="B843" s="231"/>
      <c r="C843" s="231"/>
      <c r="D843" s="231"/>
      <c r="E843" s="231"/>
      <c r="F843" s="231"/>
      <c r="G843" s="231"/>
      <c r="H843" s="231"/>
      <c r="I843" s="231"/>
      <c r="J843" s="231"/>
      <c r="K843" s="231"/>
      <c r="L843" s="231"/>
      <c r="M843" s="231"/>
      <c r="N843" s="231"/>
      <c r="O843" s="231"/>
      <c r="P843" s="231"/>
      <c r="Q843" s="231"/>
      <c r="R843" s="231"/>
      <c r="S843" s="231"/>
      <c r="T843" s="231"/>
      <c r="U843" s="231"/>
      <c r="V843" s="231"/>
      <c r="W843" s="231"/>
      <c r="X843" s="231"/>
      <c r="Y843" s="231"/>
      <c r="Z843" s="231"/>
    </row>
    <row r="844">
      <c r="A844" s="231"/>
      <c r="B844" s="231"/>
      <c r="C844" s="231"/>
      <c r="D844" s="231"/>
      <c r="E844" s="231"/>
      <c r="F844" s="231"/>
      <c r="G844" s="231"/>
      <c r="H844" s="231"/>
      <c r="I844" s="231"/>
      <c r="J844" s="231"/>
      <c r="K844" s="231"/>
      <c r="L844" s="231"/>
      <c r="M844" s="231"/>
      <c r="N844" s="231"/>
      <c r="O844" s="231"/>
      <c r="P844" s="231"/>
      <c r="Q844" s="231"/>
      <c r="R844" s="231"/>
      <c r="S844" s="231"/>
      <c r="T844" s="231"/>
      <c r="U844" s="231"/>
      <c r="V844" s="231"/>
      <c r="W844" s="231"/>
      <c r="X844" s="231"/>
      <c r="Y844" s="231"/>
      <c r="Z844" s="231"/>
    </row>
    <row r="845">
      <c r="A845" s="231"/>
      <c r="B845" s="231"/>
      <c r="C845" s="231"/>
      <c r="D845" s="231"/>
      <c r="E845" s="231"/>
      <c r="F845" s="231"/>
      <c r="G845" s="231"/>
      <c r="H845" s="231"/>
      <c r="I845" s="231"/>
      <c r="J845" s="231"/>
      <c r="K845" s="231"/>
      <c r="L845" s="231"/>
      <c r="M845" s="231"/>
      <c r="N845" s="231"/>
      <c r="O845" s="231"/>
      <c r="P845" s="231"/>
      <c r="Q845" s="231"/>
      <c r="R845" s="231"/>
      <c r="S845" s="231"/>
      <c r="T845" s="231"/>
      <c r="U845" s="231"/>
      <c r="V845" s="231"/>
      <c r="W845" s="231"/>
      <c r="X845" s="231"/>
      <c r="Y845" s="231"/>
      <c r="Z845" s="231"/>
    </row>
    <row r="846">
      <c r="A846" s="231"/>
      <c r="B846" s="231"/>
      <c r="C846" s="231"/>
      <c r="D846" s="231"/>
      <c r="E846" s="231"/>
      <c r="F846" s="231"/>
      <c r="G846" s="231"/>
      <c r="H846" s="231"/>
      <c r="I846" s="231"/>
      <c r="J846" s="231"/>
      <c r="K846" s="231"/>
      <c r="L846" s="231"/>
      <c r="M846" s="231"/>
      <c r="N846" s="231"/>
      <c r="O846" s="231"/>
      <c r="P846" s="231"/>
      <c r="Q846" s="231"/>
      <c r="R846" s="231"/>
      <c r="S846" s="231"/>
      <c r="T846" s="231"/>
      <c r="U846" s="231"/>
      <c r="V846" s="231"/>
      <c r="W846" s="231"/>
      <c r="X846" s="231"/>
      <c r="Y846" s="231"/>
      <c r="Z846" s="231"/>
    </row>
    <row r="847">
      <c r="A847" s="231"/>
      <c r="B847" s="231"/>
      <c r="C847" s="231"/>
      <c r="D847" s="231"/>
      <c r="E847" s="231"/>
      <c r="F847" s="231"/>
      <c r="G847" s="231"/>
      <c r="H847" s="231"/>
      <c r="I847" s="231"/>
      <c r="J847" s="231"/>
      <c r="K847" s="231"/>
      <c r="L847" s="231"/>
      <c r="M847" s="231"/>
      <c r="N847" s="231"/>
      <c r="O847" s="231"/>
      <c r="P847" s="231"/>
      <c r="Q847" s="231"/>
      <c r="R847" s="231"/>
      <c r="S847" s="231"/>
      <c r="T847" s="231"/>
      <c r="U847" s="231"/>
      <c r="V847" s="231"/>
      <c r="W847" s="231"/>
      <c r="X847" s="231"/>
      <c r="Y847" s="231"/>
      <c r="Z847" s="231"/>
    </row>
    <row r="848">
      <c r="A848" s="231"/>
      <c r="B848" s="231"/>
      <c r="C848" s="231"/>
      <c r="D848" s="231"/>
      <c r="E848" s="231"/>
      <c r="F848" s="231"/>
      <c r="G848" s="231"/>
      <c r="H848" s="231"/>
      <c r="I848" s="231"/>
      <c r="J848" s="231"/>
      <c r="K848" s="231"/>
      <c r="L848" s="231"/>
      <c r="M848" s="231"/>
      <c r="N848" s="231"/>
      <c r="O848" s="231"/>
      <c r="P848" s="231"/>
      <c r="Q848" s="231"/>
      <c r="R848" s="231"/>
      <c r="S848" s="231"/>
      <c r="T848" s="231"/>
      <c r="U848" s="231"/>
      <c r="V848" s="231"/>
      <c r="W848" s="231"/>
      <c r="X848" s="231"/>
      <c r="Y848" s="231"/>
      <c r="Z848" s="231"/>
    </row>
    <row r="849">
      <c r="A849" s="231"/>
      <c r="B849" s="231"/>
      <c r="C849" s="231"/>
      <c r="D849" s="231"/>
      <c r="E849" s="231"/>
      <c r="F849" s="231"/>
      <c r="G849" s="231"/>
      <c r="H849" s="231"/>
      <c r="I849" s="231"/>
      <c r="J849" s="231"/>
      <c r="K849" s="231"/>
      <c r="L849" s="231"/>
      <c r="M849" s="231"/>
      <c r="N849" s="231"/>
      <c r="O849" s="231"/>
      <c r="P849" s="231"/>
      <c r="Q849" s="231"/>
      <c r="R849" s="231"/>
      <c r="S849" s="231"/>
      <c r="T849" s="231"/>
      <c r="U849" s="231"/>
      <c r="V849" s="231"/>
      <c r="W849" s="231"/>
      <c r="X849" s="231"/>
      <c r="Y849" s="231"/>
      <c r="Z849" s="231"/>
    </row>
    <row r="850">
      <c r="A850" s="231"/>
      <c r="B850" s="231"/>
      <c r="C850" s="231"/>
      <c r="D850" s="231"/>
      <c r="E850" s="231"/>
      <c r="F850" s="231"/>
      <c r="G850" s="231"/>
      <c r="H850" s="231"/>
      <c r="I850" s="231"/>
      <c r="J850" s="231"/>
      <c r="K850" s="231"/>
      <c r="L850" s="231"/>
      <c r="M850" s="231"/>
      <c r="N850" s="231"/>
      <c r="O850" s="231"/>
      <c r="P850" s="231"/>
      <c r="Q850" s="231"/>
      <c r="R850" s="231"/>
      <c r="S850" s="231"/>
      <c r="T850" s="231"/>
      <c r="U850" s="231"/>
      <c r="V850" s="231"/>
      <c r="W850" s="231"/>
      <c r="X850" s="231"/>
      <c r="Y850" s="231"/>
      <c r="Z850" s="231"/>
    </row>
    <row r="851">
      <c r="A851" s="231"/>
      <c r="B851" s="231"/>
      <c r="C851" s="231"/>
      <c r="D851" s="231"/>
      <c r="E851" s="231"/>
      <c r="F851" s="231"/>
      <c r="G851" s="231"/>
      <c r="H851" s="231"/>
      <c r="I851" s="231"/>
      <c r="J851" s="231"/>
      <c r="K851" s="231"/>
      <c r="L851" s="231"/>
      <c r="M851" s="231"/>
      <c r="N851" s="231"/>
      <c r="O851" s="231"/>
      <c r="P851" s="231"/>
      <c r="Q851" s="231"/>
      <c r="R851" s="231"/>
      <c r="S851" s="231"/>
      <c r="T851" s="231"/>
      <c r="U851" s="231"/>
      <c r="V851" s="231"/>
      <c r="W851" s="231"/>
      <c r="X851" s="231"/>
      <c r="Y851" s="231"/>
      <c r="Z851" s="231"/>
    </row>
    <row r="852">
      <c r="A852" s="231"/>
      <c r="B852" s="231"/>
      <c r="C852" s="231"/>
      <c r="D852" s="231"/>
      <c r="E852" s="231"/>
      <c r="F852" s="231"/>
      <c r="G852" s="231"/>
      <c r="H852" s="231"/>
      <c r="I852" s="231"/>
      <c r="J852" s="231"/>
      <c r="K852" s="231"/>
      <c r="L852" s="231"/>
      <c r="M852" s="231"/>
      <c r="N852" s="231"/>
      <c r="O852" s="231"/>
      <c r="P852" s="231"/>
      <c r="Q852" s="231"/>
      <c r="R852" s="231"/>
      <c r="S852" s="231"/>
      <c r="T852" s="231"/>
      <c r="U852" s="231"/>
      <c r="V852" s="231"/>
      <c r="W852" s="231"/>
      <c r="X852" s="231"/>
      <c r="Y852" s="231"/>
      <c r="Z852" s="231"/>
    </row>
    <row r="853">
      <c r="A853" s="231"/>
      <c r="B853" s="231"/>
      <c r="C853" s="231"/>
      <c r="D853" s="231"/>
      <c r="E853" s="231"/>
      <c r="F853" s="231"/>
      <c r="G853" s="231"/>
      <c r="H853" s="231"/>
      <c r="I853" s="231"/>
      <c r="J853" s="231"/>
      <c r="K853" s="231"/>
      <c r="L853" s="231"/>
      <c r="M853" s="231"/>
      <c r="N853" s="231"/>
      <c r="O853" s="231"/>
      <c r="P853" s="231"/>
      <c r="Q853" s="231"/>
      <c r="R853" s="231"/>
      <c r="S853" s="231"/>
      <c r="T853" s="231"/>
      <c r="U853" s="231"/>
      <c r="V853" s="231"/>
      <c r="W853" s="231"/>
      <c r="X853" s="231"/>
      <c r="Y853" s="231"/>
      <c r="Z853" s="231"/>
    </row>
    <row r="854">
      <c r="A854" s="231"/>
      <c r="B854" s="231"/>
      <c r="C854" s="231"/>
      <c r="D854" s="231"/>
      <c r="E854" s="231"/>
      <c r="F854" s="231"/>
      <c r="G854" s="231"/>
      <c r="H854" s="231"/>
      <c r="I854" s="231"/>
      <c r="J854" s="231"/>
      <c r="K854" s="231"/>
      <c r="L854" s="231"/>
      <c r="M854" s="231"/>
      <c r="N854" s="231"/>
      <c r="O854" s="231"/>
      <c r="P854" s="231"/>
      <c r="Q854" s="231"/>
      <c r="R854" s="231"/>
      <c r="S854" s="231"/>
      <c r="T854" s="231"/>
      <c r="U854" s="231"/>
      <c r="V854" s="231"/>
      <c r="W854" s="231"/>
      <c r="X854" s="231"/>
      <c r="Y854" s="231"/>
      <c r="Z854" s="231"/>
    </row>
    <row r="855">
      <c r="A855" s="231"/>
      <c r="B855" s="231"/>
      <c r="C855" s="231"/>
      <c r="D855" s="231"/>
      <c r="E855" s="231"/>
      <c r="F855" s="231"/>
      <c r="G855" s="231"/>
      <c r="H855" s="231"/>
      <c r="I855" s="231"/>
      <c r="J855" s="231"/>
      <c r="K855" s="231"/>
      <c r="L855" s="231"/>
      <c r="M855" s="231"/>
      <c r="N855" s="231"/>
      <c r="O855" s="231"/>
      <c r="P855" s="231"/>
      <c r="Q855" s="231"/>
      <c r="R855" s="231"/>
      <c r="S855" s="231"/>
      <c r="T855" s="231"/>
      <c r="U855" s="231"/>
      <c r="V855" s="231"/>
      <c r="W855" s="231"/>
      <c r="X855" s="231"/>
      <c r="Y855" s="231"/>
      <c r="Z855" s="231"/>
    </row>
    <row r="856">
      <c r="A856" s="231"/>
      <c r="B856" s="231"/>
      <c r="C856" s="231"/>
      <c r="D856" s="231"/>
      <c r="E856" s="231"/>
      <c r="F856" s="231"/>
      <c r="G856" s="231"/>
      <c r="H856" s="231"/>
      <c r="I856" s="231"/>
      <c r="J856" s="231"/>
      <c r="K856" s="231"/>
      <c r="L856" s="231"/>
      <c r="M856" s="231"/>
      <c r="N856" s="231"/>
      <c r="O856" s="231"/>
      <c r="P856" s="231"/>
      <c r="Q856" s="231"/>
      <c r="R856" s="231"/>
      <c r="S856" s="231"/>
      <c r="T856" s="231"/>
      <c r="U856" s="231"/>
      <c r="V856" s="231"/>
      <c r="W856" s="231"/>
      <c r="X856" s="231"/>
      <c r="Y856" s="231"/>
      <c r="Z856" s="231"/>
    </row>
    <row r="857">
      <c r="A857" s="231"/>
      <c r="B857" s="231"/>
      <c r="C857" s="231"/>
      <c r="D857" s="231"/>
      <c r="E857" s="231"/>
      <c r="F857" s="231"/>
      <c r="G857" s="231"/>
      <c r="H857" s="231"/>
      <c r="I857" s="231"/>
      <c r="J857" s="231"/>
      <c r="K857" s="231"/>
      <c r="L857" s="231"/>
      <c r="M857" s="231"/>
      <c r="N857" s="231"/>
      <c r="O857" s="231"/>
      <c r="P857" s="231"/>
      <c r="Q857" s="231"/>
      <c r="R857" s="231"/>
      <c r="S857" s="231"/>
      <c r="T857" s="231"/>
      <c r="U857" s="231"/>
      <c r="V857" s="231"/>
      <c r="W857" s="231"/>
      <c r="X857" s="231"/>
      <c r="Y857" s="231"/>
      <c r="Z857" s="231"/>
    </row>
    <row r="858">
      <c r="A858" s="231"/>
      <c r="B858" s="231"/>
      <c r="C858" s="231"/>
      <c r="D858" s="231"/>
      <c r="E858" s="231"/>
      <c r="F858" s="231"/>
      <c r="G858" s="231"/>
      <c r="H858" s="231"/>
      <c r="I858" s="231"/>
      <c r="J858" s="231"/>
      <c r="K858" s="231"/>
      <c r="L858" s="231"/>
      <c r="M858" s="231"/>
      <c r="N858" s="231"/>
      <c r="O858" s="231"/>
      <c r="P858" s="231"/>
      <c r="Q858" s="231"/>
      <c r="R858" s="231"/>
      <c r="S858" s="231"/>
      <c r="T858" s="231"/>
      <c r="U858" s="231"/>
      <c r="V858" s="231"/>
      <c r="W858" s="231"/>
      <c r="X858" s="231"/>
      <c r="Y858" s="231"/>
      <c r="Z858" s="231"/>
    </row>
    <row r="859">
      <c r="A859" s="231"/>
      <c r="B859" s="231"/>
      <c r="C859" s="231"/>
      <c r="D859" s="231"/>
      <c r="E859" s="231"/>
      <c r="F859" s="231"/>
      <c r="G859" s="231"/>
      <c r="H859" s="231"/>
      <c r="I859" s="231"/>
      <c r="J859" s="231"/>
      <c r="K859" s="231"/>
      <c r="L859" s="231"/>
      <c r="M859" s="231"/>
      <c r="N859" s="231"/>
      <c r="O859" s="231"/>
      <c r="P859" s="231"/>
      <c r="Q859" s="231"/>
      <c r="R859" s="231"/>
      <c r="S859" s="231"/>
      <c r="T859" s="231"/>
      <c r="U859" s="231"/>
      <c r="V859" s="231"/>
      <c r="W859" s="231"/>
      <c r="X859" s="231"/>
      <c r="Y859" s="231"/>
      <c r="Z859" s="231"/>
    </row>
    <row r="860">
      <c r="A860" s="231"/>
      <c r="B860" s="231"/>
      <c r="C860" s="231"/>
      <c r="D860" s="231"/>
      <c r="E860" s="231"/>
      <c r="F860" s="231"/>
      <c r="G860" s="231"/>
      <c r="H860" s="231"/>
      <c r="I860" s="231"/>
      <c r="J860" s="231"/>
      <c r="K860" s="231"/>
      <c r="L860" s="231"/>
      <c r="M860" s="231"/>
      <c r="N860" s="231"/>
      <c r="O860" s="231"/>
      <c r="P860" s="231"/>
      <c r="Q860" s="231"/>
      <c r="R860" s="231"/>
      <c r="S860" s="231"/>
      <c r="T860" s="231"/>
      <c r="U860" s="231"/>
      <c r="V860" s="231"/>
      <c r="W860" s="231"/>
      <c r="X860" s="231"/>
      <c r="Y860" s="231"/>
      <c r="Z860" s="231"/>
    </row>
    <row r="861">
      <c r="A861" s="231"/>
      <c r="B861" s="231"/>
      <c r="C861" s="231"/>
      <c r="D861" s="231"/>
      <c r="E861" s="231"/>
      <c r="F861" s="231"/>
      <c r="G861" s="231"/>
      <c r="H861" s="231"/>
      <c r="I861" s="231"/>
      <c r="J861" s="231"/>
      <c r="K861" s="231"/>
      <c r="L861" s="231"/>
      <c r="M861" s="231"/>
      <c r="N861" s="231"/>
      <c r="O861" s="231"/>
      <c r="P861" s="231"/>
      <c r="Q861" s="231"/>
      <c r="R861" s="231"/>
      <c r="S861" s="231"/>
      <c r="T861" s="231"/>
      <c r="U861" s="231"/>
      <c r="V861" s="231"/>
      <c r="W861" s="231"/>
      <c r="X861" s="231"/>
      <c r="Y861" s="231"/>
      <c r="Z861" s="231"/>
    </row>
    <row r="862">
      <c r="A862" s="231"/>
      <c r="B862" s="231"/>
      <c r="C862" s="231"/>
      <c r="D862" s="231"/>
      <c r="E862" s="231"/>
      <c r="F862" s="231"/>
      <c r="G862" s="231"/>
      <c r="H862" s="231"/>
      <c r="I862" s="231"/>
      <c r="J862" s="231"/>
      <c r="K862" s="231"/>
      <c r="L862" s="231"/>
      <c r="M862" s="231"/>
      <c r="N862" s="231"/>
      <c r="O862" s="231"/>
      <c r="P862" s="231"/>
      <c r="Q862" s="231"/>
      <c r="R862" s="231"/>
      <c r="S862" s="231"/>
      <c r="T862" s="231"/>
      <c r="U862" s="231"/>
      <c r="V862" s="231"/>
      <c r="W862" s="231"/>
      <c r="X862" s="231"/>
      <c r="Y862" s="231"/>
      <c r="Z862" s="231"/>
    </row>
    <row r="863">
      <c r="A863" s="231"/>
      <c r="B863" s="231"/>
      <c r="C863" s="231"/>
      <c r="D863" s="231"/>
      <c r="E863" s="231"/>
      <c r="F863" s="231"/>
      <c r="G863" s="231"/>
      <c r="H863" s="231"/>
      <c r="I863" s="231"/>
      <c r="J863" s="231"/>
      <c r="K863" s="231"/>
      <c r="L863" s="231"/>
      <c r="M863" s="231"/>
      <c r="N863" s="231"/>
      <c r="O863" s="231"/>
      <c r="P863" s="231"/>
      <c r="Q863" s="231"/>
      <c r="R863" s="231"/>
      <c r="S863" s="231"/>
      <c r="T863" s="231"/>
      <c r="U863" s="231"/>
      <c r="V863" s="231"/>
      <c r="W863" s="231"/>
      <c r="X863" s="231"/>
      <c r="Y863" s="231"/>
      <c r="Z863" s="231"/>
    </row>
    <row r="864">
      <c r="A864" s="231"/>
      <c r="B864" s="231"/>
      <c r="C864" s="231"/>
      <c r="D864" s="231"/>
      <c r="E864" s="231"/>
      <c r="F864" s="231"/>
      <c r="G864" s="231"/>
      <c r="H864" s="231"/>
      <c r="I864" s="231"/>
      <c r="J864" s="231"/>
      <c r="K864" s="231"/>
      <c r="L864" s="231"/>
      <c r="M864" s="231"/>
      <c r="N864" s="231"/>
      <c r="O864" s="231"/>
      <c r="P864" s="231"/>
      <c r="Q864" s="231"/>
      <c r="R864" s="231"/>
      <c r="S864" s="231"/>
      <c r="T864" s="231"/>
      <c r="U864" s="231"/>
      <c r="V864" s="231"/>
      <c r="W864" s="231"/>
      <c r="X864" s="231"/>
      <c r="Y864" s="231"/>
      <c r="Z864" s="231"/>
    </row>
    <row r="865">
      <c r="A865" s="231"/>
      <c r="B865" s="231"/>
      <c r="C865" s="231"/>
      <c r="D865" s="231"/>
      <c r="E865" s="231"/>
      <c r="F865" s="231"/>
      <c r="G865" s="231"/>
      <c r="H865" s="231"/>
      <c r="I865" s="231"/>
      <c r="J865" s="231"/>
      <c r="K865" s="231"/>
      <c r="L865" s="231"/>
      <c r="M865" s="231"/>
      <c r="N865" s="231"/>
      <c r="O865" s="231"/>
      <c r="P865" s="231"/>
      <c r="Q865" s="231"/>
      <c r="R865" s="231"/>
      <c r="S865" s="231"/>
      <c r="T865" s="231"/>
      <c r="U865" s="231"/>
      <c r="V865" s="231"/>
      <c r="W865" s="231"/>
      <c r="X865" s="231"/>
      <c r="Y865" s="231"/>
      <c r="Z865" s="231"/>
    </row>
    <row r="866">
      <c r="A866" s="231"/>
      <c r="B866" s="231"/>
      <c r="C866" s="231"/>
      <c r="D866" s="231"/>
      <c r="E866" s="231"/>
      <c r="F866" s="231"/>
      <c r="G866" s="231"/>
      <c r="H866" s="231"/>
      <c r="I866" s="231"/>
      <c r="J866" s="231"/>
      <c r="K866" s="231"/>
      <c r="L866" s="231"/>
      <c r="M866" s="231"/>
      <c r="N866" s="231"/>
      <c r="O866" s="231"/>
      <c r="P866" s="231"/>
      <c r="Q866" s="231"/>
      <c r="R866" s="231"/>
      <c r="S866" s="231"/>
      <c r="T866" s="231"/>
      <c r="U866" s="231"/>
      <c r="V866" s="231"/>
      <c r="W866" s="231"/>
      <c r="X866" s="231"/>
      <c r="Y866" s="231"/>
      <c r="Z866" s="231"/>
    </row>
    <row r="867">
      <c r="A867" s="231"/>
      <c r="B867" s="231"/>
      <c r="C867" s="231"/>
      <c r="D867" s="231"/>
      <c r="E867" s="231"/>
      <c r="F867" s="231"/>
      <c r="G867" s="231"/>
      <c r="H867" s="231"/>
      <c r="I867" s="231"/>
      <c r="J867" s="231"/>
      <c r="K867" s="231"/>
      <c r="L867" s="231"/>
      <c r="M867" s="231"/>
      <c r="N867" s="231"/>
      <c r="O867" s="231"/>
      <c r="P867" s="231"/>
      <c r="Q867" s="231"/>
      <c r="R867" s="231"/>
      <c r="S867" s="231"/>
      <c r="T867" s="231"/>
      <c r="U867" s="231"/>
      <c r="V867" s="231"/>
      <c r="W867" s="231"/>
      <c r="X867" s="231"/>
      <c r="Y867" s="231"/>
      <c r="Z867" s="231"/>
    </row>
    <row r="868">
      <c r="A868" s="231"/>
      <c r="B868" s="231"/>
      <c r="C868" s="231"/>
      <c r="D868" s="231"/>
      <c r="E868" s="231"/>
      <c r="F868" s="231"/>
      <c r="G868" s="231"/>
      <c r="H868" s="231"/>
      <c r="I868" s="231"/>
      <c r="J868" s="231"/>
      <c r="K868" s="231"/>
      <c r="L868" s="231"/>
      <c r="M868" s="231"/>
      <c r="N868" s="231"/>
      <c r="O868" s="231"/>
      <c r="P868" s="231"/>
      <c r="Q868" s="231"/>
      <c r="R868" s="231"/>
      <c r="S868" s="231"/>
      <c r="T868" s="231"/>
      <c r="U868" s="231"/>
      <c r="V868" s="231"/>
      <c r="W868" s="231"/>
      <c r="X868" s="231"/>
      <c r="Y868" s="231"/>
      <c r="Z868" s="231"/>
    </row>
    <row r="869">
      <c r="A869" s="231"/>
      <c r="B869" s="231"/>
      <c r="C869" s="231"/>
      <c r="D869" s="231"/>
      <c r="E869" s="231"/>
      <c r="F869" s="231"/>
      <c r="G869" s="231"/>
      <c r="H869" s="231"/>
      <c r="I869" s="231"/>
      <c r="J869" s="231"/>
      <c r="K869" s="231"/>
      <c r="L869" s="231"/>
      <c r="M869" s="231"/>
      <c r="N869" s="231"/>
      <c r="O869" s="231"/>
      <c r="P869" s="231"/>
      <c r="Q869" s="231"/>
      <c r="R869" s="231"/>
      <c r="S869" s="231"/>
      <c r="T869" s="231"/>
      <c r="U869" s="231"/>
      <c r="V869" s="231"/>
      <c r="W869" s="231"/>
      <c r="X869" s="231"/>
      <c r="Y869" s="231"/>
      <c r="Z869" s="231"/>
    </row>
    <row r="870">
      <c r="A870" s="231"/>
      <c r="B870" s="231"/>
      <c r="C870" s="231"/>
      <c r="D870" s="231"/>
      <c r="E870" s="231"/>
      <c r="F870" s="231"/>
      <c r="G870" s="231"/>
      <c r="H870" s="231"/>
      <c r="I870" s="231"/>
      <c r="J870" s="231"/>
      <c r="K870" s="231"/>
      <c r="L870" s="231"/>
      <c r="M870" s="231"/>
      <c r="N870" s="231"/>
      <c r="O870" s="231"/>
      <c r="P870" s="231"/>
      <c r="Q870" s="231"/>
      <c r="R870" s="231"/>
      <c r="S870" s="231"/>
      <c r="T870" s="231"/>
      <c r="U870" s="231"/>
      <c r="V870" s="231"/>
      <c r="W870" s="231"/>
      <c r="X870" s="231"/>
      <c r="Y870" s="231"/>
      <c r="Z870" s="231"/>
    </row>
    <row r="871">
      <c r="A871" s="231"/>
      <c r="B871" s="231"/>
      <c r="C871" s="231"/>
      <c r="D871" s="231"/>
      <c r="E871" s="231"/>
      <c r="F871" s="231"/>
      <c r="G871" s="231"/>
      <c r="H871" s="231"/>
      <c r="I871" s="231"/>
      <c r="J871" s="231"/>
      <c r="K871" s="231"/>
      <c r="L871" s="231"/>
      <c r="M871" s="231"/>
      <c r="N871" s="231"/>
      <c r="O871" s="231"/>
      <c r="P871" s="231"/>
      <c r="Q871" s="231"/>
      <c r="R871" s="231"/>
      <c r="S871" s="231"/>
      <c r="T871" s="231"/>
      <c r="U871" s="231"/>
      <c r="V871" s="231"/>
      <c r="W871" s="231"/>
      <c r="X871" s="231"/>
      <c r="Y871" s="231"/>
      <c r="Z871" s="231"/>
    </row>
    <row r="872">
      <c r="A872" s="231"/>
      <c r="B872" s="231"/>
      <c r="C872" s="231"/>
      <c r="D872" s="231"/>
      <c r="E872" s="231"/>
      <c r="F872" s="231"/>
      <c r="G872" s="231"/>
      <c r="H872" s="231"/>
      <c r="I872" s="231"/>
      <c r="J872" s="231"/>
      <c r="K872" s="231"/>
      <c r="L872" s="231"/>
      <c r="M872" s="231"/>
      <c r="N872" s="231"/>
      <c r="O872" s="231"/>
      <c r="P872" s="231"/>
      <c r="Q872" s="231"/>
      <c r="R872" s="231"/>
      <c r="S872" s="231"/>
      <c r="T872" s="231"/>
      <c r="U872" s="231"/>
      <c r="V872" s="231"/>
      <c r="W872" s="231"/>
      <c r="X872" s="231"/>
      <c r="Y872" s="231"/>
      <c r="Z872" s="231"/>
    </row>
    <row r="873">
      <c r="A873" s="231"/>
      <c r="B873" s="231"/>
      <c r="C873" s="231"/>
      <c r="D873" s="231"/>
      <c r="E873" s="231"/>
      <c r="F873" s="231"/>
      <c r="G873" s="231"/>
      <c r="H873" s="231"/>
      <c r="I873" s="231"/>
      <c r="J873" s="231"/>
      <c r="K873" s="231"/>
      <c r="L873" s="231"/>
      <c r="M873" s="231"/>
      <c r="N873" s="231"/>
      <c r="O873" s="231"/>
      <c r="P873" s="231"/>
      <c r="Q873" s="231"/>
      <c r="R873" s="231"/>
      <c r="S873" s="231"/>
      <c r="T873" s="231"/>
      <c r="U873" s="231"/>
      <c r="V873" s="231"/>
      <c r="W873" s="231"/>
      <c r="X873" s="231"/>
      <c r="Y873" s="231"/>
      <c r="Z873" s="231"/>
    </row>
    <row r="874">
      <c r="A874" s="231"/>
      <c r="B874" s="231"/>
      <c r="C874" s="231"/>
      <c r="D874" s="231"/>
      <c r="E874" s="231"/>
      <c r="F874" s="231"/>
      <c r="G874" s="231"/>
      <c r="H874" s="231"/>
      <c r="I874" s="231"/>
      <c r="J874" s="231"/>
      <c r="K874" s="231"/>
      <c r="L874" s="231"/>
      <c r="M874" s="231"/>
      <c r="N874" s="231"/>
      <c r="O874" s="231"/>
      <c r="P874" s="231"/>
      <c r="Q874" s="231"/>
      <c r="R874" s="231"/>
      <c r="S874" s="231"/>
      <c r="T874" s="231"/>
      <c r="U874" s="231"/>
      <c r="V874" s="231"/>
      <c r="W874" s="231"/>
      <c r="X874" s="231"/>
      <c r="Y874" s="231"/>
      <c r="Z874" s="231"/>
    </row>
    <row r="875">
      <c r="A875" s="231"/>
      <c r="B875" s="231"/>
      <c r="C875" s="231"/>
      <c r="D875" s="231"/>
      <c r="E875" s="231"/>
      <c r="F875" s="231"/>
      <c r="G875" s="231"/>
      <c r="H875" s="231"/>
      <c r="I875" s="231"/>
      <c r="J875" s="231"/>
      <c r="K875" s="231"/>
      <c r="L875" s="231"/>
      <c r="M875" s="231"/>
      <c r="N875" s="231"/>
      <c r="O875" s="231"/>
      <c r="P875" s="231"/>
      <c r="Q875" s="231"/>
      <c r="R875" s="231"/>
      <c r="S875" s="231"/>
      <c r="T875" s="231"/>
      <c r="U875" s="231"/>
      <c r="V875" s="231"/>
      <c r="W875" s="231"/>
      <c r="X875" s="231"/>
      <c r="Y875" s="231"/>
      <c r="Z875" s="231"/>
    </row>
    <row r="876">
      <c r="A876" s="231"/>
      <c r="B876" s="231"/>
      <c r="C876" s="231"/>
      <c r="D876" s="231"/>
      <c r="E876" s="231"/>
      <c r="F876" s="231"/>
      <c r="G876" s="231"/>
      <c r="H876" s="231"/>
      <c r="I876" s="231"/>
      <c r="J876" s="231"/>
      <c r="K876" s="231"/>
      <c r="L876" s="231"/>
      <c r="M876" s="231"/>
      <c r="N876" s="231"/>
      <c r="O876" s="231"/>
      <c r="P876" s="231"/>
      <c r="Q876" s="231"/>
      <c r="R876" s="231"/>
      <c r="S876" s="231"/>
      <c r="T876" s="231"/>
      <c r="U876" s="231"/>
      <c r="V876" s="231"/>
      <c r="W876" s="231"/>
      <c r="X876" s="231"/>
      <c r="Y876" s="231"/>
      <c r="Z876" s="231"/>
    </row>
    <row r="877">
      <c r="A877" s="231"/>
      <c r="B877" s="231"/>
      <c r="C877" s="231"/>
      <c r="D877" s="231"/>
      <c r="E877" s="231"/>
      <c r="F877" s="231"/>
      <c r="G877" s="231"/>
      <c r="H877" s="231"/>
      <c r="I877" s="231"/>
      <c r="J877" s="231"/>
      <c r="K877" s="231"/>
      <c r="L877" s="231"/>
      <c r="M877" s="231"/>
      <c r="N877" s="231"/>
      <c r="O877" s="231"/>
      <c r="P877" s="231"/>
      <c r="Q877" s="231"/>
      <c r="R877" s="231"/>
      <c r="S877" s="231"/>
      <c r="T877" s="231"/>
      <c r="U877" s="231"/>
      <c r="V877" s="231"/>
      <c r="W877" s="231"/>
      <c r="X877" s="231"/>
      <c r="Y877" s="231"/>
      <c r="Z877" s="231"/>
    </row>
    <row r="878">
      <c r="A878" s="231"/>
      <c r="B878" s="231"/>
      <c r="C878" s="231"/>
      <c r="D878" s="231"/>
      <c r="E878" s="231"/>
      <c r="F878" s="231"/>
      <c r="G878" s="231"/>
      <c r="H878" s="231"/>
      <c r="I878" s="231"/>
      <c r="J878" s="231"/>
      <c r="K878" s="231"/>
      <c r="L878" s="231"/>
      <c r="M878" s="231"/>
      <c r="N878" s="231"/>
      <c r="O878" s="231"/>
      <c r="P878" s="231"/>
      <c r="Q878" s="231"/>
      <c r="R878" s="231"/>
      <c r="S878" s="231"/>
      <c r="T878" s="231"/>
      <c r="U878" s="231"/>
      <c r="V878" s="231"/>
      <c r="W878" s="231"/>
      <c r="X878" s="231"/>
      <c r="Y878" s="231"/>
      <c r="Z878" s="231"/>
    </row>
    <row r="879">
      <c r="A879" s="231"/>
      <c r="B879" s="231"/>
      <c r="C879" s="231"/>
      <c r="D879" s="231"/>
      <c r="E879" s="231"/>
      <c r="F879" s="231"/>
      <c r="G879" s="231"/>
      <c r="H879" s="231"/>
      <c r="I879" s="231"/>
      <c r="J879" s="231"/>
      <c r="K879" s="231"/>
      <c r="L879" s="231"/>
      <c r="M879" s="231"/>
      <c r="N879" s="231"/>
      <c r="O879" s="231"/>
      <c r="P879" s="231"/>
      <c r="Q879" s="231"/>
      <c r="R879" s="231"/>
      <c r="S879" s="231"/>
      <c r="T879" s="231"/>
      <c r="U879" s="231"/>
      <c r="V879" s="231"/>
      <c r="W879" s="231"/>
      <c r="X879" s="231"/>
      <c r="Y879" s="231"/>
      <c r="Z879" s="231"/>
    </row>
    <row r="880">
      <c r="A880" s="231"/>
      <c r="B880" s="231"/>
      <c r="C880" s="231"/>
      <c r="D880" s="231"/>
      <c r="E880" s="231"/>
      <c r="F880" s="231"/>
      <c r="G880" s="231"/>
      <c r="H880" s="231"/>
      <c r="I880" s="231"/>
      <c r="J880" s="231"/>
      <c r="K880" s="231"/>
      <c r="L880" s="231"/>
      <c r="M880" s="231"/>
      <c r="N880" s="231"/>
      <c r="O880" s="231"/>
      <c r="P880" s="231"/>
      <c r="Q880" s="231"/>
      <c r="R880" s="231"/>
      <c r="S880" s="231"/>
      <c r="T880" s="231"/>
      <c r="U880" s="231"/>
      <c r="V880" s="231"/>
      <c r="W880" s="231"/>
      <c r="X880" s="231"/>
      <c r="Y880" s="231"/>
      <c r="Z880" s="231"/>
    </row>
    <row r="881">
      <c r="A881" s="231"/>
      <c r="B881" s="231"/>
      <c r="C881" s="231"/>
      <c r="D881" s="231"/>
      <c r="E881" s="231"/>
      <c r="F881" s="231"/>
      <c r="G881" s="231"/>
      <c r="H881" s="231"/>
      <c r="I881" s="231"/>
      <c r="J881" s="231"/>
      <c r="K881" s="231"/>
      <c r="L881" s="231"/>
      <c r="M881" s="231"/>
      <c r="N881" s="231"/>
      <c r="O881" s="231"/>
      <c r="P881" s="231"/>
      <c r="Q881" s="231"/>
      <c r="R881" s="231"/>
      <c r="S881" s="231"/>
      <c r="T881" s="231"/>
      <c r="U881" s="231"/>
      <c r="V881" s="231"/>
      <c r="W881" s="231"/>
      <c r="X881" s="231"/>
      <c r="Y881" s="231"/>
      <c r="Z881" s="231"/>
    </row>
    <row r="882">
      <c r="A882" s="231"/>
      <c r="B882" s="231"/>
      <c r="C882" s="231"/>
      <c r="D882" s="231"/>
      <c r="E882" s="231"/>
      <c r="F882" s="231"/>
      <c r="G882" s="231"/>
      <c r="H882" s="231"/>
      <c r="I882" s="231"/>
      <c r="J882" s="231"/>
      <c r="K882" s="231"/>
      <c r="L882" s="231"/>
      <c r="M882" s="231"/>
      <c r="N882" s="231"/>
      <c r="O882" s="231"/>
      <c r="P882" s="231"/>
      <c r="Q882" s="231"/>
      <c r="R882" s="231"/>
      <c r="S882" s="231"/>
      <c r="T882" s="231"/>
      <c r="U882" s="231"/>
      <c r="V882" s="231"/>
      <c r="W882" s="231"/>
      <c r="X882" s="231"/>
      <c r="Y882" s="231"/>
      <c r="Z882" s="231"/>
    </row>
    <row r="883">
      <c r="A883" s="231"/>
      <c r="B883" s="231"/>
      <c r="C883" s="231"/>
      <c r="D883" s="231"/>
      <c r="E883" s="231"/>
      <c r="F883" s="231"/>
      <c r="G883" s="231"/>
      <c r="H883" s="231"/>
      <c r="I883" s="231"/>
      <c r="J883" s="231"/>
      <c r="K883" s="231"/>
      <c r="L883" s="231"/>
      <c r="M883" s="231"/>
      <c r="N883" s="231"/>
      <c r="O883" s="231"/>
      <c r="P883" s="231"/>
      <c r="Q883" s="231"/>
      <c r="R883" s="231"/>
      <c r="S883" s="231"/>
      <c r="T883" s="231"/>
      <c r="U883" s="231"/>
      <c r="V883" s="231"/>
      <c r="W883" s="231"/>
      <c r="X883" s="231"/>
      <c r="Y883" s="231"/>
      <c r="Z883" s="231"/>
    </row>
    <row r="884">
      <c r="A884" s="231"/>
      <c r="B884" s="231"/>
      <c r="C884" s="231"/>
      <c r="D884" s="231"/>
      <c r="E884" s="231"/>
      <c r="F884" s="231"/>
      <c r="G884" s="231"/>
      <c r="H884" s="231"/>
      <c r="I884" s="231"/>
      <c r="J884" s="231"/>
      <c r="K884" s="231"/>
      <c r="L884" s="231"/>
      <c r="M884" s="231"/>
      <c r="N884" s="231"/>
      <c r="O884" s="231"/>
      <c r="P884" s="231"/>
      <c r="Q884" s="231"/>
      <c r="R884" s="231"/>
      <c r="S884" s="231"/>
      <c r="T884" s="231"/>
      <c r="U884" s="231"/>
      <c r="V884" s="231"/>
      <c r="W884" s="231"/>
      <c r="X884" s="231"/>
      <c r="Y884" s="231"/>
      <c r="Z884" s="231"/>
    </row>
    <row r="885">
      <c r="A885" s="231"/>
      <c r="B885" s="231"/>
      <c r="C885" s="231"/>
      <c r="D885" s="231"/>
      <c r="E885" s="231"/>
      <c r="F885" s="231"/>
      <c r="G885" s="231"/>
      <c r="H885" s="231"/>
      <c r="I885" s="231"/>
      <c r="J885" s="231"/>
      <c r="K885" s="231"/>
      <c r="L885" s="231"/>
      <c r="M885" s="231"/>
      <c r="N885" s="231"/>
      <c r="O885" s="231"/>
      <c r="P885" s="231"/>
      <c r="Q885" s="231"/>
      <c r="R885" s="231"/>
      <c r="S885" s="231"/>
      <c r="T885" s="231"/>
      <c r="U885" s="231"/>
      <c r="V885" s="231"/>
      <c r="W885" s="231"/>
      <c r="X885" s="231"/>
      <c r="Y885" s="231"/>
      <c r="Z885" s="231"/>
    </row>
    <row r="886">
      <c r="A886" s="231"/>
      <c r="B886" s="231"/>
      <c r="C886" s="231"/>
      <c r="D886" s="231"/>
      <c r="E886" s="231"/>
      <c r="F886" s="231"/>
      <c r="G886" s="231"/>
      <c r="H886" s="231"/>
      <c r="I886" s="231"/>
      <c r="J886" s="231"/>
      <c r="K886" s="231"/>
      <c r="L886" s="231"/>
      <c r="M886" s="231"/>
      <c r="N886" s="231"/>
      <c r="O886" s="231"/>
      <c r="P886" s="231"/>
      <c r="Q886" s="231"/>
      <c r="R886" s="231"/>
      <c r="S886" s="231"/>
      <c r="T886" s="231"/>
      <c r="U886" s="231"/>
      <c r="V886" s="231"/>
      <c r="W886" s="231"/>
      <c r="X886" s="231"/>
      <c r="Y886" s="231"/>
      <c r="Z886" s="231"/>
    </row>
    <row r="887">
      <c r="A887" s="231"/>
      <c r="B887" s="231"/>
      <c r="C887" s="231"/>
      <c r="D887" s="231"/>
      <c r="E887" s="231"/>
      <c r="F887" s="231"/>
      <c r="G887" s="231"/>
      <c r="H887" s="231"/>
      <c r="I887" s="231"/>
      <c r="J887" s="231"/>
      <c r="K887" s="231"/>
      <c r="L887" s="231"/>
      <c r="M887" s="231"/>
      <c r="N887" s="231"/>
      <c r="O887" s="231"/>
      <c r="P887" s="231"/>
      <c r="Q887" s="231"/>
      <c r="R887" s="231"/>
      <c r="S887" s="231"/>
      <c r="T887" s="231"/>
      <c r="U887" s="231"/>
      <c r="V887" s="231"/>
      <c r="W887" s="231"/>
      <c r="X887" s="231"/>
      <c r="Y887" s="231"/>
      <c r="Z887" s="231"/>
    </row>
    <row r="888">
      <c r="A888" s="231"/>
      <c r="B888" s="231"/>
      <c r="C888" s="231"/>
      <c r="D888" s="231"/>
      <c r="E888" s="231"/>
      <c r="F888" s="231"/>
      <c r="G888" s="231"/>
      <c r="H888" s="231"/>
      <c r="I888" s="231"/>
      <c r="J888" s="231"/>
      <c r="K888" s="231"/>
      <c r="L888" s="231"/>
      <c r="M888" s="231"/>
      <c r="N888" s="231"/>
      <c r="O888" s="231"/>
      <c r="P888" s="231"/>
      <c r="Q888" s="231"/>
      <c r="R888" s="231"/>
      <c r="S888" s="231"/>
      <c r="T888" s="231"/>
      <c r="U888" s="231"/>
      <c r="V888" s="231"/>
      <c r="W888" s="231"/>
      <c r="X888" s="231"/>
      <c r="Y888" s="231"/>
      <c r="Z888" s="231"/>
    </row>
    <row r="889">
      <c r="A889" s="231"/>
      <c r="B889" s="231"/>
      <c r="C889" s="231"/>
      <c r="D889" s="231"/>
      <c r="E889" s="231"/>
      <c r="F889" s="231"/>
      <c r="G889" s="231"/>
      <c r="H889" s="231"/>
      <c r="I889" s="231"/>
      <c r="J889" s="231"/>
      <c r="K889" s="231"/>
      <c r="L889" s="231"/>
      <c r="M889" s="231"/>
      <c r="N889" s="231"/>
      <c r="O889" s="231"/>
      <c r="P889" s="231"/>
      <c r="Q889" s="231"/>
      <c r="R889" s="231"/>
      <c r="S889" s="231"/>
      <c r="T889" s="231"/>
      <c r="U889" s="231"/>
      <c r="V889" s="231"/>
      <c r="W889" s="231"/>
      <c r="X889" s="231"/>
      <c r="Y889" s="231"/>
      <c r="Z889" s="231"/>
    </row>
    <row r="890">
      <c r="A890" s="231"/>
      <c r="B890" s="231"/>
      <c r="C890" s="231"/>
      <c r="D890" s="231"/>
      <c r="E890" s="231"/>
      <c r="F890" s="231"/>
      <c r="G890" s="231"/>
      <c r="H890" s="231"/>
      <c r="I890" s="231"/>
      <c r="J890" s="231"/>
      <c r="K890" s="231"/>
      <c r="L890" s="231"/>
      <c r="M890" s="231"/>
      <c r="N890" s="231"/>
      <c r="O890" s="231"/>
      <c r="P890" s="231"/>
      <c r="Q890" s="231"/>
      <c r="R890" s="231"/>
      <c r="S890" s="231"/>
      <c r="T890" s="231"/>
      <c r="U890" s="231"/>
      <c r="V890" s="231"/>
      <c r="W890" s="231"/>
      <c r="X890" s="231"/>
      <c r="Y890" s="231"/>
      <c r="Z890" s="231"/>
    </row>
    <row r="891">
      <c r="A891" s="231"/>
      <c r="B891" s="231"/>
      <c r="C891" s="231"/>
      <c r="D891" s="231"/>
      <c r="E891" s="231"/>
      <c r="F891" s="231"/>
      <c r="G891" s="231"/>
      <c r="H891" s="231"/>
      <c r="I891" s="231"/>
      <c r="J891" s="231"/>
      <c r="K891" s="231"/>
      <c r="L891" s="231"/>
      <c r="M891" s="231"/>
      <c r="N891" s="231"/>
      <c r="O891" s="231"/>
      <c r="P891" s="231"/>
      <c r="Q891" s="231"/>
      <c r="R891" s="231"/>
      <c r="S891" s="231"/>
      <c r="T891" s="231"/>
      <c r="U891" s="231"/>
      <c r="V891" s="231"/>
      <c r="W891" s="231"/>
      <c r="X891" s="231"/>
      <c r="Y891" s="231"/>
      <c r="Z891" s="231"/>
    </row>
    <row r="892">
      <c r="A892" s="231"/>
      <c r="B892" s="231"/>
      <c r="C892" s="231"/>
      <c r="D892" s="231"/>
      <c r="E892" s="231"/>
      <c r="F892" s="231"/>
      <c r="G892" s="231"/>
      <c r="H892" s="231"/>
      <c r="I892" s="231"/>
      <c r="J892" s="231"/>
      <c r="K892" s="231"/>
      <c r="L892" s="231"/>
      <c r="M892" s="231"/>
      <c r="N892" s="231"/>
      <c r="O892" s="231"/>
      <c r="P892" s="231"/>
      <c r="Q892" s="231"/>
      <c r="R892" s="231"/>
      <c r="S892" s="231"/>
      <c r="T892" s="231"/>
      <c r="U892" s="231"/>
      <c r="V892" s="231"/>
      <c r="W892" s="231"/>
      <c r="X892" s="231"/>
      <c r="Y892" s="231"/>
      <c r="Z892" s="231"/>
    </row>
    <row r="893">
      <c r="A893" s="231"/>
      <c r="B893" s="231"/>
      <c r="C893" s="231"/>
      <c r="D893" s="231"/>
      <c r="E893" s="231"/>
      <c r="F893" s="231"/>
      <c r="G893" s="231"/>
      <c r="H893" s="231"/>
      <c r="I893" s="231"/>
      <c r="J893" s="231"/>
      <c r="K893" s="231"/>
      <c r="L893" s="231"/>
      <c r="M893" s="231"/>
      <c r="N893" s="231"/>
      <c r="O893" s="231"/>
      <c r="P893" s="231"/>
      <c r="Q893" s="231"/>
      <c r="R893" s="231"/>
      <c r="S893" s="231"/>
      <c r="T893" s="231"/>
      <c r="U893" s="231"/>
      <c r="V893" s="231"/>
      <c r="W893" s="231"/>
      <c r="X893" s="231"/>
      <c r="Y893" s="231"/>
      <c r="Z893" s="231"/>
    </row>
    <row r="894">
      <c r="A894" s="231"/>
      <c r="B894" s="231"/>
      <c r="C894" s="231"/>
      <c r="D894" s="231"/>
      <c r="E894" s="231"/>
      <c r="F894" s="231"/>
      <c r="G894" s="231"/>
      <c r="H894" s="231"/>
      <c r="I894" s="231"/>
      <c r="J894" s="231"/>
      <c r="K894" s="231"/>
      <c r="L894" s="231"/>
      <c r="M894" s="231"/>
      <c r="N894" s="231"/>
      <c r="O894" s="231"/>
      <c r="P894" s="231"/>
      <c r="Q894" s="231"/>
      <c r="R894" s="231"/>
      <c r="S894" s="231"/>
      <c r="T894" s="231"/>
      <c r="U894" s="231"/>
      <c r="V894" s="231"/>
      <c r="W894" s="231"/>
      <c r="X894" s="231"/>
      <c r="Y894" s="231"/>
      <c r="Z894" s="231"/>
    </row>
    <row r="895">
      <c r="A895" s="231"/>
      <c r="B895" s="231"/>
      <c r="C895" s="231"/>
      <c r="D895" s="231"/>
      <c r="E895" s="231"/>
      <c r="F895" s="231"/>
      <c r="G895" s="231"/>
      <c r="H895" s="231"/>
      <c r="I895" s="231"/>
      <c r="J895" s="231"/>
      <c r="K895" s="231"/>
      <c r="L895" s="231"/>
      <c r="M895" s="231"/>
      <c r="N895" s="231"/>
      <c r="O895" s="231"/>
      <c r="P895" s="231"/>
      <c r="Q895" s="231"/>
      <c r="R895" s="231"/>
      <c r="S895" s="231"/>
      <c r="T895" s="231"/>
      <c r="U895" s="231"/>
      <c r="V895" s="231"/>
      <c r="W895" s="231"/>
      <c r="X895" s="231"/>
      <c r="Y895" s="231"/>
      <c r="Z895" s="231"/>
    </row>
    <row r="896">
      <c r="A896" s="231"/>
      <c r="B896" s="231"/>
      <c r="C896" s="231"/>
      <c r="D896" s="231"/>
      <c r="E896" s="231"/>
      <c r="F896" s="231"/>
      <c r="G896" s="231"/>
      <c r="H896" s="231"/>
      <c r="I896" s="231"/>
      <c r="J896" s="231"/>
      <c r="K896" s="231"/>
      <c r="L896" s="231"/>
      <c r="M896" s="231"/>
      <c r="N896" s="231"/>
      <c r="O896" s="231"/>
      <c r="P896" s="231"/>
      <c r="Q896" s="231"/>
      <c r="R896" s="231"/>
      <c r="S896" s="231"/>
      <c r="T896" s="231"/>
      <c r="U896" s="231"/>
      <c r="V896" s="231"/>
      <c r="W896" s="231"/>
      <c r="X896" s="231"/>
      <c r="Y896" s="231"/>
      <c r="Z896" s="231"/>
    </row>
    <row r="897">
      <c r="A897" s="231"/>
      <c r="B897" s="231"/>
      <c r="C897" s="231"/>
      <c r="D897" s="231"/>
      <c r="E897" s="231"/>
      <c r="F897" s="231"/>
      <c r="G897" s="231"/>
      <c r="H897" s="231"/>
      <c r="I897" s="231"/>
      <c r="J897" s="231"/>
      <c r="K897" s="231"/>
      <c r="L897" s="231"/>
      <c r="M897" s="231"/>
      <c r="N897" s="231"/>
      <c r="O897" s="231"/>
      <c r="P897" s="231"/>
      <c r="Q897" s="231"/>
      <c r="R897" s="231"/>
      <c r="S897" s="231"/>
      <c r="T897" s="231"/>
      <c r="U897" s="231"/>
      <c r="V897" s="231"/>
      <c r="W897" s="231"/>
      <c r="X897" s="231"/>
      <c r="Y897" s="231"/>
      <c r="Z897" s="231"/>
    </row>
    <row r="898">
      <c r="A898" s="231"/>
      <c r="B898" s="231"/>
      <c r="C898" s="231"/>
      <c r="D898" s="231"/>
      <c r="E898" s="231"/>
      <c r="F898" s="231"/>
      <c r="G898" s="231"/>
      <c r="H898" s="231"/>
      <c r="I898" s="231"/>
      <c r="J898" s="231"/>
      <c r="K898" s="231"/>
      <c r="L898" s="231"/>
      <c r="M898" s="231"/>
      <c r="N898" s="231"/>
      <c r="O898" s="231"/>
      <c r="P898" s="231"/>
      <c r="Q898" s="231"/>
      <c r="R898" s="231"/>
      <c r="S898" s="231"/>
      <c r="T898" s="231"/>
      <c r="U898" s="231"/>
      <c r="V898" s="231"/>
      <c r="W898" s="231"/>
      <c r="X898" s="231"/>
      <c r="Y898" s="231"/>
      <c r="Z898" s="231"/>
    </row>
    <row r="899">
      <c r="A899" s="231"/>
      <c r="B899" s="231"/>
      <c r="C899" s="231"/>
      <c r="D899" s="231"/>
      <c r="E899" s="231"/>
      <c r="F899" s="231"/>
      <c r="G899" s="231"/>
      <c r="H899" s="231"/>
      <c r="I899" s="231"/>
      <c r="J899" s="231"/>
      <c r="K899" s="231"/>
      <c r="L899" s="231"/>
      <c r="M899" s="231"/>
      <c r="N899" s="231"/>
      <c r="O899" s="231"/>
      <c r="P899" s="231"/>
      <c r="Q899" s="231"/>
      <c r="R899" s="231"/>
      <c r="S899" s="231"/>
      <c r="T899" s="231"/>
      <c r="U899" s="231"/>
      <c r="V899" s="231"/>
      <c r="W899" s="231"/>
      <c r="X899" s="231"/>
      <c r="Y899" s="231"/>
      <c r="Z899" s="231"/>
    </row>
    <row r="900">
      <c r="A900" s="231"/>
      <c r="B900" s="231"/>
      <c r="C900" s="231"/>
      <c r="D900" s="231"/>
      <c r="E900" s="231"/>
      <c r="F900" s="231"/>
      <c r="G900" s="231"/>
      <c r="H900" s="231"/>
      <c r="I900" s="231"/>
      <c r="J900" s="231"/>
      <c r="K900" s="231"/>
      <c r="L900" s="231"/>
      <c r="M900" s="231"/>
      <c r="N900" s="231"/>
      <c r="O900" s="231"/>
      <c r="P900" s="231"/>
      <c r="Q900" s="231"/>
      <c r="R900" s="231"/>
      <c r="S900" s="231"/>
      <c r="T900" s="231"/>
      <c r="U900" s="231"/>
      <c r="V900" s="231"/>
      <c r="W900" s="231"/>
      <c r="X900" s="231"/>
      <c r="Y900" s="231"/>
      <c r="Z900" s="231"/>
    </row>
    <row r="901">
      <c r="A901" s="231"/>
      <c r="B901" s="231"/>
      <c r="C901" s="231"/>
      <c r="D901" s="231"/>
      <c r="E901" s="231"/>
      <c r="F901" s="231"/>
      <c r="G901" s="231"/>
      <c r="H901" s="231"/>
      <c r="I901" s="231"/>
      <c r="J901" s="231"/>
      <c r="K901" s="231"/>
      <c r="L901" s="231"/>
      <c r="M901" s="231"/>
      <c r="N901" s="231"/>
      <c r="O901" s="231"/>
      <c r="P901" s="231"/>
      <c r="Q901" s="231"/>
      <c r="R901" s="231"/>
      <c r="S901" s="231"/>
      <c r="T901" s="231"/>
      <c r="U901" s="231"/>
      <c r="V901" s="231"/>
      <c r="W901" s="231"/>
      <c r="X901" s="231"/>
      <c r="Y901" s="231"/>
      <c r="Z901" s="231"/>
    </row>
    <row r="902">
      <c r="A902" s="231"/>
      <c r="B902" s="231"/>
      <c r="C902" s="231"/>
      <c r="D902" s="231"/>
      <c r="E902" s="231"/>
      <c r="F902" s="231"/>
      <c r="G902" s="231"/>
      <c r="H902" s="231"/>
      <c r="I902" s="231"/>
      <c r="J902" s="231"/>
      <c r="K902" s="231"/>
      <c r="L902" s="231"/>
      <c r="M902" s="231"/>
      <c r="N902" s="231"/>
      <c r="O902" s="231"/>
      <c r="P902" s="231"/>
      <c r="Q902" s="231"/>
      <c r="R902" s="231"/>
      <c r="S902" s="231"/>
      <c r="T902" s="231"/>
      <c r="U902" s="231"/>
      <c r="V902" s="231"/>
      <c r="W902" s="231"/>
      <c r="X902" s="231"/>
      <c r="Y902" s="231"/>
      <c r="Z902" s="231"/>
    </row>
    <row r="903">
      <c r="A903" s="231"/>
      <c r="B903" s="231"/>
      <c r="C903" s="231"/>
      <c r="D903" s="231"/>
      <c r="E903" s="231"/>
      <c r="F903" s="231"/>
      <c r="G903" s="231"/>
      <c r="H903" s="231"/>
      <c r="I903" s="231"/>
      <c r="J903" s="231"/>
      <c r="K903" s="231"/>
      <c r="L903" s="231"/>
      <c r="M903" s="231"/>
      <c r="N903" s="231"/>
      <c r="O903" s="231"/>
      <c r="P903" s="231"/>
      <c r="Q903" s="231"/>
      <c r="R903" s="231"/>
      <c r="S903" s="231"/>
      <c r="T903" s="231"/>
      <c r="U903" s="231"/>
      <c r="V903" s="231"/>
      <c r="W903" s="231"/>
      <c r="X903" s="231"/>
      <c r="Y903" s="231"/>
      <c r="Z903" s="231"/>
    </row>
    <row r="904">
      <c r="A904" s="231"/>
      <c r="B904" s="231"/>
      <c r="C904" s="231"/>
      <c r="D904" s="231"/>
      <c r="E904" s="231"/>
      <c r="F904" s="231"/>
      <c r="G904" s="231"/>
      <c r="H904" s="231"/>
      <c r="I904" s="231"/>
      <c r="J904" s="231"/>
      <c r="K904" s="231"/>
      <c r="L904" s="231"/>
      <c r="M904" s="231"/>
      <c r="N904" s="231"/>
      <c r="O904" s="231"/>
      <c r="P904" s="231"/>
      <c r="Q904" s="231"/>
      <c r="R904" s="231"/>
      <c r="S904" s="231"/>
      <c r="T904" s="231"/>
      <c r="U904" s="231"/>
      <c r="V904" s="231"/>
      <c r="W904" s="231"/>
      <c r="X904" s="231"/>
      <c r="Y904" s="231"/>
      <c r="Z904" s="231"/>
    </row>
    <row r="905">
      <c r="A905" s="231"/>
      <c r="B905" s="231"/>
      <c r="C905" s="231"/>
      <c r="D905" s="231"/>
      <c r="E905" s="231"/>
      <c r="F905" s="231"/>
      <c r="G905" s="231"/>
      <c r="H905" s="231"/>
      <c r="I905" s="231"/>
      <c r="J905" s="231"/>
      <c r="K905" s="231"/>
      <c r="L905" s="231"/>
      <c r="M905" s="231"/>
      <c r="N905" s="231"/>
      <c r="O905" s="231"/>
      <c r="P905" s="231"/>
      <c r="Q905" s="231"/>
      <c r="R905" s="231"/>
      <c r="S905" s="231"/>
      <c r="T905" s="231"/>
      <c r="U905" s="231"/>
      <c r="V905" s="231"/>
      <c r="W905" s="231"/>
      <c r="X905" s="231"/>
      <c r="Y905" s="231"/>
      <c r="Z905" s="231"/>
    </row>
    <row r="906">
      <c r="A906" s="231"/>
      <c r="B906" s="231"/>
      <c r="C906" s="231"/>
      <c r="D906" s="231"/>
      <c r="E906" s="231"/>
      <c r="F906" s="231"/>
      <c r="G906" s="231"/>
      <c r="H906" s="231"/>
      <c r="I906" s="231"/>
      <c r="J906" s="231"/>
      <c r="K906" s="231"/>
      <c r="L906" s="231"/>
      <c r="M906" s="231"/>
      <c r="N906" s="231"/>
      <c r="O906" s="231"/>
      <c r="P906" s="231"/>
      <c r="Q906" s="231"/>
      <c r="R906" s="231"/>
      <c r="S906" s="231"/>
      <c r="T906" s="231"/>
      <c r="U906" s="231"/>
      <c r="V906" s="231"/>
      <c r="W906" s="231"/>
      <c r="X906" s="231"/>
      <c r="Y906" s="231"/>
      <c r="Z906" s="231"/>
    </row>
    <row r="907">
      <c r="A907" s="231"/>
      <c r="B907" s="231"/>
      <c r="C907" s="231"/>
      <c r="D907" s="231"/>
      <c r="E907" s="231"/>
      <c r="F907" s="231"/>
      <c r="G907" s="231"/>
      <c r="H907" s="231"/>
      <c r="I907" s="231"/>
      <c r="J907" s="231"/>
      <c r="K907" s="231"/>
      <c r="L907" s="231"/>
      <c r="M907" s="231"/>
      <c r="N907" s="231"/>
      <c r="O907" s="231"/>
      <c r="P907" s="231"/>
      <c r="Q907" s="231"/>
      <c r="R907" s="231"/>
      <c r="S907" s="231"/>
      <c r="T907" s="231"/>
      <c r="U907" s="231"/>
      <c r="V907" s="231"/>
      <c r="W907" s="231"/>
      <c r="X907" s="231"/>
      <c r="Y907" s="231"/>
      <c r="Z907" s="231"/>
    </row>
    <row r="908">
      <c r="A908" s="231"/>
      <c r="B908" s="231"/>
      <c r="C908" s="231"/>
      <c r="D908" s="231"/>
      <c r="E908" s="231"/>
      <c r="F908" s="231"/>
      <c r="G908" s="231"/>
      <c r="H908" s="231"/>
      <c r="I908" s="231"/>
      <c r="J908" s="231"/>
      <c r="K908" s="231"/>
      <c r="L908" s="231"/>
      <c r="M908" s="231"/>
      <c r="N908" s="231"/>
      <c r="O908" s="231"/>
      <c r="P908" s="231"/>
      <c r="Q908" s="231"/>
      <c r="R908" s="231"/>
      <c r="S908" s="231"/>
      <c r="T908" s="231"/>
      <c r="U908" s="231"/>
      <c r="V908" s="231"/>
      <c r="W908" s="231"/>
      <c r="X908" s="231"/>
      <c r="Y908" s="231"/>
      <c r="Z908" s="231"/>
    </row>
    <row r="909">
      <c r="A909" s="231"/>
      <c r="B909" s="231"/>
      <c r="C909" s="231"/>
      <c r="D909" s="231"/>
      <c r="E909" s="231"/>
      <c r="F909" s="231"/>
      <c r="G909" s="231"/>
      <c r="H909" s="231"/>
      <c r="I909" s="231"/>
      <c r="J909" s="231"/>
      <c r="K909" s="231"/>
      <c r="L909" s="231"/>
      <c r="M909" s="231"/>
      <c r="N909" s="231"/>
      <c r="O909" s="231"/>
      <c r="P909" s="231"/>
      <c r="Q909" s="231"/>
      <c r="R909" s="231"/>
      <c r="S909" s="231"/>
      <c r="T909" s="231"/>
      <c r="U909" s="231"/>
      <c r="V909" s="231"/>
      <c r="W909" s="231"/>
      <c r="X909" s="231"/>
      <c r="Y909" s="231"/>
      <c r="Z909" s="231"/>
    </row>
    <row r="910">
      <c r="A910" s="231"/>
      <c r="B910" s="231"/>
      <c r="C910" s="231"/>
      <c r="D910" s="231"/>
      <c r="E910" s="231"/>
      <c r="F910" s="231"/>
      <c r="G910" s="231"/>
      <c r="H910" s="231"/>
      <c r="I910" s="231"/>
      <c r="J910" s="231"/>
      <c r="K910" s="231"/>
      <c r="L910" s="231"/>
      <c r="M910" s="231"/>
      <c r="N910" s="231"/>
      <c r="O910" s="231"/>
      <c r="P910" s="231"/>
      <c r="Q910" s="231"/>
      <c r="R910" s="231"/>
      <c r="S910" s="231"/>
      <c r="T910" s="231"/>
      <c r="U910" s="231"/>
      <c r="V910" s="231"/>
      <c r="W910" s="231"/>
      <c r="X910" s="231"/>
      <c r="Y910" s="231"/>
      <c r="Z910" s="231"/>
    </row>
    <row r="911">
      <c r="A911" s="231"/>
      <c r="B911" s="231"/>
      <c r="C911" s="231"/>
      <c r="D911" s="231"/>
      <c r="E911" s="231"/>
      <c r="F911" s="231"/>
      <c r="G911" s="231"/>
      <c r="H911" s="231"/>
      <c r="I911" s="231"/>
      <c r="J911" s="231"/>
      <c r="K911" s="231"/>
      <c r="L911" s="231"/>
      <c r="M911" s="231"/>
      <c r="N911" s="231"/>
      <c r="O911" s="231"/>
      <c r="P911" s="231"/>
      <c r="Q911" s="231"/>
      <c r="R911" s="231"/>
      <c r="S911" s="231"/>
      <c r="T911" s="231"/>
      <c r="U911" s="231"/>
      <c r="V911" s="231"/>
      <c r="W911" s="231"/>
      <c r="X911" s="231"/>
      <c r="Y911" s="231"/>
      <c r="Z911" s="231"/>
    </row>
    <row r="912">
      <c r="A912" s="231"/>
      <c r="B912" s="231"/>
      <c r="C912" s="231"/>
      <c r="D912" s="231"/>
      <c r="E912" s="231"/>
      <c r="F912" s="231"/>
      <c r="G912" s="231"/>
      <c r="H912" s="231"/>
      <c r="I912" s="231"/>
      <c r="J912" s="231"/>
      <c r="K912" s="231"/>
      <c r="L912" s="231"/>
      <c r="M912" s="231"/>
      <c r="N912" s="231"/>
      <c r="O912" s="231"/>
      <c r="P912" s="231"/>
      <c r="Q912" s="231"/>
      <c r="R912" s="231"/>
      <c r="S912" s="231"/>
      <c r="T912" s="231"/>
      <c r="U912" s="231"/>
      <c r="V912" s="231"/>
      <c r="W912" s="231"/>
      <c r="X912" s="231"/>
      <c r="Y912" s="231"/>
      <c r="Z912" s="231"/>
    </row>
    <row r="913">
      <c r="A913" s="231"/>
      <c r="B913" s="231"/>
      <c r="C913" s="231"/>
      <c r="D913" s="231"/>
      <c r="E913" s="231"/>
      <c r="F913" s="231"/>
      <c r="G913" s="231"/>
      <c r="H913" s="231"/>
      <c r="I913" s="231"/>
      <c r="J913" s="231"/>
      <c r="K913" s="231"/>
      <c r="L913" s="231"/>
      <c r="M913" s="231"/>
      <c r="N913" s="231"/>
      <c r="O913" s="231"/>
      <c r="P913" s="231"/>
      <c r="Q913" s="231"/>
      <c r="R913" s="231"/>
      <c r="S913" s="231"/>
      <c r="T913" s="231"/>
      <c r="U913" s="231"/>
      <c r="V913" s="231"/>
      <c r="W913" s="231"/>
      <c r="X913" s="231"/>
      <c r="Y913" s="231"/>
      <c r="Z913" s="231"/>
    </row>
    <row r="914">
      <c r="A914" s="231"/>
      <c r="B914" s="231"/>
      <c r="C914" s="231"/>
      <c r="D914" s="231"/>
      <c r="E914" s="231"/>
      <c r="F914" s="231"/>
      <c r="G914" s="231"/>
      <c r="H914" s="231"/>
      <c r="I914" s="231"/>
      <c r="J914" s="231"/>
      <c r="K914" s="231"/>
      <c r="L914" s="231"/>
      <c r="M914" s="231"/>
      <c r="N914" s="231"/>
      <c r="O914" s="231"/>
      <c r="P914" s="231"/>
      <c r="Q914" s="231"/>
      <c r="R914" s="231"/>
      <c r="S914" s="231"/>
      <c r="T914" s="231"/>
      <c r="U914" s="231"/>
      <c r="V914" s="231"/>
      <c r="W914" s="231"/>
      <c r="X914" s="231"/>
      <c r="Y914" s="231"/>
      <c r="Z914" s="231"/>
    </row>
    <row r="915">
      <c r="A915" s="231"/>
      <c r="B915" s="231"/>
      <c r="C915" s="231"/>
      <c r="D915" s="231"/>
      <c r="E915" s="231"/>
      <c r="F915" s="231"/>
      <c r="G915" s="231"/>
      <c r="H915" s="231"/>
      <c r="I915" s="231"/>
      <c r="J915" s="231"/>
      <c r="K915" s="231"/>
      <c r="L915" s="231"/>
      <c r="M915" s="231"/>
      <c r="N915" s="231"/>
      <c r="O915" s="231"/>
      <c r="P915" s="231"/>
      <c r="Q915" s="231"/>
      <c r="R915" s="231"/>
      <c r="S915" s="231"/>
      <c r="T915" s="231"/>
      <c r="U915" s="231"/>
      <c r="V915" s="231"/>
      <c r="W915" s="231"/>
      <c r="X915" s="231"/>
      <c r="Y915" s="231"/>
      <c r="Z915" s="231"/>
    </row>
    <row r="916">
      <c r="A916" s="231"/>
      <c r="B916" s="231"/>
      <c r="C916" s="231"/>
      <c r="D916" s="231"/>
      <c r="E916" s="231"/>
      <c r="F916" s="231"/>
      <c r="G916" s="231"/>
      <c r="H916" s="231"/>
      <c r="I916" s="231"/>
      <c r="J916" s="231"/>
      <c r="K916" s="231"/>
      <c r="L916" s="231"/>
      <c r="M916" s="231"/>
      <c r="N916" s="231"/>
      <c r="O916" s="231"/>
      <c r="P916" s="231"/>
      <c r="Q916" s="231"/>
      <c r="R916" s="231"/>
      <c r="S916" s="231"/>
      <c r="T916" s="231"/>
      <c r="U916" s="231"/>
      <c r="V916" s="231"/>
      <c r="W916" s="231"/>
      <c r="X916" s="231"/>
      <c r="Y916" s="231"/>
      <c r="Z916" s="231"/>
    </row>
    <row r="917">
      <c r="A917" s="231"/>
      <c r="B917" s="231"/>
      <c r="C917" s="231"/>
      <c r="D917" s="231"/>
      <c r="E917" s="231"/>
      <c r="F917" s="231"/>
      <c r="G917" s="231"/>
      <c r="H917" s="231"/>
      <c r="I917" s="231"/>
      <c r="J917" s="231"/>
      <c r="K917" s="231"/>
      <c r="L917" s="231"/>
      <c r="M917" s="231"/>
      <c r="N917" s="231"/>
      <c r="O917" s="231"/>
      <c r="P917" s="231"/>
      <c r="Q917" s="231"/>
      <c r="R917" s="231"/>
      <c r="S917" s="231"/>
      <c r="T917" s="231"/>
      <c r="U917" s="231"/>
      <c r="V917" s="231"/>
      <c r="W917" s="231"/>
      <c r="X917" s="231"/>
      <c r="Y917" s="231"/>
      <c r="Z917" s="231"/>
    </row>
    <row r="918">
      <c r="A918" s="231"/>
      <c r="B918" s="231"/>
      <c r="C918" s="231"/>
      <c r="D918" s="231"/>
      <c r="E918" s="231"/>
      <c r="F918" s="231"/>
      <c r="G918" s="231"/>
      <c r="H918" s="231"/>
      <c r="I918" s="231"/>
      <c r="J918" s="231"/>
      <c r="K918" s="231"/>
      <c r="L918" s="231"/>
      <c r="M918" s="231"/>
      <c r="N918" s="231"/>
      <c r="O918" s="231"/>
      <c r="P918" s="231"/>
      <c r="Q918" s="231"/>
      <c r="R918" s="231"/>
      <c r="S918" s="231"/>
      <c r="T918" s="231"/>
      <c r="U918" s="231"/>
      <c r="V918" s="231"/>
      <c r="W918" s="231"/>
      <c r="X918" s="231"/>
      <c r="Y918" s="231"/>
      <c r="Z918" s="231"/>
    </row>
    <row r="919">
      <c r="A919" s="231"/>
      <c r="B919" s="231"/>
      <c r="C919" s="231"/>
      <c r="D919" s="231"/>
      <c r="E919" s="231"/>
      <c r="F919" s="231"/>
      <c r="G919" s="231"/>
      <c r="H919" s="231"/>
      <c r="I919" s="231"/>
      <c r="J919" s="231"/>
      <c r="K919" s="231"/>
      <c r="L919" s="231"/>
      <c r="M919" s="231"/>
      <c r="N919" s="231"/>
      <c r="O919" s="231"/>
      <c r="P919" s="231"/>
      <c r="Q919" s="231"/>
      <c r="R919" s="231"/>
      <c r="S919" s="231"/>
      <c r="T919" s="231"/>
      <c r="U919" s="231"/>
      <c r="V919" s="231"/>
      <c r="W919" s="231"/>
      <c r="X919" s="231"/>
      <c r="Y919" s="231"/>
      <c r="Z919" s="231"/>
    </row>
    <row r="920">
      <c r="A920" s="231"/>
      <c r="B920" s="231"/>
      <c r="C920" s="231"/>
      <c r="D920" s="231"/>
      <c r="E920" s="231"/>
      <c r="F920" s="231"/>
      <c r="G920" s="231"/>
      <c r="H920" s="231"/>
      <c r="I920" s="231"/>
      <c r="J920" s="231"/>
      <c r="K920" s="231"/>
      <c r="L920" s="231"/>
      <c r="M920" s="231"/>
      <c r="N920" s="231"/>
      <c r="O920" s="231"/>
      <c r="P920" s="231"/>
      <c r="Q920" s="231"/>
      <c r="R920" s="231"/>
      <c r="S920" s="231"/>
      <c r="T920" s="231"/>
      <c r="U920" s="231"/>
      <c r="V920" s="231"/>
      <c r="W920" s="231"/>
      <c r="X920" s="231"/>
      <c r="Y920" s="231"/>
      <c r="Z920" s="231"/>
    </row>
    <row r="921">
      <c r="A921" s="231"/>
      <c r="B921" s="231"/>
      <c r="C921" s="231"/>
      <c r="D921" s="231"/>
      <c r="E921" s="231"/>
      <c r="F921" s="231"/>
      <c r="G921" s="231"/>
      <c r="H921" s="231"/>
      <c r="I921" s="231"/>
      <c r="J921" s="231"/>
      <c r="K921" s="231"/>
      <c r="L921" s="231"/>
      <c r="M921" s="231"/>
      <c r="N921" s="231"/>
      <c r="O921" s="231"/>
      <c r="P921" s="231"/>
      <c r="Q921" s="231"/>
      <c r="R921" s="231"/>
      <c r="S921" s="231"/>
      <c r="T921" s="231"/>
      <c r="U921" s="231"/>
      <c r="V921" s="231"/>
      <c r="W921" s="231"/>
      <c r="X921" s="231"/>
      <c r="Y921" s="231"/>
      <c r="Z921" s="231"/>
    </row>
    <row r="922">
      <c r="A922" s="231"/>
      <c r="B922" s="231"/>
      <c r="C922" s="231"/>
      <c r="D922" s="231"/>
      <c r="E922" s="231"/>
      <c r="F922" s="231"/>
      <c r="G922" s="231"/>
      <c r="H922" s="231"/>
      <c r="I922" s="231"/>
      <c r="J922" s="231"/>
      <c r="K922" s="231"/>
      <c r="L922" s="231"/>
      <c r="M922" s="231"/>
      <c r="N922" s="231"/>
      <c r="O922" s="231"/>
      <c r="P922" s="231"/>
      <c r="Q922" s="231"/>
      <c r="R922" s="231"/>
      <c r="S922" s="231"/>
      <c r="T922" s="231"/>
      <c r="U922" s="231"/>
      <c r="V922" s="231"/>
      <c r="W922" s="231"/>
      <c r="X922" s="231"/>
      <c r="Y922" s="231"/>
      <c r="Z922" s="231"/>
    </row>
    <row r="923">
      <c r="A923" s="231"/>
      <c r="B923" s="231"/>
      <c r="C923" s="231"/>
      <c r="D923" s="231"/>
      <c r="E923" s="231"/>
      <c r="F923" s="231"/>
      <c r="G923" s="231"/>
      <c r="H923" s="231"/>
      <c r="I923" s="231"/>
      <c r="J923" s="231"/>
      <c r="K923" s="231"/>
      <c r="L923" s="231"/>
      <c r="M923" s="231"/>
      <c r="N923" s="231"/>
      <c r="O923" s="231"/>
      <c r="P923" s="231"/>
      <c r="Q923" s="231"/>
      <c r="R923" s="231"/>
      <c r="S923" s="231"/>
      <c r="T923" s="231"/>
      <c r="U923" s="231"/>
      <c r="V923" s="231"/>
      <c r="W923" s="231"/>
      <c r="X923" s="231"/>
      <c r="Y923" s="231"/>
      <c r="Z923" s="231"/>
    </row>
    <row r="924">
      <c r="A924" s="231"/>
      <c r="B924" s="231"/>
      <c r="C924" s="231"/>
      <c r="D924" s="231"/>
      <c r="E924" s="231"/>
      <c r="F924" s="231"/>
      <c r="G924" s="231"/>
      <c r="H924" s="231"/>
      <c r="I924" s="231"/>
      <c r="J924" s="231"/>
      <c r="K924" s="231"/>
      <c r="L924" s="231"/>
      <c r="M924" s="231"/>
      <c r="N924" s="231"/>
      <c r="O924" s="231"/>
      <c r="P924" s="231"/>
      <c r="Q924" s="231"/>
      <c r="R924" s="231"/>
      <c r="S924" s="231"/>
      <c r="T924" s="231"/>
      <c r="U924" s="231"/>
      <c r="V924" s="231"/>
      <c r="W924" s="231"/>
      <c r="X924" s="231"/>
      <c r="Y924" s="231"/>
      <c r="Z924" s="231"/>
    </row>
    <row r="925">
      <c r="A925" s="231"/>
      <c r="B925" s="231"/>
      <c r="C925" s="231"/>
      <c r="D925" s="231"/>
      <c r="E925" s="231"/>
      <c r="F925" s="231"/>
      <c r="G925" s="231"/>
      <c r="H925" s="231"/>
      <c r="I925" s="231"/>
      <c r="J925" s="231"/>
      <c r="K925" s="231"/>
      <c r="L925" s="231"/>
      <c r="M925" s="231"/>
      <c r="N925" s="231"/>
      <c r="O925" s="231"/>
      <c r="P925" s="231"/>
      <c r="Q925" s="231"/>
      <c r="R925" s="231"/>
      <c r="S925" s="231"/>
      <c r="T925" s="231"/>
      <c r="U925" s="231"/>
      <c r="V925" s="231"/>
      <c r="W925" s="231"/>
      <c r="X925" s="231"/>
      <c r="Y925" s="231"/>
      <c r="Z925" s="231"/>
    </row>
    <row r="926">
      <c r="A926" s="231"/>
      <c r="B926" s="231"/>
      <c r="C926" s="231"/>
      <c r="D926" s="231"/>
      <c r="E926" s="231"/>
      <c r="F926" s="231"/>
      <c r="G926" s="231"/>
      <c r="H926" s="231"/>
      <c r="I926" s="231"/>
      <c r="J926" s="231"/>
      <c r="K926" s="231"/>
      <c r="L926" s="231"/>
      <c r="M926" s="231"/>
      <c r="N926" s="231"/>
      <c r="O926" s="231"/>
      <c r="P926" s="231"/>
      <c r="Q926" s="231"/>
      <c r="R926" s="231"/>
      <c r="S926" s="231"/>
      <c r="T926" s="231"/>
      <c r="U926" s="231"/>
      <c r="V926" s="231"/>
      <c r="W926" s="231"/>
      <c r="X926" s="231"/>
      <c r="Y926" s="231"/>
      <c r="Z926" s="231"/>
    </row>
    <row r="927">
      <c r="A927" s="231"/>
      <c r="B927" s="231"/>
      <c r="C927" s="231"/>
      <c r="D927" s="231"/>
      <c r="E927" s="231"/>
      <c r="F927" s="231"/>
      <c r="G927" s="231"/>
      <c r="H927" s="231"/>
      <c r="I927" s="231"/>
      <c r="J927" s="231"/>
      <c r="K927" s="231"/>
      <c r="L927" s="231"/>
      <c r="M927" s="231"/>
      <c r="N927" s="231"/>
      <c r="O927" s="231"/>
      <c r="P927" s="231"/>
      <c r="Q927" s="231"/>
      <c r="R927" s="231"/>
      <c r="S927" s="231"/>
      <c r="T927" s="231"/>
      <c r="U927" s="231"/>
      <c r="V927" s="231"/>
      <c r="W927" s="231"/>
      <c r="X927" s="231"/>
      <c r="Y927" s="231"/>
      <c r="Z927" s="231"/>
    </row>
    <row r="928">
      <c r="A928" s="231"/>
      <c r="B928" s="231"/>
      <c r="C928" s="231"/>
      <c r="D928" s="231"/>
      <c r="E928" s="231"/>
      <c r="F928" s="231"/>
      <c r="G928" s="231"/>
      <c r="H928" s="231"/>
      <c r="I928" s="231"/>
      <c r="J928" s="231"/>
      <c r="K928" s="231"/>
      <c r="L928" s="231"/>
      <c r="M928" s="231"/>
      <c r="N928" s="231"/>
      <c r="O928" s="231"/>
      <c r="P928" s="231"/>
      <c r="Q928" s="231"/>
      <c r="R928" s="231"/>
      <c r="S928" s="231"/>
      <c r="T928" s="231"/>
      <c r="U928" s="231"/>
      <c r="V928" s="231"/>
      <c r="W928" s="231"/>
      <c r="X928" s="231"/>
      <c r="Y928" s="231"/>
      <c r="Z928" s="231"/>
    </row>
    <row r="929">
      <c r="A929" s="231"/>
      <c r="B929" s="231"/>
      <c r="C929" s="231"/>
      <c r="D929" s="231"/>
      <c r="E929" s="231"/>
      <c r="F929" s="231"/>
      <c r="G929" s="231"/>
      <c r="H929" s="231"/>
      <c r="I929" s="231"/>
      <c r="J929" s="231"/>
      <c r="K929" s="231"/>
      <c r="L929" s="231"/>
      <c r="M929" s="231"/>
      <c r="N929" s="231"/>
      <c r="O929" s="231"/>
      <c r="P929" s="231"/>
      <c r="Q929" s="231"/>
      <c r="R929" s="231"/>
      <c r="S929" s="231"/>
      <c r="T929" s="231"/>
      <c r="U929" s="231"/>
      <c r="V929" s="231"/>
      <c r="W929" s="231"/>
      <c r="X929" s="231"/>
      <c r="Y929" s="231"/>
      <c r="Z929" s="231"/>
    </row>
    <row r="930">
      <c r="A930" s="231"/>
      <c r="B930" s="231"/>
      <c r="C930" s="231"/>
      <c r="D930" s="231"/>
      <c r="E930" s="231"/>
      <c r="F930" s="231"/>
      <c r="G930" s="231"/>
      <c r="H930" s="231"/>
      <c r="I930" s="231"/>
      <c r="J930" s="231"/>
      <c r="K930" s="231"/>
      <c r="L930" s="231"/>
      <c r="M930" s="231"/>
      <c r="N930" s="231"/>
      <c r="O930" s="231"/>
      <c r="P930" s="231"/>
      <c r="Q930" s="231"/>
      <c r="R930" s="231"/>
      <c r="S930" s="231"/>
      <c r="T930" s="231"/>
      <c r="U930" s="231"/>
      <c r="V930" s="231"/>
      <c r="W930" s="231"/>
      <c r="X930" s="231"/>
      <c r="Y930" s="231"/>
      <c r="Z930" s="231"/>
    </row>
    <row r="931">
      <c r="A931" s="231"/>
      <c r="B931" s="231"/>
      <c r="C931" s="231"/>
      <c r="D931" s="231"/>
      <c r="E931" s="231"/>
      <c r="F931" s="231"/>
      <c r="G931" s="231"/>
      <c r="H931" s="231"/>
      <c r="I931" s="231"/>
      <c r="J931" s="231"/>
      <c r="K931" s="231"/>
      <c r="L931" s="231"/>
      <c r="M931" s="231"/>
      <c r="N931" s="231"/>
      <c r="O931" s="231"/>
      <c r="P931" s="231"/>
      <c r="Q931" s="231"/>
      <c r="R931" s="231"/>
      <c r="S931" s="231"/>
      <c r="T931" s="231"/>
      <c r="U931" s="231"/>
      <c r="V931" s="231"/>
      <c r="W931" s="231"/>
      <c r="X931" s="231"/>
      <c r="Y931" s="231"/>
      <c r="Z931" s="231"/>
    </row>
    <row r="932">
      <c r="A932" s="231"/>
      <c r="B932" s="231"/>
      <c r="C932" s="231"/>
      <c r="D932" s="231"/>
      <c r="E932" s="231"/>
      <c r="F932" s="231"/>
      <c r="G932" s="231"/>
      <c r="H932" s="231"/>
      <c r="I932" s="231"/>
      <c r="J932" s="231"/>
      <c r="K932" s="231"/>
      <c r="L932" s="231"/>
      <c r="M932" s="231"/>
      <c r="N932" s="231"/>
      <c r="O932" s="231"/>
      <c r="P932" s="231"/>
      <c r="Q932" s="231"/>
      <c r="R932" s="231"/>
      <c r="S932" s="231"/>
      <c r="T932" s="231"/>
      <c r="U932" s="231"/>
      <c r="V932" s="231"/>
      <c r="W932" s="231"/>
      <c r="X932" s="231"/>
      <c r="Y932" s="231"/>
      <c r="Z932" s="231"/>
    </row>
    <row r="933">
      <c r="A933" s="231"/>
      <c r="B933" s="231"/>
      <c r="C933" s="231"/>
      <c r="D933" s="231"/>
      <c r="E933" s="231"/>
      <c r="F933" s="231"/>
      <c r="G933" s="231"/>
      <c r="H933" s="231"/>
      <c r="I933" s="231"/>
      <c r="J933" s="231"/>
      <c r="K933" s="231"/>
      <c r="L933" s="231"/>
      <c r="M933" s="231"/>
      <c r="N933" s="231"/>
      <c r="O933" s="231"/>
      <c r="P933" s="231"/>
      <c r="Q933" s="231"/>
      <c r="R933" s="231"/>
      <c r="S933" s="231"/>
      <c r="T933" s="231"/>
      <c r="U933" s="231"/>
      <c r="V933" s="231"/>
      <c r="W933" s="231"/>
      <c r="X933" s="231"/>
      <c r="Y933" s="231"/>
      <c r="Z933" s="231"/>
    </row>
    <row r="934">
      <c r="A934" s="231"/>
      <c r="B934" s="231"/>
      <c r="C934" s="231"/>
      <c r="D934" s="231"/>
      <c r="E934" s="231"/>
      <c r="F934" s="231"/>
      <c r="G934" s="231"/>
      <c r="H934" s="231"/>
      <c r="I934" s="231"/>
      <c r="J934" s="231"/>
      <c r="K934" s="231"/>
      <c r="L934" s="231"/>
      <c r="M934" s="231"/>
      <c r="N934" s="231"/>
      <c r="O934" s="231"/>
      <c r="P934" s="231"/>
      <c r="Q934" s="231"/>
      <c r="R934" s="231"/>
      <c r="S934" s="231"/>
      <c r="T934" s="231"/>
      <c r="U934" s="231"/>
      <c r="V934" s="231"/>
      <c r="W934" s="231"/>
      <c r="X934" s="231"/>
      <c r="Y934" s="231"/>
      <c r="Z934" s="231"/>
    </row>
    <row r="935">
      <c r="A935" s="231"/>
      <c r="B935" s="231"/>
      <c r="C935" s="231"/>
      <c r="D935" s="231"/>
      <c r="E935" s="231"/>
      <c r="F935" s="231"/>
      <c r="G935" s="231"/>
      <c r="H935" s="231"/>
      <c r="I935" s="231"/>
      <c r="J935" s="231"/>
      <c r="K935" s="231"/>
      <c r="L935" s="231"/>
      <c r="M935" s="231"/>
      <c r="N935" s="231"/>
      <c r="O935" s="231"/>
      <c r="P935" s="231"/>
      <c r="Q935" s="231"/>
      <c r="R935" s="231"/>
      <c r="S935" s="231"/>
      <c r="T935" s="231"/>
      <c r="U935" s="231"/>
      <c r="V935" s="231"/>
      <c r="W935" s="231"/>
      <c r="X935" s="231"/>
      <c r="Y935" s="231"/>
      <c r="Z935" s="231"/>
    </row>
    <row r="936">
      <c r="A936" s="231"/>
      <c r="B936" s="231"/>
      <c r="C936" s="231"/>
      <c r="D936" s="231"/>
      <c r="E936" s="231"/>
      <c r="F936" s="231"/>
      <c r="G936" s="231"/>
      <c r="H936" s="231"/>
      <c r="I936" s="231"/>
      <c r="J936" s="231"/>
      <c r="K936" s="231"/>
      <c r="L936" s="231"/>
      <c r="M936" s="231"/>
      <c r="N936" s="231"/>
      <c r="O936" s="231"/>
      <c r="P936" s="231"/>
      <c r="Q936" s="231"/>
      <c r="R936" s="231"/>
      <c r="S936" s="231"/>
      <c r="T936" s="231"/>
      <c r="U936" s="231"/>
      <c r="V936" s="231"/>
      <c r="W936" s="231"/>
      <c r="X936" s="231"/>
      <c r="Y936" s="231"/>
      <c r="Z936" s="231"/>
    </row>
    <row r="937">
      <c r="A937" s="231"/>
      <c r="B937" s="231"/>
      <c r="C937" s="231"/>
      <c r="D937" s="231"/>
      <c r="E937" s="231"/>
      <c r="F937" s="231"/>
      <c r="G937" s="231"/>
      <c r="H937" s="231"/>
      <c r="I937" s="231"/>
      <c r="J937" s="231"/>
      <c r="K937" s="231"/>
      <c r="L937" s="231"/>
      <c r="M937" s="231"/>
      <c r="N937" s="231"/>
      <c r="O937" s="231"/>
      <c r="P937" s="231"/>
      <c r="Q937" s="231"/>
      <c r="R937" s="231"/>
      <c r="S937" s="231"/>
      <c r="T937" s="231"/>
      <c r="U937" s="231"/>
      <c r="V937" s="231"/>
      <c r="W937" s="231"/>
      <c r="X937" s="231"/>
      <c r="Y937" s="231"/>
      <c r="Z937" s="231"/>
    </row>
    <row r="938">
      <c r="A938" s="231"/>
      <c r="B938" s="231"/>
      <c r="C938" s="231"/>
      <c r="D938" s="231"/>
      <c r="E938" s="231"/>
      <c r="F938" s="231"/>
      <c r="G938" s="231"/>
      <c r="H938" s="231"/>
      <c r="I938" s="231"/>
      <c r="J938" s="231"/>
      <c r="K938" s="231"/>
      <c r="L938" s="231"/>
      <c r="M938" s="231"/>
      <c r="N938" s="231"/>
      <c r="O938" s="231"/>
      <c r="P938" s="231"/>
      <c r="Q938" s="231"/>
      <c r="R938" s="231"/>
      <c r="S938" s="231"/>
      <c r="T938" s="231"/>
      <c r="U938" s="231"/>
      <c r="V938" s="231"/>
      <c r="W938" s="231"/>
      <c r="X938" s="231"/>
      <c r="Y938" s="231"/>
      <c r="Z938" s="231"/>
    </row>
    <row r="939">
      <c r="A939" s="231"/>
      <c r="B939" s="231"/>
      <c r="C939" s="231"/>
      <c r="D939" s="231"/>
      <c r="E939" s="231"/>
      <c r="F939" s="231"/>
      <c r="G939" s="231"/>
      <c r="H939" s="231"/>
      <c r="I939" s="231"/>
      <c r="J939" s="231"/>
      <c r="K939" s="231"/>
      <c r="L939" s="231"/>
      <c r="M939" s="231"/>
      <c r="N939" s="231"/>
      <c r="O939" s="231"/>
      <c r="P939" s="231"/>
      <c r="Q939" s="231"/>
      <c r="R939" s="231"/>
      <c r="S939" s="231"/>
      <c r="T939" s="231"/>
      <c r="U939" s="231"/>
      <c r="V939" s="231"/>
      <c r="W939" s="231"/>
      <c r="X939" s="231"/>
      <c r="Y939" s="231"/>
      <c r="Z939" s="231"/>
    </row>
    <row r="940">
      <c r="A940" s="231"/>
      <c r="B940" s="231"/>
      <c r="C940" s="231"/>
      <c r="D940" s="231"/>
      <c r="E940" s="231"/>
      <c r="F940" s="231"/>
      <c r="G940" s="231"/>
      <c r="H940" s="231"/>
      <c r="I940" s="231"/>
      <c r="J940" s="231"/>
      <c r="K940" s="231"/>
      <c r="L940" s="231"/>
      <c r="M940" s="231"/>
      <c r="N940" s="231"/>
      <c r="O940" s="231"/>
      <c r="P940" s="231"/>
      <c r="Q940" s="231"/>
      <c r="R940" s="231"/>
      <c r="S940" s="231"/>
      <c r="T940" s="231"/>
      <c r="U940" s="231"/>
      <c r="V940" s="231"/>
      <c r="W940" s="231"/>
      <c r="X940" s="231"/>
      <c r="Y940" s="231"/>
      <c r="Z940" s="231"/>
    </row>
    <row r="941">
      <c r="A941" s="231"/>
      <c r="B941" s="231"/>
      <c r="C941" s="231"/>
      <c r="D941" s="231"/>
      <c r="E941" s="231"/>
      <c r="F941" s="231"/>
      <c r="G941" s="231"/>
      <c r="H941" s="231"/>
      <c r="I941" s="231"/>
      <c r="J941" s="231"/>
      <c r="K941" s="231"/>
      <c r="L941" s="231"/>
      <c r="M941" s="231"/>
      <c r="N941" s="231"/>
      <c r="O941" s="231"/>
      <c r="P941" s="231"/>
      <c r="Q941" s="231"/>
      <c r="R941" s="231"/>
      <c r="S941" s="231"/>
      <c r="T941" s="231"/>
      <c r="U941" s="231"/>
      <c r="V941" s="231"/>
      <c r="W941" s="231"/>
      <c r="X941" s="231"/>
      <c r="Y941" s="231"/>
      <c r="Z941" s="231"/>
    </row>
    <row r="942">
      <c r="A942" s="231"/>
      <c r="B942" s="231"/>
      <c r="C942" s="231"/>
      <c r="D942" s="231"/>
      <c r="E942" s="231"/>
      <c r="F942" s="231"/>
      <c r="G942" s="231"/>
      <c r="H942" s="231"/>
      <c r="I942" s="231"/>
      <c r="J942" s="231"/>
      <c r="K942" s="231"/>
      <c r="L942" s="231"/>
      <c r="M942" s="231"/>
      <c r="N942" s="231"/>
      <c r="O942" s="231"/>
      <c r="P942" s="231"/>
      <c r="Q942" s="231"/>
      <c r="R942" s="231"/>
      <c r="S942" s="231"/>
      <c r="T942" s="231"/>
      <c r="U942" s="231"/>
      <c r="V942" s="231"/>
      <c r="W942" s="231"/>
      <c r="X942" s="231"/>
      <c r="Y942" s="231"/>
      <c r="Z942" s="231"/>
    </row>
    <row r="943">
      <c r="A943" s="231"/>
      <c r="B943" s="231"/>
      <c r="C943" s="231"/>
      <c r="D943" s="231"/>
      <c r="E943" s="231"/>
      <c r="F943" s="231"/>
      <c r="G943" s="231"/>
      <c r="H943" s="231"/>
      <c r="I943" s="231"/>
      <c r="J943" s="231"/>
      <c r="K943" s="231"/>
      <c r="L943" s="231"/>
      <c r="M943" s="231"/>
      <c r="N943" s="231"/>
      <c r="O943" s="231"/>
      <c r="P943" s="231"/>
      <c r="Q943" s="231"/>
      <c r="R943" s="231"/>
      <c r="S943" s="231"/>
      <c r="T943" s="231"/>
      <c r="U943" s="231"/>
      <c r="V943" s="231"/>
      <c r="W943" s="231"/>
      <c r="X943" s="231"/>
      <c r="Y943" s="231"/>
      <c r="Z943" s="231"/>
    </row>
    <row r="944">
      <c r="A944" s="231"/>
      <c r="B944" s="231"/>
      <c r="C944" s="231"/>
      <c r="D944" s="231"/>
      <c r="E944" s="231"/>
      <c r="F944" s="231"/>
      <c r="G944" s="231"/>
      <c r="H944" s="231"/>
      <c r="I944" s="231"/>
      <c r="J944" s="231"/>
      <c r="K944" s="231"/>
      <c r="L944" s="231"/>
      <c r="M944" s="231"/>
      <c r="N944" s="231"/>
      <c r="O944" s="231"/>
      <c r="P944" s="231"/>
      <c r="Q944" s="231"/>
      <c r="R944" s="231"/>
      <c r="S944" s="231"/>
      <c r="T944" s="231"/>
      <c r="U944" s="231"/>
      <c r="V944" s="231"/>
      <c r="W944" s="231"/>
      <c r="X944" s="231"/>
      <c r="Y944" s="231"/>
      <c r="Z944" s="231"/>
    </row>
    <row r="945">
      <c r="A945" s="231"/>
      <c r="B945" s="231"/>
      <c r="C945" s="231"/>
      <c r="D945" s="231"/>
      <c r="E945" s="231"/>
      <c r="F945" s="231"/>
      <c r="G945" s="231"/>
      <c r="H945" s="231"/>
      <c r="I945" s="231"/>
      <c r="J945" s="231"/>
      <c r="K945" s="231"/>
      <c r="L945" s="231"/>
      <c r="M945" s="231"/>
      <c r="N945" s="231"/>
      <c r="O945" s="231"/>
      <c r="P945" s="231"/>
      <c r="Q945" s="231"/>
      <c r="R945" s="231"/>
      <c r="S945" s="231"/>
      <c r="T945" s="231"/>
      <c r="U945" s="231"/>
      <c r="V945" s="231"/>
      <c r="W945" s="231"/>
      <c r="X945" s="231"/>
      <c r="Y945" s="231"/>
      <c r="Z945" s="231"/>
    </row>
    <row r="946">
      <c r="A946" s="231"/>
      <c r="B946" s="231"/>
      <c r="C946" s="231"/>
      <c r="D946" s="231"/>
      <c r="E946" s="231"/>
      <c r="F946" s="231"/>
      <c r="G946" s="231"/>
      <c r="H946" s="231"/>
      <c r="I946" s="231"/>
      <c r="J946" s="231"/>
      <c r="K946" s="231"/>
      <c r="L946" s="231"/>
      <c r="M946" s="231"/>
      <c r="N946" s="231"/>
      <c r="O946" s="231"/>
      <c r="P946" s="231"/>
      <c r="Q946" s="231"/>
      <c r="R946" s="231"/>
      <c r="S946" s="231"/>
      <c r="T946" s="231"/>
      <c r="U946" s="231"/>
      <c r="V946" s="231"/>
      <c r="W946" s="231"/>
      <c r="X946" s="231"/>
      <c r="Y946" s="231"/>
      <c r="Z946" s="231"/>
    </row>
    <row r="947">
      <c r="A947" s="231"/>
      <c r="B947" s="231"/>
      <c r="C947" s="231"/>
      <c r="D947" s="231"/>
      <c r="E947" s="231"/>
      <c r="F947" s="231"/>
      <c r="G947" s="231"/>
      <c r="H947" s="231"/>
      <c r="I947" s="231"/>
      <c r="J947" s="231"/>
      <c r="K947" s="231"/>
      <c r="L947" s="231"/>
      <c r="M947" s="231"/>
      <c r="N947" s="231"/>
      <c r="O947" s="231"/>
      <c r="P947" s="231"/>
      <c r="Q947" s="231"/>
      <c r="R947" s="231"/>
      <c r="S947" s="231"/>
      <c r="T947" s="231"/>
      <c r="U947" s="231"/>
      <c r="V947" s="231"/>
      <c r="W947" s="231"/>
      <c r="X947" s="231"/>
      <c r="Y947" s="231"/>
      <c r="Z947" s="231"/>
    </row>
    <row r="948">
      <c r="A948" s="231"/>
      <c r="B948" s="231"/>
      <c r="C948" s="231"/>
      <c r="D948" s="231"/>
      <c r="E948" s="231"/>
      <c r="F948" s="231"/>
      <c r="G948" s="231"/>
      <c r="H948" s="231"/>
      <c r="I948" s="231"/>
      <c r="J948" s="231"/>
      <c r="K948" s="231"/>
      <c r="L948" s="231"/>
      <c r="M948" s="231"/>
      <c r="N948" s="231"/>
      <c r="O948" s="231"/>
      <c r="P948" s="231"/>
      <c r="Q948" s="231"/>
      <c r="R948" s="231"/>
      <c r="S948" s="231"/>
      <c r="T948" s="231"/>
      <c r="U948" s="231"/>
      <c r="V948" s="231"/>
      <c r="W948" s="231"/>
      <c r="X948" s="231"/>
      <c r="Y948" s="231"/>
      <c r="Z948" s="231"/>
    </row>
    <row r="949">
      <c r="A949" s="231"/>
      <c r="B949" s="231"/>
      <c r="C949" s="231"/>
      <c r="D949" s="231"/>
      <c r="E949" s="231"/>
      <c r="F949" s="231"/>
      <c r="G949" s="231"/>
      <c r="H949" s="231"/>
      <c r="I949" s="231"/>
      <c r="J949" s="231"/>
      <c r="K949" s="231"/>
      <c r="L949" s="231"/>
      <c r="M949" s="231"/>
      <c r="N949" s="231"/>
      <c r="O949" s="231"/>
      <c r="P949" s="231"/>
      <c r="Q949" s="231"/>
      <c r="R949" s="231"/>
      <c r="S949" s="231"/>
      <c r="T949" s="231"/>
      <c r="U949" s="231"/>
      <c r="V949" s="231"/>
      <c r="W949" s="231"/>
      <c r="X949" s="231"/>
      <c r="Y949" s="231"/>
      <c r="Z949" s="231"/>
    </row>
    <row r="950">
      <c r="A950" s="231"/>
      <c r="B950" s="231"/>
      <c r="C950" s="231"/>
      <c r="D950" s="231"/>
      <c r="E950" s="231"/>
      <c r="F950" s="231"/>
      <c r="G950" s="231"/>
      <c r="H950" s="231"/>
      <c r="I950" s="231"/>
      <c r="J950" s="231"/>
      <c r="K950" s="231"/>
      <c r="L950" s="231"/>
      <c r="M950" s="231"/>
      <c r="N950" s="231"/>
      <c r="O950" s="231"/>
      <c r="P950" s="231"/>
      <c r="Q950" s="231"/>
      <c r="R950" s="231"/>
      <c r="S950" s="231"/>
      <c r="T950" s="231"/>
      <c r="U950" s="231"/>
      <c r="V950" s="231"/>
      <c r="W950" s="231"/>
      <c r="X950" s="231"/>
      <c r="Y950" s="231"/>
      <c r="Z950" s="231"/>
    </row>
    <row r="951">
      <c r="A951" s="231"/>
      <c r="B951" s="231"/>
      <c r="C951" s="231"/>
      <c r="D951" s="231"/>
      <c r="E951" s="231"/>
      <c r="F951" s="231"/>
      <c r="G951" s="231"/>
      <c r="H951" s="231"/>
      <c r="I951" s="231"/>
      <c r="J951" s="231"/>
      <c r="K951" s="231"/>
      <c r="L951" s="231"/>
      <c r="M951" s="231"/>
      <c r="N951" s="231"/>
      <c r="O951" s="231"/>
      <c r="P951" s="231"/>
      <c r="Q951" s="231"/>
      <c r="R951" s="231"/>
      <c r="S951" s="231"/>
      <c r="T951" s="231"/>
      <c r="U951" s="231"/>
      <c r="V951" s="231"/>
      <c r="W951" s="231"/>
      <c r="X951" s="231"/>
      <c r="Y951" s="231"/>
      <c r="Z951" s="231"/>
    </row>
    <row r="952">
      <c r="A952" s="231"/>
      <c r="B952" s="231"/>
      <c r="C952" s="231"/>
      <c r="D952" s="231"/>
      <c r="E952" s="231"/>
      <c r="F952" s="231"/>
      <c r="G952" s="231"/>
      <c r="H952" s="231"/>
      <c r="I952" s="231"/>
      <c r="J952" s="231"/>
      <c r="K952" s="231"/>
      <c r="L952" s="231"/>
      <c r="M952" s="231"/>
      <c r="N952" s="231"/>
      <c r="O952" s="231"/>
      <c r="P952" s="231"/>
      <c r="Q952" s="231"/>
      <c r="R952" s="231"/>
      <c r="S952" s="231"/>
      <c r="T952" s="231"/>
      <c r="U952" s="231"/>
      <c r="V952" s="231"/>
      <c r="W952" s="231"/>
      <c r="X952" s="231"/>
      <c r="Y952" s="231"/>
      <c r="Z952" s="231"/>
    </row>
    <row r="953">
      <c r="A953" s="231"/>
      <c r="B953" s="231"/>
      <c r="C953" s="231"/>
      <c r="D953" s="231"/>
      <c r="E953" s="231"/>
      <c r="F953" s="231"/>
      <c r="G953" s="231"/>
      <c r="H953" s="231"/>
      <c r="I953" s="231"/>
      <c r="J953" s="231"/>
      <c r="K953" s="231"/>
      <c r="L953" s="231"/>
      <c r="M953" s="231"/>
      <c r="N953" s="231"/>
      <c r="O953" s="231"/>
      <c r="P953" s="231"/>
      <c r="Q953" s="231"/>
      <c r="R953" s="231"/>
      <c r="S953" s="231"/>
      <c r="T953" s="231"/>
      <c r="U953" s="231"/>
      <c r="V953" s="231"/>
      <c r="W953" s="231"/>
      <c r="X953" s="231"/>
      <c r="Y953" s="231"/>
      <c r="Z953" s="231"/>
    </row>
    <row r="954">
      <c r="A954" s="231"/>
      <c r="B954" s="231"/>
      <c r="C954" s="231"/>
      <c r="D954" s="231"/>
      <c r="E954" s="231"/>
      <c r="F954" s="231"/>
      <c r="G954" s="231"/>
      <c r="H954" s="231"/>
      <c r="I954" s="231"/>
      <c r="J954" s="231"/>
      <c r="K954" s="231"/>
      <c r="L954" s="231"/>
      <c r="M954" s="231"/>
      <c r="N954" s="231"/>
      <c r="O954" s="231"/>
      <c r="P954" s="231"/>
      <c r="Q954" s="231"/>
      <c r="R954" s="231"/>
      <c r="S954" s="231"/>
      <c r="T954" s="231"/>
      <c r="U954" s="231"/>
      <c r="V954" s="231"/>
      <c r="W954" s="231"/>
      <c r="X954" s="231"/>
      <c r="Y954" s="231"/>
      <c r="Z954" s="231"/>
    </row>
    <row r="955">
      <c r="A955" s="231"/>
      <c r="B955" s="231"/>
      <c r="C955" s="231"/>
      <c r="D955" s="231"/>
      <c r="E955" s="231"/>
      <c r="F955" s="231"/>
      <c r="G955" s="231"/>
      <c r="H955" s="231"/>
      <c r="I955" s="231"/>
      <c r="J955" s="231"/>
      <c r="K955" s="231"/>
      <c r="L955" s="231"/>
      <c r="M955" s="231"/>
      <c r="N955" s="231"/>
      <c r="O955" s="231"/>
      <c r="P955" s="231"/>
      <c r="Q955" s="231"/>
      <c r="R955" s="231"/>
      <c r="S955" s="231"/>
      <c r="T955" s="231"/>
      <c r="U955" s="231"/>
      <c r="V955" s="231"/>
      <c r="W955" s="231"/>
      <c r="X955" s="231"/>
      <c r="Y955" s="231"/>
      <c r="Z955" s="231"/>
    </row>
    <row r="956">
      <c r="A956" s="231"/>
      <c r="B956" s="231"/>
      <c r="C956" s="231"/>
      <c r="D956" s="231"/>
      <c r="E956" s="231"/>
      <c r="F956" s="231"/>
      <c r="G956" s="231"/>
      <c r="H956" s="231"/>
      <c r="I956" s="231"/>
      <c r="J956" s="231"/>
      <c r="K956" s="231"/>
      <c r="L956" s="231"/>
      <c r="M956" s="231"/>
      <c r="N956" s="231"/>
      <c r="O956" s="231"/>
      <c r="P956" s="231"/>
      <c r="Q956" s="231"/>
      <c r="R956" s="231"/>
      <c r="S956" s="231"/>
      <c r="T956" s="231"/>
      <c r="U956" s="231"/>
      <c r="V956" s="231"/>
      <c r="W956" s="231"/>
      <c r="X956" s="231"/>
      <c r="Y956" s="231"/>
      <c r="Z956" s="231"/>
    </row>
    <row r="957">
      <c r="A957" s="231"/>
      <c r="B957" s="231"/>
      <c r="C957" s="231"/>
      <c r="D957" s="231"/>
      <c r="E957" s="231"/>
      <c r="F957" s="231"/>
      <c r="G957" s="231"/>
      <c r="H957" s="231"/>
      <c r="I957" s="231"/>
      <c r="J957" s="231"/>
      <c r="K957" s="231"/>
      <c r="L957" s="231"/>
      <c r="M957" s="231"/>
      <c r="N957" s="231"/>
      <c r="O957" s="231"/>
      <c r="P957" s="231"/>
      <c r="Q957" s="231"/>
      <c r="R957" s="231"/>
      <c r="S957" s="231"/>
      <c r="T957" s="231"/>
      <c r="U957" s="231"/>
      <c r="V957" s="231"/>
      <c r="W957" s="231"/>
      <c r="X957" s="231"/>
      <c r="Y957" s="231"/>
      <c r="Z957" s="231"/>
    </row>
    <row r="958">
      <c r="A958" s="231"/>
      <c r="B958" s="231"/>
      <c r="C958" s="231"/>
      <c r="D958" s="231"/>
      <c r="E958" s="231"/>
      <c r="F958" s="231"/>
      <c r="G958" s="231"/>
      <c r="H958" s="231"/>
      <c r="I958" s="231"/>
      <c r="J958" s="231"/>
      <c r="K958" s="231"/>
      <c r="L958" s="231"/>
      <c r="M958" s="231"/>
      <c r="N958" s="231"/>
      <c r="O958" s="231"/>
      <c r="P958" s="231"/>
      <c r="Q958" s="231"/>
      <c r="R958" s="231"/>
      <c r="S958" s="231"/>
      <c r="T958" s="231"/>
      <c r="U958" s="231"/>
      <c r="V958" s="231"/>
      <c r="W958" s="231"/>
      <c r="X958" s="231"/>
      <c r="Y958" s="231"/>
      <c r="Z958" s="231"/>
    </row>
    <row r="959">
      <c r="A959" s="231"/>
      <c r="B959" s="231"/>
      <c r="C959" s="231"/>
      <c r="D959" s="231"/>
      <c r="E959" s="231"/>
      <c r="F959" s="231"/>
      <c r="G959" s="231"/>
      <c r="H959" s="231"/>
      <c r="I959" s="231"/>
      <c r="J959" s="231"/>
      <c r="K959" s="231"/>
      <c r="L959" s="231"/>
      <c r="M959" s="231"/>
      <c r="N959" s="231"/>
      <c r="O959" s="231"/>
      <c r="P959" s="231"/>
      <c r="Q959" s="231"/>
      <c r="R959" s="231"/>
      <c r="S959" s="231"/>
      <c r="T959" s="231"/>
      <c r="U959" s="231"/>
      <c r="V959" s="231"/>
      <c r="W959" s="231"/>
      <c r="X959" s="231"/>
      <c r="Y959" s="231"/>
      <c r="Z959" s="231"/>
    </row>
    <row r="960">
      <c r="A960" s="231"/>
      <c r="B960" s="231"/>
      <c r="C960" s="231"/>
      <c r="D960" s="231"/>
      <c r="E960" s="231"/>
      <c r="F960" s="231"/>
      <c r="G960" s="231"/>
      <c r="H960" s="231"/>
      <c r="I960" s="231"/>
      <c r="J960" s="231"/>
      <c r="K960" s="231"/>
      <c r="L960" s="231"/>
      <c r="M960" s="231"/>
      <c r="N960" s="231"/>
      <c r="O960" s="231"/>
      <c r="P960" s="231"/>
      <c r="Q960" s="231"/>
      <c r="R960" s="231"/>
      <c r="S960" s="231"/>
      <c r="T960" s="231"/>
      <c r="U960" s="231"/>
      <c r="V960" s="231"/>
      <c r="W960" s="231"/>
      <c r="X960" s="231"/>
      <c r="Y960" s="231"/>
      <c r="Z960" s="231"/>
    </row>
    <row r="961">
      <c r="A961" s="231"/>
      <c r="B961" s="231"/>
      <c r="C961" s="231"/>
      <c r="D961" s="231"/>
      <c r="E961" s="231"/>
      <c r="F961" s="231"/>
      <c r="G961" s="231"/>
      <c r="H961" s="231"/>
      <c r="I961" s="231"/>
      <c r="J961" s="231"/>
      <c r="K961" s="231"/>
      <c r="L961" s="231"/>
      <c r="M961" s="231"/>
      <c r="N961" s="231"/>
      <c r="O961" s="231"/>
      <c r="P961" s="231"/>
      <c r="Q961" s="231"/>
      <c r="R961" s="231"/>
      <c r="S961" s="231"/>
      <c r="T961" s="231"/>
      <c r="U961" s="231"/>
      <c r="V961" s="231"/>
      <c r="W961" s="231"/>
      <c r="X961" s="231"/>
      <c r="Y961" s="231"/>
      <c r="Z961" s="231"/>
    </row>
    <row r="962">
      <c r="A962" s="231"/>
      <c r="B962" s="231"/>
      <c r="C962" s="231"/>
      <c r="D962" s="231"/>
      <c r="E962" s="231"/>
      <c r="F962" s="231"/>
      <c r="G962" s="231"/>
      <c r="H962" s="231"/>
      <c r="I962" s="231"/>
      <c r="J962" s="231"/>
      <c r="K962" s="231"/>
      <c r="L962" s="231"/>
      <c r="M962" s="231"/>
      <c r="N962" s="231"/>
      <c r="O962" s="231"/>
      <c r="P962" s="231"/>
      <c r="Q962" s="231"/>
      <c r="R962" s="231"/>
      <c r="S962" s="231"/>
      <c r="T962" s="231"/>
      <c r="U962" s="231"/>
      <c r="V962" s="231"/>
      <c r="W962" s="231"/>
      <c r="X962" s="231"/>
      <c r="Y962" s="231"/>
      <c r="Z962" s="231"/>
    </row>
    <row r="963">
      <c r="A963" s="231"/>
      <c r="B963" s="231"/>
      <c r="C963" s="231"/>
      <c r="D963" s="231"/>
      <c r="E963" s="231"/>
      <c r="F963" s="231"/>
      <c r="G963" s="231"/>
      <c r="H963" s="231"/>
      <c r="I963" s="231"/>
      <c r="J963" s="231"/>
      <c r="K963" s="231"/>
      <c r="L963" s="231"/>
      <c r="M963" s="231"/>
      <c r="N963" s="231"/>
      <c r="O963" s="231"/>
      <c r="P963" s="231"/>
      <c r="Q963" s="231"/>
      <c r="R963" s="231"/>
      <c r="S963" s="231"/>
      <c r="T963" s="231"/>
      <c r="U963" s="231"/>
      <c r="V963" s="231"/>
      <c r="W963" s="231"/>
      <c r="X963" s="231"/>
      <c r="Y963" s="231"/>
      <c r="Z963" s="231"/>
    </row>
    <row r="964">
      <c r="A964" s="231"/>
      <c r="B964" s="231"/>
      <c r="C964" s="231"/>
      <c r="D964" s="231"/>
      <c r="E964" s="231"/>
      <c r="F964" s="231"/>
      <c r="G964" s="231"/>
      <c r="H964" s="231"/>
      <c r="I964" s="231"/>
      <c r="J964" s="231"/>
      <c r="K964" s="231"/>
      <c r="L964" s="231"/>
      <c r="M964" s="231"/>
      <c r="N964" s="231"/>
      <c r="O964" s="231"/>
      <c r="P964" s="231"/>
      <c r="Q964" s="231"/>
      <c r="R964" s="231"/>
      <c r="S964" s="231"/>
      <c r="T964" s="231"/>
      <c r="U964" s="231"/>
      <c r="V964" s="231"/>
      <c r="W964" s="231"/>
      <c r="X964" s="231"/>
      <c r="Y964" s="231"/>
      <c r="Z964" s="231"/>
    </row>
    <row r="965">
      <c r="A965" s="231"/>
      <c r="B965" s="231"/>
      <c r="C965" s="231"/>
      <c r="D965" s="231"/>
      <c r="E965" s="231"/>
      <c r="F965" s="231"/>
      <c r="G965" s="231"/>
      <c r="H965" s="231"/>
      <c r="I965" s="231"/>
      <c r="J965" s="231"/>
      <c r="K965" s="231"/>
      <c r="L965" s="231"/>
      <c r="M965" s="231"/>
      <c r="N965" s="231"/>
      <c r="O965" s="231"/>
      <c r="P965" s="231"/>
      <c r="Q965" s="231"/>
      <c r="R965" s="231"/>
      <c r="S965" s="231"/>
      <c r="T965" s="231"/>
      <c r="U965" s="231"/>
      <c r="V965" s="231"/>
      <c r="W965" s="231"/>
      <c r="X965" s="231"/>
      <c r="Y965" s="231"/>
      <c r="Z965" s="231"/>
    </row>
    <row r="966">
      <c r="A966" s="231"/>
      <c r="B966" s="231"/>
      <c r="C966" s="231"/>
      <c r="D966" s="231"/>
      <c r="E966" s="231"/>
      <c r="F966" s="231"/>
      <c r="G966" s="231"/>
      <c r="H966" s="231"/>
      <c r="I966" s="231"/>
      <c r="J966" s="231"/>
      <c r="K966" s="231"/>
      <c r="L966" s="231"/>
      <c r="M966" s="231"/>
      <c r="N966" s="231"/>
      <c r="O966" s="231"/>
      <c r="P966" s="231"/>
      <c r="Q966" s="231"/>
      <c r="R966" s="231"/>
      <c r="S966" s="231"/>
      <c r="T966" s="231"/>
      <c r="U966" s="231"/>
      <c r="V966" s="231"/>
      <c r="W966" s="231"/>
      <c r="X966" s="231"/>
      <c r="Y966" s="231"/>
      <c r="Z966" s="231"/>
    </row>
    <row r="967">
      <c r="A967" s="231"/>
      <c r="B967" s="231"/>
      <c r="C967" s="231"/>
      <c r="D967" s="231"/>
      <c r="E967" s="231"/>
      <c r="F967" s="231"/>
      <c r="G967" s="231"/>
      <c r="H967" s="231"/>
      <c r="I967" s="231"/>
      <c r="J967" s="231"/>
      <c r="K967" s="231"/>
      <c r="L967" s="231"/>
      <c r="M967" s="231"/>
      <c r="N967" s="231"/>
      <c r="O967" s="231"/>
      <c r="P967" s="231"/>
      <c r="Q967" s="231"/>
      <c r="R967" s="231"/>
      <c r="S967" s="231"/>
      <c r="T967" s="231"/>
      <c r="U967" s="231"/>
      <c r="V967" s="231"/>
      <c r="W967" s="231"/>
      <c r="X967" s="231"/>
      <c r="Y967" s="231"/>
      <c r="Z967" s="231"/>
    </row>
    <row r="968">
      <c r="A968" s="231"/>
      <c r="B968" s="231"/>
      <c r="C968" s="231"/>
      <c r="D968" s="231"/>
      <c r="E968" s="231"/>
      <c r="F968" s="231"/>
      <c r="G968" s="231"/>
      <c r="H968" s="231"/>
      <c r="I968" s="231"/>
      <c r="J968" s="231"/>
      <c r="K968" s="231"/>
      <c r="L968" s="231"/>
      <c r="M968" s="231"/>
      <c r="N968" s="231"/>
      <c r="O968" s="231"/>
      <c r="P968" s="231"/>
      <c r="Q968" s="231"/>
      <c r="R968" s="231"/>
      <c r="S968" s="231"/>
      <c r="T968" s="231"/>
      <c r="U968" s="231"/>
      <c r="V968" s="231"/>
      <c r="W968" s="231"/>
      <c r="X968" s="231"/>
      <c r="Y968" s="231"/>
      <c r="Z968" s="231"/>
    </row>
    <row r="969">
      <c r="A969" s="231"/>
      <c r="B969" s="231"/>
      <c r="C969" s="231"/>
      <c r="D969" s="231"/>
      <c r="E969" s="231"/>
      <c r="F969" s="231"/>
      <c r="G969" s="231"/>
      <c r="H969" s="231"/>
      <c r="I969" s="231"/>
      <c r="J969" s="231"/>
      <c r="K969" s="231"/>
      <c r="L969" s="231"/>
      <c r="M969" s="231"/>
      <c r="N969" s="231"/>
      <c r="O969" s="231"/>
      <c r="P969" s="231"/>
      <c r="Q969" s="231"/>
      <c r="R969" s="231"/>
      <c r="S969" s="231"/>
      <c r="T969" s="231"/>
      <c r="U969" s="231"/>
      <c r="V969" s="231"/>
      <c r="W969" s="231"/>
      <c r="X969" s="231"/>
      <c r="Y969" s="231"/>
      <c r="Z969" s="231"/>
    </row>
    <row r="970">
      <c r="A970" s="231"/>
      <c r="B970" s="231"/>
      <c r="C970" s="231"/>
      <c r="D970" s="231"/>
      <c r="E970" s="231"/>
      <c r="F970" s="231"/>
      <c r="G970" s="231"/>
      <c r="H970" s="231"/>
      <c r="I970" s="231"/>
      <c r="J970" s="231"/>
      <c r="K970" s="231"/>
      <c r="L970" s="231"/>
      <c r="M970" s="231"/>
      <c r="N970" s="231"/>
      <c r="O970" s="231"/>
      <c r="P970" s="231"/>
      <c r="Q970" s="231"/>
      <c r="R970" s="231"/>
      <c r="S970" s="231"/>
      <c r="T970" s="231"/>
      <c r="U970" s="231"/>
      <c r="V970" s="231"/>
      <c r="W970" s="231"/>
      <c r="X970" s="231"/>
      <c r="Y970" s="231"/>
      <c r="Z970" s="231"/>
    </row>
    <row r="971">
      <c r="A971" s="231"/>
      <c r="B971" s="231"/>
      <c r="C971" s="231"/>
      <c r="D971" s="231"/>
      <c r="E971" s="231"/>
      <c r="F971" s="231"/>
      <c r="G971" s="231"/>
      <c r="H971" s="231"/>
      <c r="I971" s="231"/>
      <c r="J971" s="231"/>
      <c r="K971" s="231"/>
      <c r="L971" s="231"/>
      <c r="M971" s="231"/>
      <c r="N971" s="231"/>
      <c r="O971" s="231"/>
      <c r="P971" s="231"/>
      <c r="Q971" s="231"/>
      <c r="R971" s="231"/>
      <c r="S971" s="231"/>
      <c r="T971" s="231"/>
      <c r="U971" s="231"/>
      <c r="V971" s="231"/>
      <c r="W971" s="231"/>
      <c r="X971" s="231"/>
      <c r="Y971" s="231"/>
      <c r="Z971" s="231"/>
    </row>
    <row r="972">
      <c r="A972" s="231"/>
      <c r="B972" s="231"/>
      <c r="C972" s="231"/>
      <c r="D972" s="231"/>
      <c r="E972" s="231"/>
      <c r="F972" s="231"/>
      <c r="G972" s="231"/>
      <c r="H972" s="231"/>
      <c r="I972" s="231"/>
      <c r="J972" s="231"/>
      <c r="K972" s="231"/>
      <c r="L972" s="231"/>
      <c r="M972" s="231"/>
      <c r="N972" s="231"/>
      <c r="O972" s="231"/>
      <c r="P972" s="231"/>
      <c r="Q972" s="231"/>
      <c r="R972" s="231"/>
      <c r="S972" s="231"/>
      <c r="T972" s="231"/>
      <c r="U972" s="231"/>
      <c r="V972" s="231"/>
      <c r="W972" s="231"/>
      <c r="X972" s="231"/>
      <c r="Y972" s="231"/>
      <c r="Z972" s="231"/>
    </row>
    <row r="973">
      <c r="A973" s="231"/>
      <c r="B973" s="231"/>
      <c r="C973" s="231"/>
      <c r="D973" s="231"/>
      <c r="E973" s="231"/>
      <c r="F973" s="231"/>
      <c r="G973" s="231"/>
      <c r="H973" s="231"/>
      <c r="I973" s="231"/>
      <c r="J973" s="231"/>
      <c r="K973" s="231"/>
      <c r="L973" s="231"/>
      <c r="M973" s="231"/>
      <c r="N973" s="231"/>
      <c r="O973" s="231"/>
      <c r="P973" s="231"/>
      <c r="Q973" s="231"/>
      <c r="R973" s="231"/>
      <c r="S973" s="231"/>
      <c r="T973" s="231"/>
      <c r="U973" s="231"/>
      <c r="V973" s="231"/>
      <c r="W973" s="231"/>
      <c r="X973" s="231"/>
      <c r="Y973" s="231"/>
      <c r="Z973" s="231"/>
    </row>
    <row r="974">
      <c r="A974" s="231"/>
      <c r="B974" s="231"/>
      <c r="C974" s="231"/>
      <c r="D974" s="231"/>
      <c r="E974" s="231"/>
      <c r="F974" s="231"/>
      <c r="G974" s="231"/>
      <c r="H974" s="231"/>
      <c r="I974" s="231"/>
      <c r="J974" s="231"/>
      <c r="K974" s="231"/>
      <c r="L974" s="231"/>
      <c r="M974" s="231"/>
      <c r="N974" s="231"/>
      <c r="O974" s="231"/>
      <c r="P974" s="231"/>
      <c r="Q974" s="231"/>
      <c r="R974" s="231"/>
      <c r="S974" s="231"/>
      <c r="T974" s="231"/>
      <c r="U974" s="231"/>
      <c r="V974" s="231"/>
      <c r="W974" s="231"/>
      <c r="X974" s="231"/>
      <c r="Y974" s="231"/>
      <c r="Z974" s="231"/>
    </row>
    <row r="975">
      <c r="A975" s="231"/>
      <c r="B975" s="231"/>
      <c r="C975" s="231"/>
      <c r="D975" s="231"/>
      <c r="E975" s="231"/>
      <c r="F975" s="231"/>
      <c r="G975" s="231"/>
      <c r="H975" s="231"/>
      <c r="I975" s="231"/>
      <c r="J975" s="231"/>
      <c r="K975" s="231"/>
      <c r="L975" s="231"/>
      <c r="M975" s="231"/>
      <c r="N975" s="231"/>
      <c r="O975" s="231"/>
      <c r="P975" s="231"/>
      <c r="Q975" s="231"/>
      <c r="R975" s="231"/>
      <c r="S975" s="231"/>
      <c r="T975" s="231"/>
      <c r="U975" s="231"/>
      <c r="V975" s="231"/>
      <c r="W975" s="231"/>
      <c r="X975" s="231"/>
      <c r="Y975" s="231"/>
      <c r="Z975" s="231"/>
    </row>
    <row r="976">
      <c r="A976" s="231"/>
      <c r="B976" s="231"/>
      <c r="C976" s="231"/>
      <c r="D976" s="231"/>
      <c r="E976" s="231"/>
      <c r="F976" s="231"/>
      <c r="G976" s="231"/>
      <c r="H976" s="231"/>
      <c r="I976" s="231"/>
      <c r="J976" s="231"/>
      <c r="K976" s="231"/>
      <c r="L976" s="231"/>
      <c r="M976" s="231"/>
      <c r="N976" s="231"/>
      <c r="O976" s="231"/>
      <c r="P976" s="231"/>
      <c r="Q976" s="231"/>
      <c r="R976" s="231"/>
      <c r="S976" s="231"/>
      <c r="T976" s="231"/>
      <c r="U976" s="231"/>
      <c r="V976" s="231"/>
      <c r="W976" s="231"/>
      <c r="X976" s="231"/>
      <c r="Y976" s="231"/>
      <c r="Z976" s="231"/>
    </row>
    <row r="977">
      <c r="A977" s="231"/>
      <c r="B977" s="231"/>
      <c r="C977" s="231"/>
      <c r="D977" s="231"/>
      <c r="E977" s="231"/>
      <c r="F977" s="231"/>
      <c r="G977" s="231"/>
      <c r="H977" s="231"/>
      <c r="I977" s="231"/>
      <c r="J977" s="231"/>
      <c r="K977" s="231"/>
      <c r="L977" s="231"/>
      <c r="M977" s="231"/>
      <c r="N977" s="231"/>
      <c r="O977" s="231"/>
      <c r="P977" s="231"/>
      <c r="Q977" s="231"/>
      <c r="R977" s="231"/>
      <c r="S977" s="231"/>
      <c r="T977" s="231"/>
      <c r="U977" s="231"/>
      <c r="V977" s="231"/>
      <c r="W977" s="231"/>
      <c r="X977" s="231"/>
      <c r="Y977" s="231"/>
      <c r="Z977" s="231"/>
    </row>
    <row r="978">
      <c r="A978" s="231"/>
      <c r="B978" s="231"/>
      <c r="C978" s="231"/>
      <c r="D978" s="231"/>
      <c r="E978" s="231"/>
      <c r="F978" s="231"/>
      <c r="G978" s="231"/>
      <c r="H978" s="231"/>
      <c r="I978" s="231"/>
      <c r="J978" s="231"/>
      <c r="K978" s="231"/>
      <c r="L978" s="231"/>
      <c r="M978" s="231"/>
      <c r="N978" s="231"/>
      <c r="O978" s="231"/>
      <c r="P978" s="231"/>
      <c r="Q978" s="231"/>
      <c r="R978" s="231"/>
      <c r="S978" s="231"/>
      <c r="T978" s="231"/>
      <c r="U978" s="231"/>
      <c r="V978" s="231"/>
      <c r="W978" s="231"/>
      <c r="X978" s="231"/>
      <c r="Y978" s="231"/>
      <c r="Z978" s="231"/>
    </row>
    <row r="979">
      <c r="A979" s="231"/>
      <c r="B979" s="231"/>
      <c r="C979" s="231"/>
      <c r="D979" s="231"/>
      <c r="E979" s="231"/>
      <c r="F979" s="231"/>
      <c r="G979" s="231"/>
      <c r="H979" s="231"/>
      <c r="I979" s="231"/>
      <c r="J979" s="231"/>
      <c r="K979" s="231"/>
      <c r="L979" s="231"/>
      <c r="M979" s="231"/>
      <c r="N979" s="231"/>
      <c r="O979" s="231"/>
      <c r="P979" s="231"/>
      <c r="Q979" s="231"/>
      <c r="R979" s="231"/>
      <c r="S979" s="231"/>
      <c r="T979" s="231"/>
      <c r="U979" s="231"/>
      <c r="V979" s="231"/>
      <c r="W979" s="231"/>
      <c r="X979" s="231"/>
      <c r="Y979" s="231"/>
      <c r="Z979" s="231"/>
    </row>
    <row r="980">
      <c r="A980" s="231"/>
      <c r="B980" s="231"/>
      <c r="C980" s="231"/>
      <c r="D980" s="231"/>
      <c r="E980" s="231"/>
      <c r="F980" s="231"/>
      <c r="G980" s="231"/>
      <c r="H980" s="231"/>
      <c r="I980" s="231"/>
      <c r="J980" s="231"/>
      <c r="K980" s="231"/>
      <c r="L980" s="231"/>
      <c r="M980" s="231"/>
      <c r="N980" s="231"/>
      <c r="O980" s="231"/>
      <c r="P980" s="231"/>
      <c r="Q980" s="231"/>
      <c r="R980" s="231"/>
      <c r="S980" s="231"/>
      <c r="T980" s="231"/>
      <c r="U980" s="231"/>
      <c r="V980" s="231"/>
      <c r="W980" s="231"/>
      <c r="X980" s="231"/>
      <c r="Y980" s="231"/>
      <c r="Z980" s="231"/>
    </row>
    <row r="981">
      <c r="A981" s="231"/>
      <c r="B981" s="231"/>
      <c r="C981" s="231"/>
      <c r="D981" s="231"/>
      <c r="E981" s="231"/>
      <c r="F981" s="231"/>
      <c r="G981" s="231"/>
      <c r="H981" s="231"/>
      <c r="I981" s="231"/>
      <c r="J981" s="231"/>
      <c r="K981" s="231"/>
      <c r="L981" s="231"/>
      <c r="M981" s="231"/>
      <c r="N981" s="231"/>
      <c r="O981" s="231"/>
      <c r="P981" s="231"/>
      <c r="Q981" s="231"/>
      <c r="R981" s="231"/>
      <c r="S981" s="231"/>
      <c r="T981" s="231"/>
      <c r="U981" s="231"/>
      <c r="V981" s="231"/>
      <c r="W981" s="231"/>
      <c r="X981" s="231"/>
      <c r="Y981" s="231"/>
      <c r="Z981" s="231"/>
    </row>
    <row r="982">
      <c r="A982" s="231"/>
      <c r="B982" s="231"/>
      <c r="C982" s="231"/>
      <c r="D982" s="231"/>
      <c r="E982" s="231"/>
      <c r="F982" s="231"/>
      <c r="G982" s="231"/>
      <c r="H982" s="231"/>
      <c r="I982" s="231"/>
      <c r="J982" s="231"/>
      <c r="K982" s="231"/>
      <c r="L982" s="231"/>
      <c r="M982" s="231"/>
      <c r="N982" s="231"/>
      <c r="O982" s="231"/>
      <c r="P982" s="231"/>
      <c r="Q982" s="231"/>
      <c r="R982" s="231"/>
      <c r="S982" s="231"/>
      <c r="T982" s="231"/>
      <c r="U982" s="231"/>
      <c r="V982" s="231"/>
      <c r="W982" s="231"/>
      <c r="X982" s="231"/>
      <c r="Y982" s="231"/>
      <c r="Z982" s="231"/>
    </row>
    <row r="983">
      <c r="A983" s="231"/>
      <c r="B983" s="231"/>
      <c r="C983" s="231"/>
      <c r="D983" s="231"/>
      <c r="E983" s="231"/>
      <c r="F983" s="231"/>
      <c r="G983" s="231"/>
      <c r="H983" s="231"/>
      <c r="I983" s="231"/>
      <c r="J983" s="231"/>
      <c r="K983" s="231"/>
      <c r="L983" s="231"/>
      <c r="M983" s="231"/>
      <c r="N983" s="231"/>
      <c r="O983" s="231"/>
      <c r="P983" s="231"/>
      <c r="Q983" s="231"/>
      <c r="R983" s="231"/>
      <c r="S983" s="231"/>
      <c r="T983" s="231"/>
      <c r="U983" s="231"/>
      <c r="V983" s="231"/>
      <c r="W983" s="231"/>
      <c r="X983" s="231"/>
      <c r="Y983" s="231"/>
      <c r="Z983" s="231"/>
    </row>
    <row r="984">
      <c r="A984" s="231"/>
      <c r="B984" s="231"/>
      <c r="C984" s="231"/>
      <c r="D984" s="231"/>
      <c r="E984" s="231"/>
      <c r="F984" s="231"/>
      <c r="G984" s="231"/>
      <c r="H984" s="231"/>
      <c r="I984" s="231"/>
      <c r="J984" s="231"/>
      <c r="K984" s="231"/>
      <c r="L984" s="231"/>
      <c r="M984" s="231"/>
      <c r="N984" s="231"/>
      <c r="O984" s="231"/>
      <c r="P984" s="231"/>
      <c r="Q984" s="231"/>
      <c r="R984" s="231"/>
      <c r="S984" s="231"/>
      <c r="T984" s="231"/>
      <c r="U984" s="231"/>
      <c r="V984" s="231"/>
      <c r="W984" s="231"/>
      <c r="X984" s="231"/>
      <c r="Y984" s="231"/>
      <c r="Z984" s="231"/>
    </row>
    <row r="985">
      <c r="A985" s="231"/>
      <c r="B985" s="231"/>
      <c r="C985" s="231"/>
      <c r="D985" s="231"/>
      <c r="E985" s="231"/>
      <c r="F985" s="231"/>
      <c r="G985" s="231"/>
      <c r="H985" s="231"/>
      <c r="I985" s="231"/>
      <c r="J985" s="231"/>
      <c r="K985" s="231"/>
      <c r="L985" s="231"/>
      <c r="M985" s="231"/>
      <c r="N985" s="231"/>
      <c r="O985" s="231"/>
      <c r="P985" s="231"/>
      <c r="Q985" s="231"/>
      <c r="R985" s="231"/>
      <c r="S985" s="231"/>
      <c r="T985" s="231"/>
      <c r="U985" s="231"/>
      <c r="V985" s="231"/>
      <c r="W985" s="231"/>
      <c r="X985" s="231"/>
      <c r="Y985" s="231"/>
      <c r="Z985" s="231"/>
    </row>
    <row r="986">
      <c r="A986" s="231"/>
      <c r="B986" s="231"/>
      <c r="C986" s="231"/>
      <c r="D986" s="231"/>
      <c r="E986" s="231"/>
      <c r="F986" s="231"/>
      <c r="G986" s="231"/>
      <c r="H986" s="231"/>
      <c r="I986" s="231"/>
      <c r="J986" s="231"/>
      <c r="K986" s="231"/>
      <c r="L986" s="231"/>
      <c r="M986" s="231"/>
      <c r="N986" s="231"/>
      <c r="O986" s="231"/>
      <c r="P986" s="231"/>
      <c r="Q986" s="231"/>
      <c r="R986" s="231"/>
      <c r="S986" s="231"/>
      <c r="T986" s="231"/>
      <c r="U986" s="231"/>
      <c r="V986" s="231"/>
      <c r="W986" s="231"/>
      <c r="X986" s="231"/>
      <c r="Y986" s="231"/>
      <c r="Z986" s="231"/>
    </row>
    <row r="987">
      <c r="A987" s="231"/>
      <c r="B987" s="231"/>
      <c r="C987" s="231"/>
      <c r="D987" s="231"/>
      <c r="E987" s="231"/>
      <c r="F987" s="231"/>
      <c r="G987" s="231"/>
      <c r="H987" s="231"/>
      <c r="I987" s="231"/>
      <c r="J987" s="231"/>
      <c r="K987" s="231"/>
      <c r="L987" s="231"/>
      <c r="M987" s="231"/>
      <c r="N987" s="231"/>
      <c r="O987" s="231"/>
      <c r="P987" s="231"/>
      <c r="Q987" s="231"/>
      <c r="R987" s="231"/>
      <c r="S987" s="231"/>
      <c r="T987" s="231"/>
      <c r="U987" s="231"/>
      <c r="V987" s="231"/>
      <c r="W987" s="231"/>
      <c r="X987" s="231"/>
      <c r="Y987" s="231"/>
      <c r="Z987" s="231"/>
    </row>
    <row r="988">
      <c r="A988" s="231"/>
      <c r="B988" s="231"/>
      <c r="C988" s="231"/>
      <c r="D988" s="231"/>
      <c r="E988" s="231"/>
      <c r="F988" s="231"/>
      <c r="G988" s="231"/>
      <c r="H988" s="231"/>
      <c r="I988" s="231"/>
      <c r="J988" s="231"/>
      <c r="K988" s="231"/>
      <c r="L988" s="231"/>
      <c r="M988" s="231"/>
      <c r="N988" s="231"/>
      <c r="O988" s="231"/>
      <c r="P988" s="231"/>
      <c r="Q988" s="231"/>
      <c r="R988" s="231"/>
      <c r="S988" s="231"/>
      <c r="T988" s="231"/>
      <c r="U988" s="231"/>
      <c r="V988" s="231"/>
      <c r="W988" s="231"/>
      <c r="X988" s="231"/>
      <c r="Y988" s="231"/>
      <c r="Z988" s="231"/>
    </row>
    <row r="989">
      <c r="A989" s="231"/>
      <c r="B989" s="231"/>
      <c r="C989" s="231"/>
      <c r="D989" s="231"/>
      <c r="E989" s="231"/>
      <c r="F989" s="231"/>
      <c r="G989" s="231"/>
      <c r="H989" s="231"/>
      <c r="I989" s="231"/>
      <c r="J989" s="231"/>
      <c r="K989" s="231"/>
      <c r="L989" s="231"/>
      <c r="M989" s="231"/>
      <c r="N989" s="231"/>
      <c r="O989" s="231"/>
      <c r="P989" s="231"/>
      <c r="Q989" s="231"/>
      <c r="R989" s="231"/>
      <c r="S989" s="231"/>
      <c r="T989" s="231"/>
      <c r="U989" s="231"/>
      <c r="V989" s="231"/>
      <c r="W989" s="231"/>
      <c r="X989" s="231"/>
      <c r="Y989" s="231"/>
      <c r="Z989" s="231"/>
    </row>
    <row r="990">
      <c r="A990" s="231"/>
      <c r="B990" s="231"/>
      <c r="C990" s="231"/>
      <c r="D990" s="231"/>
      <c r="E990" s="231"/>
      <c r="F990" s="231"/>
      <c r="G990" s="231"/>
      <c r="H990" s="231"/>
      <c r="I990" s="231"/>
      <c r="J990" s="231"/>
      <c r="K990" s="231"/>
      <c r="L990" s="231"/>
      <c r="M990" s="231"/>
      <c r="N990" s="231"/>
      <c r="O990" s="231"/>
      <c r="P990" s="231"/>
      <c r="Q990" s="231"/>
      <c r="R990" s="231"/>
      <c r="S990" s="231"/>
      <c r="T990" s="231"/>
      <c r="U990" s="231"/>
      <c r="V990" s="231"/>
      <c r="W990" s="231"/>
      <c r="X990" s="231"/>
      <c r="Y990" s="231"/>
      <c r="Z990" s="231"/>
    </row>
    <row r="991">
      <c r="A991" s="231"/>
      <c r="B991" s="231"/>
      <c r="C991" s="231"/>
      <c r="D991" s="231"/>
      <c r="E991" s="231"/>
      <c r="F991" s="231"/>
      <c r="G991" s="231"/>
      <c r="H991" s="231"/>
      <c r="I991" s="231"/>
      <c r="J991" s="231"/>
      <c r="K991" s="231"/>
      <c r="L991" s="231"/>
      <c r="M991" s="231"/>
      <c r="N991" s="231"/>
      <c r="O991" s="231"/>
      <c r="P991" s="231"/>
      <c r="Q991" s="231"/>
      <c r="R991" s="231"/>
      <c r="S991" s="231"/>
      <c r="T991" s="231"/>
      <c r="U991" s="231"/>
      <c r="V991" s="231"/>
      <c r="W991" s="231"/>
      <c r="X991" s="231"/>
      <c r="Y991" s="231"/>
      <c r="Z991" s="231"/>
    </row>
    <row r="992">
      <c r="A992" s="231"/>
      <c r="B992" s="231"/>
      <c r="C992" s="231"/>
      <c r="D992" s="231"/>
      <c r="E992" s="231"/>
      <c r="F992" s="231"/>
      <c r="G992" s="231"/>
      <c r="H992" s="231"/>
      <c r="I992" s="231"/>
      <c r="J992" s="231"/>
      <c r="K992" s="231"/>
      <c r="L992" s="231"/>
      <c r="M992" s="231"/>
      <c r="N992" s="231"/>
      <c r="O992" s="231"/>
      <c r="P992" s="231"/>
      <c r="Q992" s="231"/>
      <c r="R992" s="231"/>
      <c r="S992" s="231"/>
      <c r="T992" s="231"/>
      <c r="U992" s="231"/>
      <c r="V992" s="231"/>
      <c r="W992" s="231"/>
      <c r="X992" s="231"/>
      <c r="Y992" s="231"/>
      <c r="Z992" s="231"/>
    </row>
    <row r="993">
      <c r="A993" s="231"/>
      <c r="B993" s="231"/>
      <c r="C993" s="231"/>
      <c r="D993" s="231"/>
      <c r="E993" s="231"/>
      <c r="F993" s="231"/>
      <c r="G993" s="231"/>
      <c r="H993" s="231"/>
      <c r="I993" s="231"/>
      <c r="J993" s="231"/>
      <c r="K993" s="231"/>
      <c r="L993" s="231"/>
      <c r="M993" s="231"/>
      <c r="N993" s="231"/>
      <c r="O993" s="231"/>
      <c r="P993" s="231"/>
      <c r="Q993" s="231"/>
      <c r="R993" s="231"/>
      <c r="S993" s="231"/>
      <c r="T993" s="231"/>
      <c r="U993" s="231"/>
      <c r="V993" s="231"/>
      <c r="W993" s="231"/>
      <c r="X993" s="231"/>
      <c r="Y993" s="231"/>
      <c r="Z993" s="231"/>
    </row>
    <row r="994">
      <c r="A994" s="231"/>
      <c r="B994" s="231"/>
      <c r="C994" s="231"/>
      <c r="D994" s="231"/>
      <c r="E994" s="231"/>
      <c r="F994" s="231"/>
      <c r="G994" s="231"/>
      <c r="H994" s="231"/>
      <c r="I994" s="231"/>
      <c r="J994" s="231"/>
      <c r="K994" s="231"/>
      <c r="L994" s="231"/>
      <c r="M994" s="231"/>
      <c r="N994" s="231"/>
      <c r="O994" s="231"/>
      <c r="P994" s="231"/>
      <c r="Q994" s="231"/>
      <c r="R994" s="231"/>
      <c r="S994" s="231"/>
      <c r="T994" s="231"/>
      <c r="U994" s="231"/>
      <c r="V994" s="231"/>
      <c r="W994" s="231"/>
      <c r="X994" s="231"/>
      <c r="Y994" s="231"/>
      <c r="Z994" s="231"/>
    </row>
    <row r="995">
      <c r="A995" s="231"/>
      <c r="B995" s="231"/>
      <c r="C995" s="231"/>
      <c r="D995" s="231"/>
      <c r="E995" s="231"/>
      <c r="F995" s="231"/>
      <c r="G995" s="231"/>
      <c r="H995" s="231"/>
      <c r="I995" s="231"/>
      <c r="J995" s="231"/>
      <c r="K995" s="231"/>
      <c r="L995" s="231"/>
      <c r="M995" s="231"/>
      <c r="N995" s="231"/>
      <c r="O995" s="231"/>
      <c r="P995" s="231"/>
      <c r="Q995" s="231"/>
      <c r="R995" s="231"/>
      <c r="S995" s="231"/>
      <c r="T995" s="231"/>
      <c r="U995" s="231"/>
      <c r="V995" s="231"/>
      <c r="W995" s="231"/>
      <c r="X995" s="231"/>
      <c r="Y995" s="231"/>
      <c r="Z995" s="231"/>
    </row>
    <row r="996">
      <c r="A996" s="231"/>
      <c r="B996" s="231"/>
      <c r="C996" s="231"/>
      <c r="D996" s="231"/>
      <c r="E996" s="231"/>
      <c r="F996" s="231"/>
      <c r="G996" s="231"/>
      <c r="H996" s="231"/>
      <c r="I996" s="231"/>
      <c r="J996" s="231"/>
      <c r="K996" s="231"/>
      <c r="L996" s="231"/>
      <c r="M996" s="231"/>
      <c r="N996" s="231"/>
      <c r="O996" s="231"/>
      <c r="P996" s="231"/>
      <c r="Q996" s="231"/>
      <c r="R996" s="231"/>
      <c r="S996" s="231"/>
      <c r="T996" s="231"/>
      <c r="U996" s="231"/>
      <c r="V996" s="231"/>
      <c r="W996" s="231"/>
      <c r="X996" s="231"/>
      <c r="Y996" s="231"/>
      <c r="Z996" s="231"/>
    </row>
    <row r="997">
      <c r="A997" s="231"/>
      <c r="B997" s="231"/>
      <c r="C997" s="231"/>
      <c r="D997" s="231"/>
      <c r="E997" s="231"/>
      <c r="F997" s="231"/>
      <c r="G997" s="231"/>
      <c r="H997" s="231"/>
      <c r="I997" s="231"/>
      <c r="J997" s="231"/>
      <c r="K997" s="231"/>
      <c r="L997" s="231"/>
      <c r="M997" s="231"/>
      <c r="N997" s="231"/>
      <c r="O997" s="231"/>
      <c r="P997" s="231"/>
      <c r="Q997" s="231"/>
      <c r="R997" s="231"/>
      <c r="S997" s="231"/>
      <c r="T997" s="231"/>
      <c r="U997" s="231"/>
      <c r="V997" s="231"/>
      <c r="W997" s="231"/>
      <c r="X997" s="231"/>
      <c r="Y997" s="231"/>
      <c r="Z997" s="231"/>
    </row>
    <row r="998">
      <c r="A998" s="231"/>
      <c r="B998" s="231"/>
      <c r="C998" s="231"/>
      <c r="D998" s="231"/>
      <c r="E998" s="231"/>
      <c r="F998" s="231"/>
      <c r="G998" s="231"/>
      <c r="H998" s="231"/>
      <c r="I998" s="231"/>
      <c r="J998" s="231"/>
      <c r="K998" s="231"/>
      <c r="L998" s="231"/>
      <c r="M998" s="231"/>
      <c r="N998" s="231"/>
      <c r="O998" s="231"/>
      <c r="P998" s="231"/>
      <c r="Q998" s="231"/>
      <c r="R998" s="231"/>
      <c r="S998" s="231"/>
      <c r="T998" s="231"/>
      <c r="U998" s="231"/>
      <c r="V998" s="231"/>
      <c r="W998" s="231"/>
      <c r="X998" s="231"/>
      <c r="Y998" s="231"/>
      <c r="Z998" s="231"/>
    </row>
    <row r="999">
      <c r="A999" s="231"/>
      <c r="B999" s="231"/>
      <c r="C999" s="231"/>
      <c r="D999" s="231"/>
      <c r="E999" s="231"/>
      <c r="F999" s="231"/>
      <c r="G999" s="231"/>
      <c r="H999" s="231"/>
      <c r="I999" s="231"/>
      <c r="J999" s="231"/>
      <c r="K999" s="231"/>
      <c r="L999" s="231"/>
      <c r="M999" s="231"/>
      <c r="N999" s="231"/>
      <c r="O999" s="231"/>
      <c r="P999" s="231"/>
      <c r="Q999" s="231"/>
      <c r="R999" s="231"/>
      <c r="S999" s="231"/>
      <c r="T999" s="231"/>
      <c r="U999" s="231"/>
      <c r="V999" s="231"/>
      <c r="W999" s="231"/>
      <c r="X999" s="231"/>
      <c r="Y999" s="231"/>
      <c r="Z999" s="231"/>
    </row>
    <row r="1000">
      <c r="A1000" s="231"/>
      <c r="B1000" s="231"/>
      <c r="C1000" s="231"/>
      <c r="D1000" s="231"/>
      <c r="E1000" s="231"/>
      <c r="F1000" s="231"/>
      <c r="G1000" s="231"/>
      <c r="H1000" s="231"/>
      <c r="I1000" s="231"/>
      <c r="J1000" s="231"/>
      <c r="K1000" s="231"/>
      <c r="L1000" s="231"/>
      <c r="M1000" s="231"/>
      <c r="N1000" s="231"/>
      <c r="O1000" s="231"/>
      <c r="P1000" s="231"/>
      <c r="Q1000" s="231"/>
      <c r="R1000" s="231"/>
      <c r="S1000" s="231"/>
      <c r="T1000" s="231"/>
      <c r="U1000" s="231"/>
      <c r="V1000" s="231"/>
      <c r="W1000" s="231"/>
      <c r="X1000" s="231"/>
      <c r="Y1000" s="231"/>
      <c r="Z1000" s="231"/>
    </row>
  </sheetData>
  <hyperlinks>
    <hyperlink r:id="rId1" ref="G2"/>
    <hyperlink r:id="rId2" ref="T2"/>
    <hyperlink r:id="rId3" ref="W2"/>
    <hyperlink r:id="rId4" ref="G3"/>
    <hyperlink r:id="rId5" ref="T3"/>
    <hyperlink r:id="rId6" ref="W3"/>
    <hyperlink r:id="rId7" ref="G4"/>
    <hyperlink r:id="rId8" ref="T4"/>
    <hyperlink r:id="rId9" ref="W4"/>
    <hyperlink r:id="rId10" ref="G5"/>
    <hyperlink r:id="rId11" ref="T5"/>
    <hyperlink r:id="rId12" ref="W5"/>
    <hyperlink r:id="rId13" ref="G6"/>
    <hyperlink r:id="rId14" ref="T6"/>
    <hyperlink r:id="rId15" ref="W6"/>
    <hyperlink r:id="rId16" ref="G7"/>
    <hyperlink r:id="rId17" ref="T7"/>
    <hyperlink r:id="rId18" ref="W7"/>
    <hyperlink r:id="rId19" ref="G8"/>
    <hyperlink r:id="rId20" ref="T8"/>
    <hyperlink r:id="rId21" ref="W8"/>
    <hyperlink r:id="rId22" ref="G9"/>
    <hyperlink r:id="rId23" ref="T9"/>
    <hyperlink r:id="rId24" ref="W9"/>
    <hyperlink r:id="rId25" ref="G10"/>
    <hyperlink r:id="rId26" ref="T10"/>
    <hyperlink r:id="rId27" ref="W10"/>
    <hyperlink r:id="rId28" ref="G11"/>
    <hyperlink r:id="rId29" ref="T11"/>
    <hyperlink r:id="rId30" ref="W11"/>
    <hyperlink r:id="rId31" ref="G12"/>
    <hyperlink r:id="rId32" ref="T12"/>
    <hyperlink r:id="rId33" ref="W12"/>
    <hyperlink r:id="rId34" ref="G13"/>
    <hyperlink r:id="rId35" ref="T13"/>
    <hyperlink r:id="rId36" ref="W13"/>
    <hyperlink r:id="rId37" ref="G14"/>
    <hyperlink r:id="rId38" ref="T14"/>
    <hyperlink r:id="rId39" ref="W14"/>
    <hyperlink r:id="rId40" ref="G15"/>
    <hyperlink r:id="rId41" ref="T15"/>
    <hyperlink r:id="rId42" ref="W15"/>
    <hyperlink r:id="rId43" ref="G16"/>
    <hyperlink r:id="rId44" ref="T16"/>
    <hyperlink r:id="rId45" ref="W16"/>
    <hyperlink r:id="rId46" ref="G17"/>
    <hyperlink r:id="rId47" ref="T17"/>
    <hyperlink r:id="rId48" ref="W17"/>
    <hyperlink r:id="rId49" ref="G18"/>
    <hyperlink r:id="rId50" ref="T18"/>
    <hyperlink r:id="rId51" ref="W18"/>
    <hyperlink r:id="rId52" ref="G19"/>
    <hyperlink r:id="rId53" ref="T19"/>
    <hyperlink r:id="rId54" ref="W19"/>
    <hyperlink r:id="rId55" ref="G20"/>
    <hyperlink r:id="rId56" ref="T20"/>
    <hyperlink r:id="rId57" ref="W20"/>
    <hyperlink r:id="rId58" ref="G21"/>
    <hyperlink r:id="rId59" ref="T21"/>
    <hyperlink r:id="rId60" ref="W21"/>
    <hyperlink r:id="rId61" ref="G22"/>
    <hyperlink r:id="rId62" ref="T22"/>
    <hyperlink r:id="rId63" ref="W22"/>
    <hyperlink r:id="rId64" ref="G23"/>
    <hyperlink r:id="rId65" ref="T23"/>
    <hyperlink r:id="rId66" ref="W23"/>
    <hyperlink r:id="rId67" ref="G24"/>
    <hyperlink r:id="rId68" ref="T24"/>
    <hyperlink r:id="rId69" ref="W24"/>
    <hyperlink r:id="rId70" ref="G25"/>
    <hyperlink r:id="rId71" ref="T25"/>
    <hyperlink r:id="rId72" ref="W25"/>
    <hyperlink r:id="rId73" ref="G26"/>
    <hyperlink r:id="rId74" ref="T26"/>
    <hyperlink r:id="rId75" ref="W26"/>
    <hyperlink r:id="rId76" ref="G27"/>
    <hyperlink r:id="rId77" ref="T27"/>
    <hyperlink r:id="rId78" ref="W27"/>
    <hyperlink r:id="rId79" ref="G28"/>
    <hyperlink r:id="rId80" ref="T28"/>
    <hyperlink r:id="rId81" ref="W28"/>
    <hyperlink r:id="rId82" ref="G29"/>
    <hyperlink r:id="rId83" ref="T29"/>
    <hyperlink r:id="rId84" ref="W29"/>
    <hyperlink r:id="rId85" ref="G30"/>
    <hyperlink r:id="rId86" ref="T30"/>
    <hyperlink r:id="rId87" ref="W30"/>
    <hyperlink r:id="rId88" ref="G31"/>
    <hyperlink r:id="rId89" ref="T31"/>
    <hyperlink r:id="rId90" ref="W31"/>
    <hyperlink r:id="rId91" ref="G32"/>
    <hyperlink r:id="rId92" ref="T32"/>
    <hyperlink r:id="rId93" ref="W32"/>
    <hyperlink r:id="rId94" ref="G33"/>
    <hyperlink r:id="rId95" ref="T33"/>
    <hyperlink r:id="rId96" ref="W33"/>
    <hyperlink r:id="rId97" ref="G34"/>
    <hyperlink r:id="rId98" ref="T34"/>
    <hyperlink r:id="rId99" ref="W34"/>
    <hyperlink r:id="rId100" ref="G35"/>
    <hyperlink r:id="rId101" ref="T35"/>
    <hyperlink r:id="rId102" ref="W35"/>
    <hyperlink r:id="rId103" ref="G36"/>
    <hyperlink r:id="rId104" ref="T36"/>
    <hyperlink r:id="rId105" ref="W36"/>
    <hyperlink r:id="rId106" ref="G37"/>
    <hyperlink r:id="rId107" ref="T37"/>
    <hyperlink r:id="rId108" ref="W37"/>
    <hyperlink r:id="rId109" ref="G38"/>
    <hyperlink r:id="rId110" ref="T38"/>
    <hyperlink r:id="rId111" ref="W38"/>
    <hyperlink r:id="rId112" ref="G39"/>
    <hyperlink r:id="rId113" ref="T39"/>
    <hyperlink r:id="rId114" ref="W39"/>
    <hyperlink r:id="rId115" ref="G40"/>
    <hyperlink r:id="rId116" ref="T40"/>
    <hyperlink r:id="rId117" ref="W40"/>
    <hyperlink r:id="rId118" ref="G41"/>
    <hyperlink r:id="rId119" ref="T41"/>
    <hyperlink r:id="rId120" ref="W41"/>
    <hyperlink r:id="rId121" ref="G42"/>
    <hyperlink r:id="rId122" ref="T42"/>
    <hyperlink r:id="rId123" ref="W42"/>
    <hyperlink r:id="rId124" ref="G43"/>
    <hyperlink r:id="rId125" ref="T43"/>
    <hyperlink r:id="rId126" ref="W43"/>
    <hyperlink r:id="rId127" ref="G44"/>
    <hyperlink r:id="rId128" ref="T44"/>
    <hyperlink r:id="rId129" ref="W44"/>
    <hyperlink r:id="rId130" ref="G45"/>
    <hyperlink r:id="rId131" ref="T45"/>
    <hyperlink r:id="rId132" ref="W45"/>
    <hyperlink r:id="rId133" ref="G46"/>
    <hyperlink r:id="rId134" ref="T46"/>
    <hyperlink r:id="rId135" ref="W46"/>
    <hyperlink r:id="rId136" ref="G47"/>
    <hyperlink r:id="rId137" ref="T47"/>
    <hyperlink r:id="rId138" ref="W47"/>
    <hyperlink r:id="rId139" ref="G48"/>
    <hyperlink r:id="rId140" ref="T48"/>
    <hyperlink r:id="rId141" ref="W48"/>
    <hyperlink r:id="rId142" ref="G49"/>
    <hyperlink r:id="rId143" ref="T49"/>
    <hyperlink r:id="rId144" ref="W49"/>
    <hyperlink r:id="rId145" ref="G50"/>
    <hyperlink r:id="rId146" ref="T50"/>
    <hyperlink r:id="rId147" ref="W50"/>
    <hyperlink r:id="rId148" ref="G51"/>
    <hyperlink r:id="rId149" ref="T51"/>
    <hyperlink r:id="rId150" ref="W51"/>
    <hyperlink r:id="rId151" ref="G52"/>
    <hyperlink r:id="rId152" ref="T52"/>
    <hyperlink r:id="rId153" ref="W52"/>
    <hyperlink r:id="rId154" ref="G53"/>
    <hyperlink r:id="rId155" ref="T53"/>
    <hyperlink r:id="rId156" ref="W53"/>
    <hyperlink r:id="rId157" ref="G54"/>
    <hyperlink r:id="rId158" ref="T54"/>
    <hyperlink r:id="rId159" ref="W54"/>
    <hyperlink r:id="rId160" ref="G55"/>
    <hyperlink r:id="rId161" ref="T55"/>
    <hyperlink r:id="rId162" ref="W55"/>
    <hyperlink r:id="rId163" ref="G56"/>
    <hyperlink r:id="rId164" ref="T56"/>
    <hyperlink r:id="rId165" ref="W56"/>
    <hyperlink r:id="rId166" ref="G57"/>
    <hyperlink r:id="rId167" ref="T57"/>
    <hyperlink r:id="rId168" ref="W57"/>
    <hyperlink r:id="rId169" ref="G58"/>
    <hyperlink r:id="rId170" ref="T58"/>
    <hyperlink r:id="rId171" ref="W58"/>
    <hyperlink r:id="rId172" ref="G59"/>
    <hyperlink r:id="rId173" ref="T59"/>
    <hyperlink r:id="rId174" ref="W59"/>
  </hyperlinks>
  <drawing r:id="rId17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63"/>
    <col customWidth="1" min="4" max="4" width="41.75"/>
  </cols>
  <sheetData>
    <row r="1">
      <c r="A1" s="256" t="s">
        <v>4840</v>
      </c>
      <c r="B1" s="3"/>
      <c r="C1" s="3"/>
      <c r="D1" s="5"/>
    </row>
    <row r="2">
      <c r="A2" s="257" t="s">
        <v>505</v>
      </c>
      <c r="B2" s="257" t="s">
        <v>4196</v>
      </c>
      <c r="C2" s="257" t="s">
        <v>2426</v>
      </c>
      <c r="D2" s="257" t="s">
        <v>4204</v>
      </c>
    </row>
    <row r="3">
      <c r="A3" s="132">
        <v>1.0</v>
      </c>
      <c r="B3" s="132" t="s">
        <v>4843</v>
      </c>
      <c r="C3" s="132" t="s">
        <v>4844</v>
      </c>
      <c r="D3" s="132" t="s">
        <v>4845</v>
      </c>
    </row>
    <row r="4">
      <c r="A4" s="132">
        <v>2.0</v>
      </c>
      <c r="B4" s="132" t="s">
        <v>4848</v>
      </c>
      <c r="C4" s="132" t="s">
        <v>4849</v>
      </c>
      <c r="D4" s="132" t="s">
        <v>4851</v>
      </c>
    </row>
    <row r="5">
      <c r="A5" s="132">
        <v>3.0</v>
      </c>
      <c r="B5" s="132" t="s">
        <v>4853</v>
      </c>
      <c r="C5" s="132" t="s">
        <v>4855</v>
      </c>
      <c r="D5" s="132" t="s">
        <v>4856</v>
      </c>
    </row>
    <row r="6">
      <c r="A6" s="132">
        <v>4.0</v>
      </c>
      <c r="B6" s="132" t="s">
        <v>4857</v>
      </c>
      <c r="C6" s="132" t="s">
        <v>4858</v>
      </c>
      <c r="D6" s="132" t="s">
        <v>4859</v>
      </c>
    </row>
    <row r="7">
      <c r="A7" s="132">
        <v>5.0</v>
      </c>
      <c r="B7" s="132" t="s">
        <v>4860</v>
      </c>
      <c r="C7" s="132" t="s">
        <v>4861</v>
      </c>
      <c r="D7" s="132" t="s">
        <v>4862</v>
      </c>
    </row>
    <row r="8">
      <c r="A8" s="132">
        <v>6.0</v>
      </c>
      <c r="B8" s="132" t="s">
        <v>4245</v>
      </c>
      <c r="C8" s="132" t="s">
        <v>4246</v>
      </c>
      <c r="D8" s="132" t="s">
        <v>4250</v>
      </c>
    </row>
    <row r="9">
      <c r="A9" s="132">
        <v>7.0</v>
      </c>
      <c r="B9" s="132" t="s">
        <v>4356</v>
      </c>
      <c r="C9" s="132" t="s">
        <v>4357</v>
      </c>
      <c r="D9" s="132" t="s">
        <v>4362</v>
      </c>
    </row>
    <row r="10">
      <c r="A10" s="132">
        <v>8.0</v>
      </c>
      <c r="B10" s="132" t="s">
        <v>4660</v>
      </c>
      <c r="C10" s="132" t="s">
        <v>4661</v>
      </c>
      <c r="D10" s="132" t="s">
        <v>4665</v>
      </c>
    </row>
  </sheetData>
  <mergeCells count="1">
    <mergeCell ref="A1:D1"/>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24.38"/>
  </cols>
  <sheetData>
    <row r="1">
      <c r="A1" s="258" t="s">
        <v>4901</v>
      </c>
    </row>
    <row r="2">
      <c r="A2" s="235" t="s">
        <v>4902</v>
      </c>
      <c r="B2" s="235" t="s">
        <v>4903</v>
      </c>
      <c r="C2" s="235" t="s">
        <v>4905</v>
      </c>
      <c r="D2" s="235" t="s">
        <v>4908</v>
      </c>
    </row>
    <row r="3">
      <c r="A3" s="10">
        <v>1.0</v>
      </c>
      <c r="B3" s="10" t="s">
        <v>4909</v>
      </c>
      <c r="C3" s="10" t="s">
        <v>4910</v>
      </c>
      <c r="D3" s="10" t="s">
        <v>4911</v>
      </c>
    </row>
    <row r="4">
      <c r="A4" s="10">
        <v>2.0</v>
      </c>
      <c r="B4" s="10" t="s">
        <v>4912</v>
      </c>
      <c r="C4" s="10" t="s">
        <v>4913</v>
      </c>
      <c r="D4" s="10" t="s">
        <v>4911</v>
      </c>
    </row>
    <row r="5">
      <c r="A5" s="10">
        <v>3.0</v>
      </c>
      <c r="B5" s="10" t="s">
        <v>4914</v>
      </c>
      <c r="C5" s="10" t="s">
        <v>4913</v>
      </c>
      <c r="D5" s="10" t="s">
        <v>4911</v>
      </c>
    </row>
    <row r="6">
      <c r="A6" s="10">
        <v>4.0</v>
      </c>
      <c r="B6" s="10" t="s">
        <v>4915</v>
      </c>
      <c r="C6" s="10" t="s">
        <v>4913</v>
      </c>
      <c r="D6" s="10" t="s">
        <v>4911</v>
      </c>
    </row>
    <row r="7">
      <c r="A7" s="10">
        <v>5.0</v>
      </c>
      <c r="B7" s="10" t="s">
        <v>4917</v>
      </c>
      <c r="C7" s="10" t="s">
        <v>4913</v>
      </c>
      <c r="D7" s="10" t="s">
        <v>4911</v>
      </c>
    </row>
    <row r="8">
      <c r="A8" s="10">
        <v>6.0</v>
      </c>
      <c r="B8" s="10" t="s">
        <v>4918</v>
      </c>
      <c r="C8" s="10" t="s">
        <v>4919</v>
      </c>
      <c r="D8" s="10" t="s">
        <v>4911</v>
      </c>
    </row>
    <row r="9">
      <c r="A9" s="10">
        <v>7.0</v>
      </c>
      <c r="B9" s="10" t="s">
        <v>4921</v>
      </c>
      <c r="C9" s="10" t="s">
        <v>4922</v>
      </c>
      <c r="D9" s="10" t="s">
        <v>4911</v>
      </c>
    </row>
    <row r="10">
      <c r="A10" s="10">
        <v>8.0</v>
      </c>
      <c r="B10" s="10" t="s">
        <v>4925</v>
      </c>
      <c r="C10" s="10" t="s">
        <v>4922</v>
      </c>
      <c r="D10" s="10" t="s">
        <v>4926</v>
      </c>
    </row>
    <row r="11">
      <c r="A11" s="10">
        <v>9.0</v>
      </c>
      <c r="B11" s="10" t="s">
        <v>4927</v>
      </c>
      <c r="C11" s="10" t="s">
        <v>4919</v>
      </c>
      <c r="D11" s="10" t="s">
        <v>4926</v>
      </c>
    </row>
    <row r="12">
      <c r="A12" s="10">
        <v>10.0</v>
      </c>
      <c r="B12" s="10" t="s">
        <v>4928</v>
      </c>
      <c r="C12" s="10" t="s">
        <v>4919</v>
      </c>
      <c r="D12" s="10" t="s">
        <v>4926</v>
      </c>
    </row>
    <row r="13">
      <c r="A13" s="10">
        <v>11.0</v>
      </c>
      <c r="B13" s="10" t="s">
        <v>4929</v>
      </c>
      <c r="C13" s="10" t="s">
        <v>4919</v>
      </c>
      <c r="D13" s="10" t="s">
        <v>4926</v>
      </c>
    </row>
    <row r="14">
      <c r="A14" s="10">
        <v>12.0</v>
      </c>
      <c r="B14" s="10" t="s">
        <v>4930</v>
      </c>
      <c r="C14" s="10" t="s">
        <v>4922</v>
      </c>
      <c r="D14" s="10" t="s">
        <v>4926</v>
      </c>
    </row>
    <row r="15">
      <c r="A15" s="10">
        <v>13.0</v>
      </c>
      <c r="B15" s="10" t="s">
        <v>4931</v>
      </c>
      <c r="C15" s="10" t="s">
        <v>4913</v>
      </c>
      <c r="D15" s="10" t="s">
        <v>4926</v>
      </c>
    </row>
    <row r="16">
      <c r="A16" s="10">
        <v>14.0</v>
      </c>
      <c r="B16" s="10" t="s">
        <v>4935</v>
      </c>
      <c r="C16" s="10" t="s">
        <v>4936</v>
      </c>
      <c r="D16" s="10" t="s">
        <v>4926</v>
      </c>
    </row>
    <row r="17">
      <c r="A17" s="10">
        <v>15.0</v>
      </c>
      <c r="B17" s="10" t="s">
        <v>4940</v>
      </c>
      <c r="C17" s="10" t="s">
        <v>4942</v>
      </c>
      <c r="D17" s="10" t="s">
        <v>4926</v>
      </c>
    </row>
    <row r="18">
      <c r="A18" s="10">
        <v>16.0</v>
      </c>
      <c r="B18" s="10" t="s">
        <v>4943</v>
      </c>
      <c r="C18" s="10" t="s">
        <v>4913</v>
      </c>
      <c r="D18" s="10" t="s">
        <v>4926</v>
      </c>
    </row>
    <row r="19">
      <c r="A19" s="10">
        <v>17.0</v>
      </c>
      <c r="B19" s="10" t="s">
        <v>4944</v>
      </c>
      <c r="C19" s="10" t="s">
        <v>4913</v>
      </c>
      <c r="D19" s="10" t="s">
        <v>4926</v>
      </c>
    </row>
    <row r="20">
      <c r="A20" s="10">
        <v>18.0</v>
      </c>
      <c r="B20" s="10" t="s">
        <v>4945</v>
      </c>
      <c r="C20" s="10" t="s">
        <v>4919</v>
      </c>
      <c r="D20" s="10" t="s">
        <v>4946</v>
      </c>
    </row>
    <row r="21">
      <c r="A21" s="10">
        <v>19.0</v>
      </c>
      <c r="B21" s="10" t="s">
        <v>4949</v>
      </c>
      <c r="C21" s="10" t="s">
        <v>4919</v>
      </c>
      <c r="D21" s="10" t="s">
        <v>4946</v>
      </c>
    </row>
    <row r="22">
      <c r="A22" s="10">
        <v>20.0</v>
      </c>
      <c r="B22" s="10" t="s">
        <v>4951</v>
      </c>
      <c r="C22" s="10" t="s">
        <v>4922</v>
      </c>
      <c r="D22" s="10" t="s">
        <v>4946</v>
      </c>
    </row>
    <row r="23">
      <c r="A23" s="10">
        <v>21.0</v>
      </c>
      <c r="B23" s="10" t="s">
        <v>4952</v>
      </c>
      <c r="C23" s="10" t="s">
        <v>4919</v>
      </c>
      <c r="D23" s="10" t="s">
        <v>4946</v>
      </c>
    </row>
    <row r="24">
      <c r="A24" s="10">
        <v>22.0</v>
      </c>
      <c r="B24" s="10" t="s">
        <v>4953</v>
      </c>
      <c r="C24" s="10" t="s">
        <v>4919</v>
      </c>
      <c r="D24" s="10" t="s">
        <v>4946</v>
      </c>
    </row>
    <row r="25">
      <c r="A25" s="10">
        <v>23.0</v>
      </c>
      <c r="B25" s="10" t="s">
        <v>4955</v>
      </c>
      <c r="C25" s="10" t="s">
        <v>4913</v>
      </c>
      <c r="D25" s="10" t="s">
        <v>4946</v>
      </c>
    </row>
    <row r="26">
      <c r="A26" s="10">
        <v>24.0</v>
      </c>
      <c r="B26" s="10" t="s">
        <v>4956</v>
      </c>
      <c r="C26" s="10" t="s">
        <v>4942</v>
      </c>
      <c r="D26" s="10" t="s">
        <v>4946</v>
      </c>
    </row>
    <row r="27">
      <c r="A27" s="10">
        <v>25.0</v>
      </c>
      <c r="B27" s="10" t="s">
        <v>4959</v>
      </c>
      <c r="C27" s="10" t="s">
        <v>4913</v>
      </c>
      <c r="D27" s="10" t="s">
        <v>4946</v>
      </c>
    </row>
    <row r="28">
      <c r="A28" s="10">
        <v>26.0</v>
      </c>
      <c r="B28" s="10" t="s">
        <v>4961</v>
      </c>
      <c r="C28" s="10" t="s">
        <v>4922</v>
      </c>
      <c r="D28" s="10" t="s">
        <v>1576</v>
      </c>
    </row>
    <row r="29">
      <c r="A29" s="10">
        <v>27.0</v>
      </c>
      <c r="B29" s="10" t="s">
        <v>4962</v>
      </c>
      <c r="C29" s="10" t="s">
        <v>4922</v>
      </c>
      <c r="D29" s="10" t="s">
        <v>1576</v>
      </c>
    </row>
    <row r="30">
      <c r="A30" s="10">
        <v>28.0</v>
      </c>
      <c r="B30" s="10" t="s">
        <v>4963</v>
      </c>
      <c r="C30" s="10" t="s">
        <v>4919</v>
      </c>
      <c r="D30" s="10" t="s">
        <v>1576</v>
      </c>
    </row>
    <row r="31">
      <c r="A31" s="10">
        <v>29.0</v>
      </c>
      <c r="B31" s="10" t="s">
        <v>4964</v>
      </c>
      <c r="C31" s="10" t="s">
        <v>4922</v>
      </c>
      <c r="D31" s="10" t="s">
        <v>1576</v>
      </c>
    </row>
    <row r="32">
      <c r="A32" s="10">
        <v>30.0</v>
      </c>
      <c r="B32" s="10" t="s">
        <v>4965</v>
      </c>
      <c r="C32" s="10" t="s">
        <v>4919</v>
      </c>
      <c r="D32" s="10" t="s">
        <v>1576</v>
      </c>
    </row>
    <row r="33">
      <c r="A33" s="10">
        <v>31.0</v>
      </c>
      <c r="B33" s="10" t="s">
        <v>4968</v>
      </c>
      <c r="C33" s="10" t="s">
        <v>4919</v>
      </c>
      <c r="D33" s="10" t="s">
        <v>1576</v>
      </c>
    </row>
    <row r="34">
      <c r="A34" s="10">
        <v>32.0</v>
      </c>
      <c r="B34" s="10" t="s">
        <v>4972</v>
      </c>
      <c r="C34" s="10" t="s">
        <v>4922</v>
      </c>
      <c r="D34" s="10" t="s">
        <v>1576</v>
      </c>
    </row>
    <row r="35">
      <c r="A35" s="10">
        <v>33.0</v>
      </c>
      <c r="B35" s="10" t="s">
        <v>4975</v>
      </c>
      <c r="C35" s="10" t="s">
        <v>4922</v>
      </c>
      <c r="D35" s="10" t="s">
        <v>1576</v>
      </c>
    </row>
    <row r="36">
      <c r="A36" s="10">
        <v>34.0</v>
      </c>
      <c r="B36" s="10" t="s">
        <v>4976</v>
      </c>
      <c r="C36" s="10" t="s">
        <v>4919</v>
      </c>
      <c r="D36" s="10" t="s">
        <v>1576</v>
      </c>
    </row>
    <row r="37">
      <c r="A37" s="10">
        <v>35.0</v>
      </c>
      <c r="B37" s="10" t="s">
        <v>4977</v>
      </c>
      <c r="C37" s="10" t="s">
        <v>4919</v>
      </c>
      <c r="D37" s="10" t="s">
        <v>1576</v>
      </c>
    </row>
    <row r="38">
      <c r="A38" s="10">
        <v>36.0</v>
      </c>
      <c r="B38" s="10" t="s">
        <v>4981</v>
      </c>
      <c r="C38" s="10" t="s">
        <v>4922</v>
      </c>
      <c r="D38" s="10" t="s">
        <v>1576</v>
      </c>
    </row>
    <row r="39">
      <c r="A39" s="10">
        <v>37.0</v>
      </c>
      <c r="B39" s="10" t="s">
        <v>4982</v>
      </c>
      <c r="C39" s="10" t="s">
        <v>4919</v>
      </c>
      <c r="D39" s="10" t="s">
        <v>1576</v>
      </c>
    </row>
    <row r="40">
      <c r="A40" s="10">
        <v>38.0</v>
      </c>
      <c r="B40" s="10" t="s">
        <v>4983</v>
      </c>
      <c r="C40" s="10" t="s">
        <v>4913</v>
      </c>
      <c r="D40" s="10" t="s">
        <v>1576</v>
      </c>
    </row>
    <row r="41">
      <c r="A41" s="10">
        <v>39.0</v>
      </c>
      <c r="B41" s="10" t="s">
        <v>4984</v>
      </c>
      <c r="C41" s="10" t="s">
        <v>4913</v>
      </c>
      <c r="D41" s="10" t="s">
        <v>1576</v>
      </c>
    </row>
    <row r="42">
      <c r="A42" s="10">
        <v>40.0</v>
      </c>
      <c r="B42" s="10" t="s">
        <v>4987</v>
      </c>
      <c r="C42" s="10" t="s">
        <v>4919</v>
      </c>
      <c r="D42" s="10" t="s">
        <v>1576</v>
      </c>
    </row>
    <row r="43">
      <c r="A43" s="10">
        <v>41.0</v>
      </c>
      <c r="B43" s="10" t="s">
        <v>4990</v>
      </c>
      <c r="C43" s="10" t="s">
        <v>4913</v>
      </c>
      <c r="D43" s="10" t="s">
        <v>1576</v>
      </c>
    </row>
  </sheetData>
  <mergeCells count="1">
    <mergeCell ref="A1:D1"/>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2" max="2" width="15.0"/>
    <col customWidth="1" min="3" max="3" width="28.5"/>
    <col customWidth="1" min="5" max="5" width="20.38"/>
  </cols>
  <sheetData>
    <row r="1">
      <c r="A1" s="259" t="s">
        <v>5022</v>
      </c>
      <c r="B1" s="260"/>
      <c r="C1" s="260"/>
      <c r="D1" s="260"/>
      <c r="E1" s="260"/>
    </row>
    <row r="2">
      <c r="A2" s="261" t="s">
        <v>4902</v>
      </c>
      <c r="B2" s="262" t="s">
        <v>5025</v>
      </c>
      <c r="C2" s="263" t="s">
        <v>5026</v>
      </c>
      <c r="D2" s="263" t="s">
        <v>5027</v>
      </c>
      <c r="E2" s="263" t="s">
        <v>5028</v>
      </c>
    </row>
    <row r="3">
      <c r="A3" s="264">
        <v>1.0</v>
      </c>
      <c r="B3" s="265">
        <v>44107.0</v>
      </c>
      <c r="C3" s="266" t="s">
        <v>5029</v>
      </c>
      <c r="D3" s="266" t="s">
        <v>4741</v>
      </c>
      <c r="E3" s="266" t="s">
        <v>5031</v>
      </c>
    </row>
    <row r="4">
      <c r="A4" s="264">
        <v>2.0</v>
      </c>
      <c r="B4" s="265" t="s">
        <v>5034</v>
      </c>
      <c r="C4" s="266" t="s">
        <v>5035</v>
      </c>
      <c r="D4" s="266" t="s">
        <v>860</v>
      </c>
      <c r="E4" s="266" t="s">
        <v>5036</v>
      </c>
    </row>
    <row r="5">
      <c r="A5" s="264">
        <v>3.0</v>
      </c>
      <c r="B5" s="265">
        <v>44840.0</v>
      </c>
      <c r="C5" s="266" t="s">
        <v>5038</v>
      </c>
      <c r="D5" s="266" t="s">
        <v>5040</v>
      </c>
      <c r="E5" s="266" t="s">
        <v>5041</v>
      </c>
    </row>
    <row r="6">
      <c r="A6" s="264">
        <v>4.0</v>
      </c>
      <c r="B6" s="265" t="s">
        <v>5042</v>
      </c>
      <c r="C6" s="266" t="s">
        <v>5043</v>
      </c>
      <c r="D6" s="266" t="s">
        <v>5044</v>
      </c>
      <c r="E6" s="266" t="s">
        <v>5045</v>
      </c>
    </row>
    <row r="7">
      <c r="A7" s="264">
        <v>5.0</v>
      </c>
      <c r="B7" s="265" t="s">
        <v>5047</v>
      </c>
      <c r="C7" s="266" t="s">
        <v>5048</v>
      </c>
      <c r="D7" s="266" t="s">
        <v>5050</v>
      </c>
      <c r="E7" s="266" t="s">
        <v>5051</v>
      </c>
    </row>
    <row r="8">
      <c r="A8" s="264">
        <v>6.0</v>
      </c>
      <c r="B8" s="265" t="s">
        <v>5052</v>
      </c>
      <c r="C8" s="266" t="s">
        <v>5053</v>
      </c>
      <c r="D8" s="266" t="s">
        <v>5054</v>
      </c>
      <c r="E8" s="266" t="s">
        <v>5055</v>
      </c>
    </row>
    <row r="9">
      <c r="A9" s="264">
        <v>7.0</v>
      </c>
      <c r="B9" s="265" t="s">
        <v>5056</v>
      </c>
      <c r="C9" s="266" t="s">
        <v>5057</v>
      </c>
      <c r="D9" s="266" t="s">
        <v>5058</v>
      </c>
      <c r="E9" s="266" t="s">
        <v>5059</v>
      </c>
    </row>
    <row r="10">
      <c r="A10" s="264">
        <v>8.0</v>
      </c>
      <c r="B10" s="265" t="s">
        <v>5060</v>
      </c>
      <c r="C10" s="266" t="s">
        <v>5061</v>
      </c>
      <c r="D10" s="266" t="s">
        <v>860</v>
      </c>
      <c r="E10" s="266" t="s">
        <v>5062</v>
      </c>
    </row>
    <row r="11">
      <c r="A11" s="264">
        <v>9.0</v>
      </c>
      <c r="B11" s="265">
        <v>44961.0</v>
      </c>
      <c r="C11" s="266" t="s">
        <v>5065</v>
      </c>
      <c r="D11" s="266" t="s">
        <v>5054</v>
      </c>
      <c r="E11" s="266" t="s">
        <v>5067</v>
      </c>
    </row>
    <row r="12">
      <c r="A12" s="264">
        <v>10.0</v>
      </c>
      <c r="B12" s="265">
        <v>44991.0</v>
      </c>
      <c r="C12" s="266" t="s">
        <v>5068</v>
      </c>
      <c r="D12" s="266" t="s">
        <v>4741</v>
      </c>
      <c r="E12" s="266" t="s">
        <v>5069</v>
      </c>
    </row>
    <row r="13">
      <c r="A13" s="264">
        <v>11.0</v>
      </c>
      <c r="B13" s="265">
        <v>45206.0</v>
      </c>
      <c r="C13" s="266" t="s">
        <v>5070</v>
      </c>
      <c r="D13" s="266" t="s">
        <v>5044</v>
      </c>
      <c r="E13" s="266" t="s">
        <v>5071</v>
      </c>
    </row>
    <row r="14">
      <c r="A14" s="264">
        <v>12.0</v>
      </c>
      <c r="B14" s="265" t="s">
        <v>5072</v>
      </c>
      <c r="C14" s="266" t="s">
        <v>5074</v>
      </c>
      <c r="D14" s="266" t="s">
        <v>5054</v>
      </c>
      <c r="E14" s="266" t="s">
        <v>5075</v>
      </c>
    </row>
    <row r="15">
      <c r="A15" s="264">
        <v>13.0</v>
      </c>
      <c r="B15" s="265" t="s">
        <v>5076</v>
      </c>
      <c r="C15" s="266" t="s">
        <v>5077</v>
      </c>
      <c r="D15" s="266" t="s">
        <v>860</v>
      </c>
      <c r="E15" s="266" t="s">
        <v>5079</v>
      </c>
    </row>
    <row r="16">
      <c r="A16" s="264">
        <v>14.0</v>
      </c>
      <c r="B16" s="265" t="s">
        <v>5081</v>
      </c>
      <c r="C16" s="266" t="s">
        <v>5082</v>
      </c>
      <c r="D16" s="266" t="s">
        <v>860</v>
      </c>
      <c r="E16" s="266" t="s">
        <v>5083</v>
      </c>
    </row>
    <row r="17">
      <c r="A17" s="264">
        <v>15.0</v>
      </c>
      <c r="B17" s="265" t="s">
        <v>5085</v>
      </c>
      <c r="C17" s="266" t="s">
        <v>5087</v>
      </c>
      <c r="D17" s="266" t="s">
        <v>860</v>
      </c>
      <c r="E17" s="266" t="s">
        <v>5089</v>
      </c>
    </row>
    <row r="18">
      <c r="A18" s="264">
        <v>16.0</v>
      </c>
      <c r="B18" s="265" t="s">
        <v>5090</v>
      </c>
      <c r="C18" s="266" t="s">
        <v>5091</v>
      </c>
      <c r="D18" s="266" t="s">
        <v>4741</v>
      </c>
      <c r="E18" s="266" t="s">
        <v>5092</v>
      </c>
    </row>
    <row r="19">
      <c r="A19" s="264">
        <v>17.0</v>
      </c>
      <c r="B19" s="265" t="s">
        <v>5093</v>
      </c>
      <c r="C19" s="266" t="s">
        <v>5094</v>
      </c>
      <c r="D19" s="266" t="s">
        <v>5095</v>
      </c>
      <c r="E19" s="266" t="s">
        <v>5096</v>
      </c>
    </row>
    <row r="20">
      <c r="A20" s="264">
        <v>18.0</v>
      </c>
      <c r="B20" s="265">
        <v>45573.0</v>
      </c>
      <c r="C20" s="266" t="s">
        <v>5097</v>
      </c>
      <c r="D20" s="266" t="s">
        <v>5098</v>
      </c>
      <c r="E20" s="266" t="s">
        <v>5099</v>
      </c>
    </row>
    <row r="21">
      <c r="A21" s="264">
        <v>19.0</v>
      </c>
      <c r="B21" s="265" t="s">
        <v>5102</v>
      </c>
      <c r="C21" s="266" t="s">
        <v>5103</v>
      </c>
      <c r="D21" s="266" t="s">
        <v>5054</v>
      </c>
      <c r="E21" s="266" t="s">
        <v>5104</v>
      </c>
    </row>
    <row r="22">
      <c r="A22" s="264">
        <v>20.0</v>
      </c>
      <c r="B22" s="265" t="s">
        <v>5105</v>
      </c>
      <c r="C22" s="266" t="s">
        <v>5106</v>
      </c>
      <c r="D22" s="266" t="s">
        <v>5054</v>
      </c>
      <c r="E22" s="266" t="s">
        <v>5108</v>
      </c>
    </row>
    <row r="23">
      <c r="A23" s="264">
        <v>21.0</v>
      </c>
      <c r="B23" s="265" t="s">
        <v>5110</v>
      </c>
      <c r="C23" s="266" t="s">
        <v>5112</v>
      </c>
      <c r="D23" s="266" t="s">
        <v>5054</v>
      </c>
      <c r="E23" s="266" t="s">
        <v>5113</v>
      </c>
    </row>
    <row r="24">
      <c r="A24" s="264">
        <v>22.0</v>
      </c>
      <c r="B24" s="265" t="s">
        <v>5116</v>
      </c>
      <c r="C24" s="266" t="s">
        <v>5118</v>
      </c>
      <c r="D24" s="266" t="s">
        <v>860</v>
      </c>
      <c r="E24" s="266" t="s">
        <v>5119</v>
      </c>
    </row>
    <row r="25">
      <c r="A25" s="264">
        <v>23.0</v>
      </c>
      <c r="B25" s="265" t="s">
        <v>5120</v>
      </c>
      <c r="C25" s="266" t="s">
        <v>5121</v>
      </c>
      <c r="D25" s="266" t="s">
        <v>5054</v>
      </c>
      <c r="E25" s="266" t="s">
        <v>5122</v>
      </c>
    </row>
    <row r="26">
      <c r="A26" s="264">
        <v>24.0</v>
      </c>
      <c r="B26" s="265">
        <v>45782.0</v>
      </c>
      <c r="C26" s="266" t="s">
        <v>5123</v>
      </c>
      <c r="D26" s="266" t="s">
        <v>4741</v>
      </c>
      <c r="E26" s="266" t="s">
        <v>5124</v>
      </c>
    </row>
    <row r="27">
      <c r="A27" s="264">
        <v>25.0</v>
      </c>
      <c r="B27" s="265" t="s">
        <v>5125</v>
      </c>
      <c r="C27" s="266" t="s">
        <v>5126</v>
      </c>
      <c r="D27" s="266" t="s">
        <v>5128</v>
      </c>
      <c r="E27" s="266" t="s">
        <v>5130</v>
      </c>
    </row>
    <row r="28">
      <c r="A28" s="264">
        <v>26.0</v>
      </c>
      <c r="B28" s="265" t="s">
        <v>5132</v>
      </c>
      <c r="C28" s="266" t="s">
        <v>5133</v>
      </c>
      <c r="D28" s="266" t="s">
        <v>5128</v>
      </c>
      <c r="E28" s="266" t="s">
        <v>5134</v>
      </c>
    </row>
    <row r="29">
      <c r="A29" s="264">
        <v>27.0</v>
      </c>
      <c r="B29" s="265" t="s">
        <v>5135</v>
      </c>
      <c r="C29" s="266" t="s">
        <v>5136</v>
      </c>
      <c r="D29" s="266" t="s">
        <v>5137</v>
      </c>
      <c r="E29" s="266" t="s">
        <v>5138</v>
      </c>
    </row>
    <row r="30">
      <c r="A30" s="264">
        <v>28.0</v>
      </c>
      <c r="B30" s="265" t="s">
        <v>5139</v>
      </c>
      <c r="C30" s="266" t="s">
        <v>5140</v>
      </c>
      <c r="D30" s="266" t="s">
        <v>5137</v>
      </c>
      <c r="E30" s="266" t="s">
        <v>5141</v>
      </c>
    </row>
    <row r="31">
      <c r="A31" s="264">
        <v>29.0</v>
      </c>
      <c r="B31" s="265" t="s">
        <v>5142</v>
      </c>
      <c r="C31" s="266" t="s">
        <v>5143</v>
      </c>
      <c r="D31" s="266" t="s">
        <v>5137</v>
      </c>
      <c r="E31" s="266" t="s">
        <v>5144</v>
      </c>
    </row>
    <row r="32">
      <c r="A32" s="264">
        <v>30.0</v>
      </c>
      <c r="B32" s="265" t="s">
        <v>5142</v>
      </c>
      <c r="C32" s="266" t="s">
        <v>5145</v>
      </c>
      <c r="D32" s="266" t="s">
        <v>5137</v>
      </c>
      <c r="E32" s="266" t="s">
        <v>5146</v>
      </c>
    </row>
    <row r="33">
      <c r="A33" s="264">
        <v>31.0</v>
      </c>
      <c r="B33" s="265">
        <v>45694.0</v>
      </c>
      <c r="C33" s="266" t="s">
        <v>5148</v>
      </c>
      <c r="D33" s="266" t="s">
        <v>5150</v>
      </c>
      <c r="E33" s="266" t="s">
        <v>5152</v>
      </c>
    </row>
  </sheetData>
  <mergeCells count="1">
    <mergeCell ref="A1:E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5185</v>
      </c>
      <c r="B1" s="3"/>
      <c r="C1" s="3"/>
      <c r="D1" s="3"/>
      <c r="E1" s="3"/>
      <c r="F1" s="3"/>
      <c r="G1" s="3"/>
      <c r="H1" s="3"/>
      <c r="I1" s="3"/>
      <c r="J1" s="3"/>
      <c r="K1" s="3"/>
      <c r="L1" s="3"/>
      <c r="M1" s="3"/>
      <c r="N1" s="5"/>
    </row>
    <row r="2">
      <c r="A2" s="16" t="s">
        <v>12</v>
      </c>
      <c r="B2" s="16" t="s">
        <v>23</v>
      </c>
      <c r="C2" s="16" t="s">
        <v>28</v>
      </c>
      <c r="D2" s="16" t="s">
        <v>30</v>
      </c>
      <c r="E2" s="16" t="s">
        <v>24</v>
      </c>
      <c r="F2" s="16" t="s">
        <v>31</v>
      </c>
      <c r="G2" s="16" t="s">
        <v>32</v>
      </c>
      <c r="H2" s="16" t="s">
        <v>27</v>
      </c>
      <c r="I2" s="16" t="s">
        <v>34</v>
      </c>
      <c r="J2" s="16" t="s">
        <v>38</v>
      </c>
      <c r="K2" s="16" t="s">
        <v>40</v>
      </c>
      <c r="L2" s="16" t="s">
        <v>5195</v>
      </c>
      <c r="M2" s="16" t="s">
        <v>5196</v>
      </c>
      <c r="N2" s="16" t="s">
        <v>5197</v>
      </c>
    </row>
    <row r="3">
      <c r="A3" s="21">
        <v>1.0</v>
      </c>
      <c r="B3" s="21" t="s">
        <v>80</v>
      </c>
      <c r="C3" s="21" t="s">
        <v>454</v>
      </c>
      <c r="D3" s="21" t="s">
        <v>308</v>
      </c>
      <c r="E3" s="21" t="s">
        <v>82</v>
      </c>
      <c r="F3" s="21">
        <v>9.821733362E9</v>
      </c>
      <c r="G3" s="21" t="s">
        <v>84</v>
      </c>
      <c r="H3" s="26"/>
      <c r="I3" s="26"/>
      <c r="J3" s="21" t="s">
        <v>85</v>
      </c>
      <c r="K3" s="21" t="s">
        <v>87</v>
      </c>
      <c r="L3" s="268">
        <v>1131227.0</v>
      </c>
      <c r="M3" s="268">
        <v>1.0219765E7</v>
      </c>
      <c r="N3" s="268">
        <v>2.34E7</v>
      </c>
    </row>
    <row r="4">
      <c r="A4" s="21">
        <v>2.0</v>
      </c>
      <c r="B4" s="21" t="s">
        <v>55</v>
      </c>
      <c r="C4" s="21" t="s">
        <v>284</v>
      </c>
      <c r="D4" s="21" t="s">
        <v>137</v>
      </c>
      <c r="E4" s="21" t="s">
        <v>57</v>
      </c>
      <c r="F4" s="21">
        <v>9.66737393E9</v>
      </c>
      <c r="G4" s="21" t="s">
        <v>59</v>
      </c>
      <c r="H4" s="224" t="s">
        <v>283</v>
      </c>
      <c r="I4" s="269">
        <v>43679.0</v>
      </c>
      <c r="J4" s="21" t="s">
        <v>61</v>
      </c>
      <c r="K4" s="21" t="s">
        <v>62</v>
      </c>
      <c r="L4" s="268">
        <v>5952364.0</v>
      </c>
      <c r="M4" s="268">
        <v>8409584.0</v>
      </c>
      <c r="N4" s="268">
        <v>2.2793934E7</v>
      </c>
    </row>
    <row r="5">
      <c r="A5" s="21">
        <v>3.0</v>
      </c>
      <c r="B5" s="21" t="s">
        <v>89</v>
      </c>
      <c r="C5" s="21" t="s">
        <v>5207</v>
      </c>
      <c r="D5" s="21" t="s">
        <v>259</v>
      </c>
      <c r="E5" s="21" t="s">
        <v>90</v>
      </c>
      <c r="F5" s="21">
        <v>8.130925826E9</v>
      </c>
      <c r="G5" s="21" t="s">
        <v>91</v>
      </c>
      <c r="H5" s="224" t="s">
        <v>701</v>
      </c>
      <c r="I5" s="269">
        <v>43862.0</v>
      </c>
      <c r="J5" s="21" t="s">
        <v>92</v>
      </c>
      <c r="K5" s="21" t="s">
        <v>93</v>
      </c>
      <c r="L5" s="268">
        <v>7000000.0</v>
      </c>
      <c r="M5" s="268">
        <v>8000000.0</v>
      </c>
      <c r="N5" s="268">
        <v>2.0E7</v>
      </c>
    </row>
    <row r="6">
      <c r="A6" s="21">
        <v>4.0</v>
      </c>
      <c r="B6" s="21" t="s">
        <v>66</v>
      </c>
      <c r="C6" s="21" t="s">
        <v>118</v>
      </c>
      <c r="D6" s="21" t="s">
        <v>137</v>
      </c>
      <c r="E6" s="21" t="s">
        <v>68</v>
      </c>
      <c r="F6" s="21">
        <v>9.871644652E9</v>
      </c>
      <c r="G6" s="21" t="s">
        <v>69</v>
      </c>
      <c r="H6" s="21" t="s">
        <v>552</v>
      </c>
      <c r="I6" s="21" t="s">
        <v>570</v>
      </c>
      <c r="J6" s="21" t="s">
        <v>70</v>
      </c>
      <c r="K6" s="21" t="s">
        <v>71</v>
      </c>
      <c r="L6" s="268">
        <v>2.5916337E7</v>
      </c>
      <c r="M6" s="268">
        <v>2.2129094E7</v>
      </c>
      <c r="N6" s="268">
        <v>1.5535018E7</v>
      </c>
    </row>
    <row r="7">
      <c r="A7" s="21">
        <v>5.0</v>
      </c>
      <c r="B7" s="21" t="s">
        <v>5216</v>
      </c>
      <c r="C7" s="21" t="s">
        <v>254</v>
      </c>
      <c r="D7" s="21" t="s">
        <v>308</v>
      </c>
      <c r="E7" s="21" t="s">
        <v>74</v>
      </c>
      <c r="F7" s="21">
        <v>7.018232177E9</v>
      </c>
      <c r="G7" s="21" t="s">
        <v>76</v>
      </c>
      <c r="H7" s="26"/>
      <c r="I7" s="26"/>
      <c r="J7" s="21" t="s">
        <v>77</v>
      </c>
      <c r="K7" s="26"/>
      <c r="L7" s="270"/>
      <c r="M7" s="268">
        <v>1.4E7</v>
      </c>
      <c r="N7" s="268">
        <v>1.0E7</v>
      </c>
    </row>
    <row r="8">
      <c r="A8" s="21">
        <v>6.0</v>
      </c>
      <c r="B8" s="21" t="s">
        <v>138</v>
      </c>
      <c r="C8" s="21" t="s">
        <v>377</v>
      </c>
      <c r="D8" s="21" t="s">
        <v>259</v>
      </c>
      <c r="E8" s="21" t="s">
        <v>139</v>
      </c>
      <c r="F8" s="21">
        <v>7.303015135E9</v>
      </c>
      <c r="G8" s="21" t="s">
        <v>142</v>
      </c>
      <c r="H8" s="224" t="s">
        <v>891</v>
      </c>
      <c r="I8" s="269">
        <v>45391.0</v>
      </c>
      <c r="J8" s="21" t="s">
        <v>143</v>
      </c>
      <c r="K8" s="21" t="s">
        <v>144</v>
      </c>
      <c r="L8" s="268" t="s">
        <v>2449</v>
      </c>
      <c r="M8" s="268">
        <v>1000000.0</v>
      </c>
      <c r="N8" s="268">
        <v>7000000.0</v>
      </c>
    </row>
    <row r="9">
      <c r="A9" s="21">
        <v>7.0</v>
      </c>
      <c r="B9" s="21" t="s">
        <v>221</v>
      </c>
      <c r="C9" s="21" t="s">
        <v>5223</v>
      </c>
      <c r="D9" s="21" t="s">
        <v>259</v>
      </c>
      <c r="E9" s="21" t="s">
        <v>223</v>
      </c>
      <c r="F9" s="21">
        <v>8.105870564E9</v>
      </c>
      <c r="G9" s="21" t="s">
        <v>226</v>
      </c>
      <c r="H9" s="224" t="s">
        <v>873</v>
      </c>
      <c r="I9" s="224" t="s">
        <v>465</v>
      </c>
      <c r="J9" s="21" t="s">
        <v>228</v>
      </c>
      <c r="K9" s="21" t="s">
        <v>230</v>
      </c>
      <c r="L9" s="270"/>
      <c r="M9" s="270"/>
      <c r="N9" s="268">
        <v>6892604.0</v>
      </c>
    </row>
    <row r="10">
      <c r="A10" s="21">
        <v>8.0</v>
      </c>
      <c r="B10" s="21" t="s">
        <v>1161</v>
      </c>
      <c r="C10" s="21" t="s">
        <v>254</v>
      </c>
      <c r="D10" s="21" t="s">
        <v>308</v>
      </c>
      <c r="E10" s="21" t="s">
        <v>176</v>
      </c>
      <c r="F10" s="21">
        <v>9.811580597E9</v>
      </c>
      <c r="G10" s="21" t="s">
        <v>179</v>
      </c>
      <c r="H10" s="26"/>
      <c r="I10" s="26"/>
      <c r="J10" s="21" t="s">
        <v>77</v>
      </c>
      <c r="K10" s="26"/>
      <c r="L10" s="270"/>
      <c r="M10" s="270"/>
      <c r="N10" s="268">
        <v>2400000.0</v>
      </c>
    </row>
    <row r="11">
      <c r="A11" s="21">
        <v>9.0</v>
      </c>
      <c r="B11" s="21" t="s">
        <v>119</v>
      </c>
      <c r="C11" s="21" t="s">
        <v>284</v>
      </c>
      <c r="D11" s="21" t="s">
        <v>259</v>
      </c>
      <c r="E11" s="21" t="s">
        <v>121</v>
      </c>
      <c r="F11" s="21">
        <v>9.897888324E9</v>
      </c>
      <c r="G11" s="21" t="s">
        <v>122</v>
      </c>
      <c r="H11" s="224" t="s">
        <v>323</v>
      </c>
      <c r="I11" s="271">
        <v>42917.0</v>
      </c>
      <c r="J11" s="21" t="s">
        <v>124</v>
      </c>
      <c r="K11" s="21" t="s">
        <v>125</v>
      </c>
      <c r="L11" s="22">
        <v>1000000.0</v>
      </c>
      <c r="M11" s="21">
        <v>1100000.0</v>
      </c>
      <c r="N11" s="21">
        <v>1600000.0</v>
      </c>
    </row>
    <row r="12">
      <c r="A12" s="21">
        <v>10.0</v>
      </c>
      <c r="B12" s="21" t="s">
        <v>231</v>
      </c>
      <c r="C12" s="21" t="s">
        <v>118</v>
      </c>
      <c r="D12" s="21" t="s">
        <v>177</v>
      </c>
      <c r="E12" s="21" t="s">
        <v>233</v>
      </c>
      <c r="F12" s="21">
        <v>8.802414439E9</v>
      </c>
      <c r="G12" s="21" t="s">
        <v>235</v>
      </c>
      <c r="H12" s="224" t="s">
        <v>941</v>
      </c>
      <c r="I12" s="224" t="s">
        <v>563</v>
      </c>
      <c r="J12" s="21" t="s">
        <v>237</v>
      </c>
      <c r="K12" s="21" t="s">
        <v>238</v>
      </c>
      <c r="L12" s="270"/>
      <c r="M12" s="268">
        <v>350000.0</v>
      </c>
      <c r="N12" s="268">
        <v>300000.0</v>
      </c>
    </row>
    <row r="13">
      <c r="A13" s="21">
        <v>11.0</v>
      </c>
      <c r="B13" s="21" t="s">
        <v>493</v>
      </c>
      <c r="C13" s="21" t="s">
        <v>498</v>
      </c>
      <c r="D13" s="21" t="s">
        <v>259</v>
      </c>
      <c r="E13" s="21" t="s">
        <v>274</v>
      </c>
      <c r="F13" s="21">
        <v>9.536522228E9</v>
      </c>
      <c r="G13" s="21" t="s">
        <v>276</v>
      </c>
      <c r="H13" s="224" t="s">
        <v>497</v>
      </c>
      <c r="I13" s="271">
        <v>44813.0</v>
      </c>
      <c r="J13" s="21" t="s">
        <v>278</v>
      </c>
      <c r="K13" s="21" t="s">
        <v>281</v>
      </c>
      <c r="L13" s="268">
        <v>798146.0</v>
      </c>
      <c r="M13" s="268">
        <v>506064.0</v>
      </c>
      <c r="N13" s="272">
        <v>300000.0</v>
      </c>
    </row>
    <row r="14">
      <c r="A14" s="21">
        <v>12.0</v>
      </c>
      <c r="B14" s="21" t="s">
        <v>149</v>
      </c>
      <c r="C14" s="21" t="s">
        <v>284</v>
      </c>
      <c r="D14" s="21" t="s">
        <v>259</v>
      </c>
      <c r="E14" s="21" t="s">
        <v>150</v>
      </c>
      <c r="F14" s="21">
        <v>8.8004655E9</v>
      </c>
      <c r="G14" s="21" t="s">
        <v>152</v>
      </c>
      <c r="H14" s="224" t="s">
        <v>612</v>
      </c>
      <c r="I14" s="224" t="s">
        <v>630</v>
      </c>
      <c r="J14" s="21" t="s">
        <v>155</v>
      </c>
      <c r="K14" s="21" t="s">
        <v>156</v>
      </c>
      <c r="L14" s="268">
        <v>2513000.0</v>
      </c>
      <c r="M14" s="268">
        <v>1843000.0</v>
      </c>
      <c r="N14" s="268">
        <v>200000.0</v>
      </c>
    </row>
    <row r="15">
      <c r="A15" s="21">
        <v>13.0</v>
      </c>
      <c r="B15" s="21" t="s">
        <v>1055</v>
      </c>
      <c r="C15" s="21" t="s">
        <v>5207</v>
      </c>
      <c r="D15" s="21" t="s">
        <v>259</v>
      </c>
      <c r="E15" s="21" t="s">
        <v>1980</v>
      </c>
      <c r="F15" s="21">
        <v>8.299702146E9</v>
      </c>
      <c r="G15" s="21" t="s">
        <v>1065</v>
      </c>
      <c r="H15" s="224" t="s">
        <v>1057</v>
      </c>
      <c r="I15" s="224" t="s">
        <v>1066</v>
      </c>
      <c r="J15" s="21" t="s">
        <v>1070</v>
      </c>
      <c r="K15" s="21" t="s">
        <v>1072</v>
      </c>
      <c r="L15" s="26"/>
      <c r="M15" s="26"/>
      <c r="N15" s="21">
        <v>150000.0</v>
      </c>
    </row>
    <row r="16">
      <c r="A16" s="21">
        <v>14.0</v>
      </c>
      <c r="B16" s="21" t="s">
        <v>306</v>
      </c>
      <c r="C16" s="21" t="s">
        <v>5207</v>
      </c>
      <c r="D16" s="21" t="s">
        <v>259</v>
      </c>
      <c r="E16" s="21" t="s">
        <v>49</v>
      </c>
      <c r="F16" s="21">
        <v>7.991164254E9</v>
      </c>
      <c r="G16" s="273" t="s">
        <v>5244</v>
      </c>
      <c r="H16" s="224" t="s">
        <v>52</v>
      </c>
      <c r="I16" s="274">
        <v>44264.0</v>
      </c>
      <c r="J16" s="21" t="s">
        <v>102</v>
      </c>
      <c r="K16" s="21" t="s">
        <v>104</v>
      </c>
      <c r="L16" s="268">
        <v>97265.0</v>
      </c>
      <c r="M16" s="268">
        <v>150000.0</v>
      </c>
      <c r="N16" s="268">
        <v>10000.0</v>
      </c>
    </row>
    <row r="17">
      <c r="A17" s="21">
        <v>15.0</v>
      </c>
      <c r="B17" s="21" t="s">
        <v>112</v>
      </c>
      <c r="C17" s="21" t="s">
        <v>118</v>
      </c>
      <c r="D17" s="21" t="s">
        <v>137</v>
      </c>
      <c r="E17" s="21" t="s">
        <v>202</v>
      </c>
      <c r="F17" s="21">
        <v>8.755554293E9</v>
      </c>
      <c r="G17" s="21" t="s">
        <v>141</v>
      </c>
      <c r="H17" s="224" t="s">
        <v>117</v>
      </c>
      <c r="I17" s="269">
        <v>44686.0</v>
      </c>
      <c r="J17" s="21" t="s">
        <v>148</v>
      </c>
      <c r="K17" s="21" t="s">
        <v>151</v>
      </c>
      <c r="L17" s="26"/>
      <c r="M17" s="26"/>
      <c r="N17" s="26"/>
    </row>
    <row r="18">
      <c r="A18" s="21">
        <v>16.0</v>
      </c>
      <c r="B18" s="21" t="s">
        <v>157</v>
      </c>
      <c r="C18" s="21" t="s">
        <v>118</v>
      </c>
      <c r="D18" s="21" t="s">
        <v>177</v>
      </c>
      <c r="E18" s="21" t="s">
        <v>5255</v>
      </c>
      <c r="F18" s="21">
        <v>7.738967863E9</v>
      </c>
      <c r="G18" s="21" t="s">
        <v>180</v>
      </c>
      <c r="H18" s="224" t="s">
        <v>161</v>
      </c>
      <c r="I18" s="224" t="s">
        <v>181</v>
      </c>
      <c r="J18" s="21" t="s">
        <v>182</v>
      </c>
      <c r="K18" s="21" t="s">
        <v>185</v>
      </c>
      <c r="L18" s="26"/>
      <c r="M18" s="26"/>
      <c r="N18" s="26"/>
    </row>
    <row r="19">
      <c r="A19" s="21">
        <v>17.0</v>
      </c>
      <c r="B19" s="21" t="s">
        <v>191</v>
      </c>
      <c r="C19" s="21" t="s">
        <v>118</v>
      </c>
      <c r="D19" s="21" t="s">
        <v>78</v>
      </c>
      <c r="E19" s="21" t="s">
        <v>5262</v>
      </c>
      <c r="F19" s="21">
        <v>9.654204232E9</v>
      </c>
      <c r="G19" s="21" t="s">
        <v>207</v>
      </c>
      <c r="H19" s="224" t="s">
        <v>195</v>
      </c>
      <c r="I19" s="269">
        <v>44292.0</v>
      </c>
      <c r="J19" s="21" t="s">
        <v>211</v>
      </c>
      <c r="K19" s="21" t="s">
        <v>212</v>
      </c>
      <c r="L19" s="26"/>
      <c r="M19" s="26"/>
      <c r="N19" s="26"/>
    </row>
    <row r="20">
      <c r="A20" s="21">
        <v>18.0</v>
      </c>
      <c r="B20" s="21" t="s">
        <v>218</v>
      </c>
      <c r="C20" s="21" t="s">
        <v>222</v>
      </c>
      <c r="D20" s="21" t="s">
        <v>177</v>
      </c>
      <c r="E20" s="21" t="s">
        <v>5266</v>
      </c>
      <c r="F20" s="21">
        <v>7.8399217E9</v>
      </c>
      <c r="G20" s="21" t="s">
        <v>229</v>
      </c>
      <c r="H20" s="224" t="s">
        <v>220</v>
      </c>
      <c r="I20" s="271">
        <v>44688.0</v>
      </c>
      <c r="J20" s="21" t="s">
        <v>234</v>
      </c>
      <c r="K20" s="21" t="s">
        <v>236</v>
      </c>
      <c r="L20" s="26"/>
      <c r="M20" s="26"/>
      <c r="N20" s="26"/>
    </row>
    <row r="21">
      <c r="A21" s="21">
        <v>19.0</v>
      </c>
      <c r="B21" s="21" t="s">
        <v>5275</v>
      </c>
      <c r="C21" s="21" t="s">
        <v>254</v>
      </c>
      <c r="D21" s="21" t="s">
        <v>259</v>
      </c>
      <c r="E21" s="21" t="s">
        <v>5277</v>
      </c>
      <c r="F21" s="21">
        <v>9.65456213E9</v>
      </c>
      <c r="G21" s="21" t="s">
        <v>264</v>
      </c>
      <c r="H21" s="224" t="s">
        <v>252</v>
      </c>
      <c r="I21" s="269">
        <v>44205.0</v>
      </c>
      <c r="J21" s="21" t="s">
        <v>270</v>
      </c>
      <c r="K21" s="21" t="s">
        <v>271</v>
      </c>
      <c r="L21" s="26"/>
      <c r="M21" s="26"/>
      <c r="N21" s="26"/>
    </row>
    <row r="22">
      <c r="A22" s="21">
        <v>20.0</v>
      </c>
      <c r="B22" s="21" t="s">
        <v>108</v>
      </c>
      <c r="C22" s="21" t="s">
        <v>350</v>
      </c>
      <c r="D22" s="21" t="s">
        <v>137</v>
      </c>
      <c r="E22" s="21" t="s">
        <v>111</v>
      </c>
      <c r="F22" s="21">
        <v>7.905205165E9</v>
      </c>
      <c r="G22" s="21" t="s">
        <v>113</v>
      </c>
      <c r="H22" s="224" t="s">
        <v>349</v>
      </c>
      <c r="I22" s="269">
        <v>44111.0</v>
      </c>
      <c r="J22" s="21" t="s">
        <v>115</v>
      </c>
      <c r="K22" s="21" t="s">
        <v>116</v>
      </c>
      <c r="L22" s="26"/>
      <c r="M22" s="26"/>
      <c r="N22" s="26"/>
    </row>
    <row r="23">
      <c r="A23" s="21">
        <v>21.0</v>
      </c>
      <c r="B23" s="21" t="s">
        <v>194</v>
      </c>
      <c r="C23" s="21" t="s">
        <v>377</v>
      </c>
      <c r="D23" s="21" t="s">
        <v>137</v>
      </c>
      <c r="E23" s="21" t="s">
        <v>196</v>
      </c>
      <c r="F23" s="21">
        <v>9.818346488E9</v>
      </c>
      <c r="G23" s="21" t="s">
        <v>197</v>
      </c>
      <c r="H23" s="224" t="s">
        <v>376</v>
      </c>
      <c r="I23" s="224" t="s">
        <v>392</v>
      </c>
      <c r="J23" s="21" t="s">
        <v>198</v>
      </c>
      <c r="K23" s="21" t="s">
        <v>200</v>
      </c>
      <c r="L23" s="26"/>
      <c r="M23" s="26"/>
      <c r="N23" s="26"/>
    </row>
    <row r="24">
      <c r="A24" s="21">
        <v>22.0</v>
      </c>
      <c r="B24" s="21" t="s">
        <v>398</v>
      </c>
      <c r="C24" s="21" t="s">
        <v>405</v>
      </c>
      <c r="D24" s="21" t="s">
        <v>259</v>
      </c>
      <c r="E24" s="21" t="s">
        <v>5287</v>
      </c>
      <c r="F24" s="21">
        <v>9.810916692E9</v>
      </c>
      <c r="G24" s="21" t="s">
        <v>414</v>
      </c>
      <c r="H24" s="224" t="s">
        <v>403</v>
      </c>
      <c r="I24" s="224" t="s">
        <v>416</v>
      </c>
      <c r="J24" s="21" t="s">
        <v>421</v>
      </c>
      <c r="K24" s="21" t="s">
        <v>423</v>
      </c>
      <c r="L24" s="26"/>
      <c r="M24" s="26"/>
      <c r="N24" s="26"/>
    </row>
    <row r="25">
      <c r="A25" s="21">
        <v>23.0</v>
      </c>
      <c r="B25" s="21" t="s">
        <v>426</v>
      </c>
      <c r="C25" s="21" t="s">
        <v>118</v>
      </c>
      <c r="D25" s="21" t="s">
        <v>259</v>
      </c>
      <c r="E25" s="21" t="s">
        <v>5294</v>
      </c>
      <c r="F25" s="21">
        <v>9.717824934E9</v>
      </c>
      <c r="G25" s="21" t="s">
        <v>439</v>
      </c>
      <c r="H25" s="224" t="s">
        <v>430</v>
      </c>
      <c r="I25" s="224" t="s">
        <v>441</v>
      </c>
      <c r="J25" s="21" t="s">
        <v>444</v>
      </c>
      <c r="K25" s="21" t="s">
        <v>447</v>
      </c>
      <c r="L25" s="26"/>
      <c r="M25" s="26"/>
      <c r="N25" s="26"/>
    </row>
    <row r="26">
      <c r="A26" s="21">
        <v>24.0</v>
      </c>
      <c r="B26" s="21" t="s">
        <v>130</v>
      </c>
      <c r="C26" s="21" t="s">
        <v>477</v>
      </c>
      <c r="D26" s="21" t="s">
        <v>78</v>
      </c>
      <c r="E26" s="21" t="s">
        <v>131</v>
      </c>
      <c r="F26" s="21">
        <v>7.827171336E9</v>
      </c>
      <c r="G26" s="21" t="s">
        <v>133</v>
      </c>
      <c r="H26" s="224" t="s">
        <v>476</v>
      </c>
      <c r="I26" s="271">
        <v>43363.0</v>
      </c>
      <c r="J26" s="26"/>
      <c r="K26" s="21" t="s">
        <v>135</v>
      </c>
      <c r="L26" s="26"/>
      <c r="M26" s="26"/>
      <c r="N26" s="26"/>
    </row>
    <row r="27">
      <c r="A27" s="21">
        <v>25.0</v>
      </c>
      <c r="B27" s="21" t="s">
        <v>94</v>
      </c>
      <c r="C27" s="21" t="s">
        <v>254</v>
      </c>
      <c r="D27" s="21" t="s">
        <v>308</v>
      </c>
      <c r="E27" s="21" t="s">
        <v>95</v>
      </c>
      <c r="F27" s="280">
        <v>9.958867299E9</v>
      </c>
      <c r="G27" s="280" t="s">
        <v>98</v>
      </c>
      <c r="H27" s="224" t="s">
        <v>526</v>
      </c>
      <c r="I27" s="224" t="s">
        <v>544</v>
      </c>
      <c r="J27" s="280" t="s">
        <v>101</v>
      </c>
      <c r="K27" s="280" t="s">
        <v>103</v>
      </c>
      <c r="L27" s="26"/>
      <c r="M27" s="26"/>
      <c r="N27" s="26"/>
    </row>
    <row r="28">
      <c r="A28" s="21">
        <v>26.0</v>
      </c>
      <c r="B28" s="21" t="s">
        <v>580</v>
      </c>
      <c r="C28" s="21" t="s">
        <v>118</v>
      </c>
      <c r="D28" s="21" t="s">
        <v>78</v>
      </c>
      <c r="E28" s="21" t="s">
        <v>5342</v>
      </c>
      <c r="F28" s="21">
        <v>9.717549264E9</v>
      </c>
      <c r="G28" s="21" t="s">
        <v>602</v>
      </c>
      <c r="H28" s="224" t="s">
        <v>584</v>
      </c>
      <c r="I28" s="269">
        <v>44387.0</v>
      </c>
      <c r="J28" s="21" t="s">
        <v>604</v>
      </c>
      <c r="K28" s="21" t="s">
        <v>605</v>
      </c>
      <c r="L28" s="26"/>
      <c r="M28" s="26"/>
      <c r="N28" s="26"/>
    </row>
    <row r="29">
      <c r="A29" s="21">
        <v>27.0</v>
      </c>
      <c r="B29" s="21" t="s">
        <v>636</v>
      </c>
      <c r="C29" s="21" t="s">
        <v>377</v>
      </c>
      <c r="D29" s="21" t="s">
        <v>177</v>
      </c>
      <c r="E29" s="21" t="s">
        <v>5349</v>
      </c>
      <c r="F29" s="21">
        <v>9.013481588E9</v>
      </c>
      <c r="G29" s="21" t="s">
        <v>657</v>
      </c>
      <c r="H29" s="224" t="s">
        <v>639</v>
      </c>
      <c r="I29" s="224" t="s">
        <v>658</v>
      </c>
      <c r="J29" s="21" t="s">
        <v>661</v>
      </c>
      <c r="K29" s="21" t="s">
        <v>662</v>
      </c>
      <c r="L29" s="26"/>
      <c r="M29" s="26"/>
      <c r="N29" s="26"/>
    </row>
    <row r="30">
      <c r="A30" s="21">
        <v>28.0</v>
      </c>
      <c r="B30" s="21" t="s">
        <v>668</v>
      </c>
      <c r="C30" s="21" t="s">
        <v>118</v>
      </c>
      <c r="D30" s="21" t="s">
        <v>137</v>
      </c>
      <c r="E30" s="21" t="s">
        <v>5356</v>
      </c>
      <c r="F30" s="21">
        <v>9.741119806E9</v>
      </c>
      <c r="G30" s="21" t="s">
        <v>691</v>
      </c>
      <c r="H30" s="224" t="s">
        <v>672</v>
      </c>
      <c r="I30" s="224" t="s">
        <v>692</v>
      </c>
      <c r="J30" s="21" t="s">
        <v>694</v>
      </c>
      <c r="K30" s="21" t="s">
        <v>696</v>
      </c>
      <c r="L30" s="26"/>
      <c r="M30" s="26"/>
      <c r="N30" s="26"/>
    </row>
    <row r="31">
      <c r="A31" s="21">
        <v>29.0</v>
      </c>
      <c r="B31" s="21" t="s">
        <v>728</v>
      </c>
      <c r="C31" s="21" t="s">
        <v>477</v>
      </c>
      <c r="D31" s="21" t="s">
        <v>177</v>
      </c>
      <c r="E31" s="21" t="s">
        <v>5362</v>
      </c>
      <c r="F31" s="21">
        <v>7.048905197E9</v>
      </c>
      <c r="G31" s="21" t="s">
        <v>736</v>
      </c>
      <c r="H31" s="21" t="s">
        <v>732</v>
      </c>
      <c r="I31" s="274">
        <v>43745.0</v>
      </c>
      <c r="J31" s="21" t="s">
        <v>741</v>
      </c>
      <c r="K31" s="21" t="s">
        <v>742</v>
      </c>
      <c r="L31" s="26"/>
      <c r="M31" s="26"/>
      <c r="N31" s="26"/>
    </row>
    <row r="32">
      <c r="A32" s="21">
        <v>30.0</v>
      </c>
      <c r="B32" s="21" t="s">
        <v>748</v>
      </c>
      <c r="C32" s="21" t="s">
        <v>118</v>
      </c>
      <c r="D32" s="21" t="s">
        <v>78</v>
      </c>
      <c r="E32" s="21" t="s">
        <v>5364</v>
      </c>
      <c r="F32" s="21">
        <v>8.887752537E9</v>
      </c>
      <c r="G32" s="21" t="s">
        <v>763</v>
      </c>
      <c r="H32" s="21" t="s">
        <v>754</v>
      </c>
      <c r="I32" s="21" t="s">
        <v>765</v>
      </c>
      <c r="J32" s="21" t="s">
        <v>771</v>
      </c>
      <c r="K32" s="21" t="s">
        <v>773</v>
      </c>
      <c r="L32" s="26"/>
      <c r="M32" s="26"/>
      <c r="N32" s="26"/>
    </row>
    <row r="33">
      <c r="A33" s="21">
        <v>31.0</v>
      </c>
      <c r="B33" s="21" t="s">
        <v>208</v>
      </c>
      <c r="C33" s="21" t="s">
        <v>778</v>
      </c>
      <c r="D33" s="21" t="s">
        <v>78</v>
      </c>
      <c r="E33" s="21" t="s">
        <v>209</v>
      </c>
      <c r="F33" s="21">
        <v>8.929724957E9</v>
      </c>
      <c r="G33" s="21" t="s">
        <v>213</v>
      </c>
      <c r="H33" s="224" t="s">
        <v>777</v>
      </c>
      <c r="I33" s="269">
        <v>45571.0</v>
      </c>
      <c r="J33" s="21" t="s">
        <v>215</v>
      </c>
      <c r="K33" s="21" t="s">
        <v>216</v>
      </c>
      <c r="L33" s="26"/>
      <c r="M33" s="26"/>
      <c r="N33" s="26"/>
    </row>
    <row r="34">
      <c r="A34" s="21">
        <v>32.0</v>
      </c>
      <c r="B34" s="21" t="s">
        <v>795</v>
      </c>
      <c r="C34" s="21" t="s">
        <v>801</v>
      </c>
      <c r="D34" s="21" t="s">
        <v>259</v>
      </c>
      <c r="E34" s="21" t="s">
        <v>1367</v>
      </c>
      <c r="F34" s="21">
        <v>9.999971805E9</v>
      </c>
      <c r="G34" s="21" t="s">
        <v>812</v>
      </c>
      <c r="H34" s="224" t="s">
        <v>800</v>
      </c>
      <c r="I34" s="269">
        <v>45143.0</v>
      </c>
      <c r="J34" s="21" t="s">
        <v>814</v>
      </c>
      <c r="K34" s="21" t="s">
        <v>815</v>
      </c>
      <c r="L34" s="26"/>
      <c r="M34" s="26"/>
      <c r="N34" s="26"/>
    </row>
    <row r="35">
      <c r="A35" s="21">
        <v>33.0</v>
      </c>
      <c r="B35" s="21" t="s">
        <v>301</v>
      </c>
      <c r="C35" s="21" t="s">
        <v>820</v>
      </c>
      <c r="D35" s="21" t="s">
        <v>78</v>
      </c>
      <c r="E35" s="21" t="s">
        <v>302</v>
      </c>
      <c r="F35" s="21">
        <v>9.910278711E9</v>
      </c>
      <c r="G35" s="21" t="s">
        <v>303</v>
      </c>
      <c r="H35" s="224" t="s">
        <v>819</v>
      </c>
      <c r="I35" s="224" t="s">
        <v>833</v>
      </c>
      <c r="J35" s="21" t="s">
        <v>304</v>
      </c>
      <c r="K35" s="21" t="s">
        <v>305</v>
      </c>
      <c r="L35" s="26"/>
      <c r="M35" s="26"/>
      <c r="N35" s="26"/>
    </row>
    <row r="36">
      <c r="A36" s="21">
        <v>34.0</v>
      </c>
      <c r="B36" s="21" t="s">
        <v>286</v>
      </c>
      <c r="C36" s="21" t="s">
        <v>350</v>
      </c>
      <c r="D36" s="21" t="s">
        <v>78</v>
      </c>
      <c r="E36" s="21" t="s">
        <v>289</v>
      </c>
      <c r="F36" s="21">
        <v>8.527597206E9</v>
      </c>
      <c r="G36" s="21" t="s">
        <v>293</v>
      </c>
      <c r="H36" s="224" t="s">
        <v>840</v>
      </c>
      <c r="I36" s="224" t="s">
        <v>853</v>
      </c>
      <c r="J36" s="21" t="s">
        <v>295</v>
      </c>
      <c r="K36" s="21" t="s">
        <v>297</v>
      </c>
      <c r="L36" s="26"/>
      <c r="M36" s="26"/>
      <c r="N36" s="26"/>
    </row>
    <row r="37">
      <c r="A37" s="21">
        <v>35.0</v>
      </c>
      <c r="B37" s="21" t="s">
        <v>256</v>
      </c>
      <c r="C37" s="21" t="s">
        <v>862</v>
      </c>
      <c r="D37" s="21" t="s">
        <v>137</v>
      </c>
      <c r="E37" s="21" t="s">
        <v>258</v>
      </c>
      <c r="F37" s="21">
        <v>9.816926747E9</v>
      </c>
      <c r="G37" s="21" t="s">
        <v>261</v>
      </c>
      <c r="H37" s="224" t="s">
        <v>861</v>
      </c>
      <c r="I37" s="269">
        <v>44815.0</v>
      </c>
      <c r="J37" s="21" t="s">
        <v>263</v>
      </c>
      <c r="K37" s="21" t="s">
        <v>267</v>
      </c>
      <c r="L37" s="26"/>
      <c r="M37" s="26"/>
      <c r="N37" s="26"/>
    </row>
    <row r="38">
      <c r="A38" s="21">
        <v>36.0</v>
      </c>
      <c r="B38" s="21" t="s">
        <v>903</v>
      </c>
      <c r="C38" s="21" t="s">
        <v>350</v>
      </c>
      <c r="D38" s="21" t="s">
        <v>177</v>
      </c>
      <c r="E38" s="21" t="s">
        <v>5381</v>
      </c>
      <c r="F38" s="21">
        <v>8.445183497E9</v>
      </c>
      <c r="G38" s="21" t="s">
        <v>913</v>
      </c>
      <c r="H38" s="224" t="s">
        <v>906</v>
      </c>
      <c r="I38" s="269">
        <v>45454.0</v>
      </c>
      <c r="J38" s="21" t="s">
        <v>917</v>
      </c>
      <c r="K38" s="21" t="s">
        <v>918</v>
      </c>
      <c r="L38" s="26"/>
      <c r="M38" s="26"/>
      <c r="N38" s="26"/>
    </row>
    <row r="39">
      <c r="A39" s="21">
        <v>37.0</v>
      </c>
      <c r="B39" s="21" t="s">
        <v>920</v>
      </c>
      <c r="C39" s="21" t="s">
        <v>862</v>
      </c>
      <c r="D39" s="21" t="s">
        <v>137</v>
      </c>
      <c r="E39" s="21" t="s">
        <v>5386</v>
      </c>
      <c r="F39" s="21">
        <v>9.654176787E9</v>
      </c>
      <c r="G39" s="21" t="s">
        <v>931</v>
      </c>
      <c r="H39" s="224" t="s">
        <v>922</v>
      </c>
      <c r="I39" s="224" t="s">
        <v>933</v>
      </c>
      <c r="J39" s="21" t="s">
        <v>935</v>
      </c>
      <c r="K39" s="21" t="s">
        <v>238</v>
      </c>
      <c r="L39" s="26"/>
      <c r="M39" s="26"/>
      <c r="N39" s="26"/>
    </row>
    <row r="40">
      <c r="A40" s="21">
        <v>38.0</v>
      </c>
      <c r="B40" s="21" t="s">
        <v>5391</v>
      </c>
      <c r="C40" s="21" t="s">
        <v>118</v>
      </c>
      <c r="D40" s="21" t="s">
        <v>259</v>
      </c>
      <c r="E40" s="21" t="s">
        <v>5392</v>
      </c>
      <c r="F40" s="21">
        <v>7.860507313E9</v>
      </c>
      <c r="G40" s="21" t="s">
        <v>969</v>
      </c>
      <c r="H40" s="224" t="s">
        <v>959</v>
      </c>
      <c r="I40" s="224" t="s">
        <v>970</v>
      </c>
      <c r="J40" s="21" t="s">
        <v>972</v>
      </c>
      <c r="K40" s="21" t="s">
        <v>973</v>
      </c>
      <c r="L40" s="26"/>
      <c r="M40" s="26"/>
      <c r="N40" s="26"/>
    </row>
    <row r="41">
      <c r="A41" s="21">
        <v>39.0</v>
      </c>
      <c r="B41" s="224" t="s">
        <v>976</v>
      </c>
      <c r="C41" s="224" t="s">
        <v>979</v>
      </c>
      <c r="D41" s="224" t="s">
        <v>5396</v>
      </c>
      <c r="E41" s="224" t="s">
        <v>5397</v>
      </c>
      <c r="F41" s="21">
        <v>9.583409084E9</v>
      </c>
      <c r="G41" s="21" t="s">
        <v>988</v>
      </c>
      <c r="H41" s="224" t="s">
        <v>978</v>
      </c>
      <c r="I41" s="224" t="s">
        <v>989</v>
      </c>
      <c r="J41" s="224" t="s">
        <v>992</v>
      </c>
      <c r="K41" s="224" t="s">
        <v>993</v>
      </c>
      <c r="L41" s="26"/>
      <c r="M41" s="26"/>
      <c r="N41" s="26"/>
    </row>
    <row r="42">
      <c r="A42" s="21">
        <v>40.0</v>
      </c>
      <c r="B42" s="224" t="s">
        <v>996</v>
      </c>
      <c r="C42" s="224" t="s">
        <v>1000</v>
      </c>
      <c r="D42" s="224" t="s">
        <v>259</v>
      </c>
      <c r="E42" s="224" t="s">
        <v>5400</v>
      </c>
      <c r="F42" s="21">
        <v>9.045087852E9</v>
      </c>
      <c r="G42" s="21" t="s">
        <v>1009</v>
      </c>
      <c r="H42" s="224" t="s">
        <v>999</v>
      </c>
      <c r="I42" s="224" t="s">
        <v>1010</v>
      </c>
      <c r="J42" s="224" t="s">
        <v>1013</v>
      </c>
      <c r="K42" s="224" t="s">
        <v>1014</v>
      </c>
      <c r="L42" s="26"/>
      <c r="M42" s="26"/>
      <c r="N42" s="26"/>
    </row>
    <row r="43">
      <c r="A43" s="21">
        <v>41.0</v>
      </c>
      <c r="B43" s="21" t="s">
        <v>1018</v>
      </c>
      <c r="C43" s="224" t="s">
        <v>1021</v>
      </c>
      <c r="D43" s="224" t="s">
        <v>259</v>
      </c>
      <c r="E43" s="224" t="s">
        <v>5413</v>
      </c>
      <c r="F43" s="21">
        <v>6.388728641E9</v>
      </c>
      <c r="G43" s="21" t="s">
        <v>1029</v>
      </c>
      <c r="H43" s="224" t="s">
        <v>1020</v>
      </c>
      <c r="I43" s="224" t="s">
        <v>1030</v>
      </c>
      <c r="J43" s="224" t="s">
        <v>1032</v>
      </c>
      <c r="K43" s="224" t="s">
        <v>1033</v>
      </c>
      <c r="L43" s="26"/>
      <c r="M43" s="26"/>
      <c r="N43" s="26"/>
    </row>
    <row r="44">
      <c r="A44" s="21">
        <v>42.0</v>
      </c>
      <c r="B44" s="224" t="s">
        <v>1036</v>
      </c>
      <c r="C44" s="224" t="s">
        <v>1039</v>
      </c>
      <c r="D44" s="224" t="s">
        <v>177</v>
      </c>
      <c r="E44" s="224" t="s">
        <v>5421</v>
      </c>
      <c r="F44" s="21">
        <v>7.531937711E9</v>
      </c>
      <c r="G44" s="21" t="s">
        <v>1049</v>
      </c>
      <c r="H44" s="224" t="s">
        <v>1038</v>
      </c>
      <c r="I44" s="269">
        <v>45816.0</v>
      </c>
      <c r="J44" s="224" t="s">
        <v>1051</v>
      </c>
      <c r="K44" s="224" t="s">
        <v>1052</v>
      </c>
      <c r="L44" s="26"/>
      <c r="M44" s="26"/>
      <c r="N44" s="26"/>
    </row>
    <row r="45">
      <c r="A45" s="21">
        <v>43.0</v>
      </c>
      <c r="B45" s="21" t="s">
        <v>162</v>
      </c>
      <c r="C45" s="21" t="s">
        <v>1142</v>
      </c>
      <c r="D45" s="21" t="s">
        <v>308</v>
      </c>
      <c r="E45" s="21" t="s">
        <v>164</v>
      </c>
      <c r="F45" s="21">
        <v>9.472257316E9</v>
      </c>
      <c r="G45" s="273" t="s">
        <v>5430</v>
      </c>
      <c r="H45" s="21" t="s">
        <v>1141</v>
      </c>
      <c r="I45" s="274">
        <v>44502.0</v>
      </c>
      <c r="J45" s="21" t="s">
        <v>166</v>
      </c>
      <c r="K45" s="26"/>
      <c r="L45" s="26"/>
      <c r="M45" s="26"/>
      <c r="N45" s="26"/>
    </row>
    <row r="46">
      <c r="A46" s="21">
        <v>44.0</v>
      </c>
      <c r="B46" s="21" t="s">
        <v>5447</v>
      </c>
      <c r="C46" s="21" t="s">
        <v>254</v>
      </c>
      <c r="D46" s="21" t="s">
        <v>259</v>
      </c>
      <c r="E46" s="21" t="s">
        <v>186</v>
      </c>
      <c r="F46" s="21">
        <v>8.82656559E9</v>
      </c>
      <c r="G46" s="21" t="s">
        <v>188</v>
      </c>
      <c r="H46" s="21" t="s">
        <v>1154</v>
      </c>
      <c r="I46" s="21" t="s">
        <v>1157</v>
      </c>
      <c r="J46" s="21" t="s">
        <v>190</v>
      </c>
      <c r="K46" s="26"/>
      <c r="L46" s="26"/>
      <c r="M46" s="26"/>
      <c r="N46" s="26"/>
    </row>
    <row r="47">
      <c r="A47" s="21">
        <v>45.0</v>
      </c>
      <c r="B47" s="21" t="s">
        <v>1183</v>
      </c>
      <c r="C47" s="21" t="s">
        <v>254</v>
      </c>
      <c r="D47" s="21" t="s">
        <v>259</v>
      </c>
      <c r="E47" s="21" t="s">
        <v>2336</v>
      </c>
      <c r="F47" s="21">
        <v>9.99249941E8</v>
      </c>
      <c r="G47" s="273" t="s">
        <v>5462</v>
      </c>
      <c r="H47" s="26"/>
      <c r="I47" s="26"/>
      <c r="J47" s="21" t="s">
        <v>246</v>
      </c>
      <c r="K47" s="26"/>
      <c r="L47" s="26"/>
      <c r="M47" s="26"/>
      <c r="N47" s="26"/>
    </row>
    <row r="48">
      <c r="A48" s="21">
        <v>46.0</v>
      </c>
      <c r="B48" s="21" t="s">
        <v>242</v>
      </c>
      <c r="C48" s="21" t="s">
        <v>118</v>
      </c>
      <c r="D48" s="21" t="s">
        <v>259</v>
      </c>
      <c r="E48" s="21" t="s">
        <v>233</v>
      </c>
      <c r="F48" s="21">
        <v>8.802414439E9</v>
      </c>
      <c r="G48" s="26"/>
      <c r="H48" s="26"/>
      <c r="I48" s="26"/>
      <c r="J48" s="21" t="s">
        <v>246</v>
      </c>
      <c r="K48" s="26"/>
      <c r="L48" s="26"/>
      <c r="M48" s="26"/>
      <c r="N48" s="26"/>
    </row>
    <row r="49">
      <c r="A49" s="21">
        <v>47.0</v>
      </c>
      <c r="B49" s="21" t="s">
        <v>1216</v>
      </c>
      <c r="C49" s="21" t="s">
        <v>118</v>
      </c>
      <c r="D49" s="21" t="s">
        <v>259</v>
      </c>
      <c r="E49" s="21" t="s">
        <v>5478</v>
      </c>
      <c r="F49" s="21">
        <v>8.307983323E9</v>
      </c>
      <c r="G49" s="21" t="s">
        <v>1225</v>
      </c>
      <c r="H49" s="26"/>
      <c r="I49" s="26"/>
      <c r="J49" s="21" t="s">
        <v>246</v>
      </c>
      <c r="K49" s="26"/>
      <c r="L49" s="26"/>
      <c r="M49" s="26"/>
      <c r="N49" s="26"/>
    </row>
    <row r="50">
      <c r="A50" s="21">
        <v>48.0</v>
      </c>
      <c r="B50" s="21" t="s">
        <v>1248</v>
      </c>
      <c r="C50" s="21" t="s">
        <v>1250</v>
      </c>
      <c r="D50" s="21" t="s">
        <v>259</v>
      </c>
      <c r="E50" s="21" t="s">
        <v>983</v>
      </c>
      <c r="F50" s="21">
        <v>8.130712795E9</v>
      </c>
      <c r="G50" s="21" t="s">
        <v>1253</v>
      </c>
      <c r="H50" s="26"/>
      <c r="I50" s="26"/>
      <c r="J50" s="21" t="s">
        <v>77</v>
      </c>
      <c r="K50" s="26"/>
      <c r="L50" s="26"/>
      <c r="M50" s="26"/>
      <c r="N50" s="26"/>
    </row>
    <row r="51">
      <c r="A51" s="21">
        <v>49.0</v>
      </c>
      <c r="B51" s="21" t="s">
        <v>1257</v>
      </c>
      <c r="C51" s="21" t="s">
        <v>1260</v>
      </c>
      <c r="D51" s="21" t="s">
        <v>259</v>
      </c>
      <c r="E51" s="21" t="s">
        <v>1258</v>
      </c>
      <c r="F51" s="21">
        <v>9.102366803E9</v>
      </c>
      <c r="G51" s="21" t="s">
        <v>1261</v>
      </c>
      <c r="H51" s="26"/>
      <c r="I51" s="26"/>
      <c r="J51" s="21" t="s">
        <v>77</v>
      </c>
      <c r="K51" s="26"/>
      <c r="L51" s="26"/>
      <c r="M51" s="26"/>
      <c r="N51" s="26"/>
    </row>
    <row r="52">
      <c r="A52" s="21">
        <v>50.0</v>
      </c>
      <c r="B52" s="21" t="s">
        <v>1266</v>
      </c>
      <c r="C52" s="21" t="s">
        <v>1269</v>
      </c>
      <c r="D52" s="21" t="s">
        <v>259</v>
      </c>
      <c r="E52" s="21" t="s">
        <v>1267</v>
      </c>
      <c r="F52" s="21">
        <v>9.999344961E9</v>
      </c>
      <c r="G52" s="21" t="s">
        <v>1270</v>
      </c>
      <c r="H52" s="26"/>
      <c r="I52" s="26"/>
      <c r="J52" s="21" t="s">
        <v>77</v>
      </c>
      <c r="K52" s="26"/>
      <c r="L52" s="26"/>
      <c r="M52" s="26"/>
      <c r="N52" s="26"/>
    </row>
    <row r="53">
      <c r="A53" s="21">
        <v>51.0</v>
      </c>
      <c r="B53" s="21" t="s">
        <v>1276</v>
      </c>
      <c r="C53" s="21" t="s">
        <v>1281</v>
      </c>
      <c r="D53" s="21" t="s">
        <v>259</v>
      </c>
      <c r="E53" s="21" t="s">
        <v>1278</v>
      </c>
      <c r="F53" s="21">
        <v>7.607316881E9</v>
      </c>
      <c r="G53" s="21" t="s">
        <v>1283</v>
      </c>
      <c r="H53" s="26"/>
      <c r="I53" s="26"/>
      <c r="J53" s="21" t="s">
        <v>77</v>
      </c>
      <c r="K53" s="26"/>
      <c r="L53" s="26"/>
      <c r="M53" s="26"/>
      <c r="N53" s="26"/>
    </row>
    <row r="54">
      <c r="A54" s="21">
        <v>52.0</v>
      </c>
      <c r="B54" s="21" t="s">
        <v>1285</v>
      </c>
      <c r="C54" s="21" t="s">
        <v>5493</v>
      </c>
      <c r="D54" s="21" t="s">
        <v>259</v>
      </c>
      <c r="E54" s="21" t="s">
        <v>1287</v>
      </c>
      <c r="F54" s="21">
        <v>9.506736531E9</v>
      </c>
      <c r="G54" s="21" t="s">
        <v>1296</v>
      </c>
      <c r="H54" s="26"/>
      <c r="I54" s="26"/>
      <c r="J54" s="21" t="s">
        <v>77</v>
      </c>
      <c r="K54" s="26"/>
      <c r="L54" s="26"/>
      <c r="M54" s="26"/>
      <c r="N54" s="26"/>
    </row>
    <row r="55">
      <c r="A55" s="21">
        <v>53.0</v>
      </c>
      <c r="B55" s="21" t="s">
        <v>1302</v>
      </c>
      <c r="C55" s="21" t="s">
        <v>1306</v>
      </c>
      <c r="D55" s="21" t="s">
        <v>259</v>
      </c>
      <c r="E55" s="21" t="s">
        <v>1304</v>
      </c>
      <c r="F55" s="21">
        <v>9.695542009E9</v>
      </c>
      <c r="G55" s="273" t="s">
        <v>5502</v>
      </c>
      <c r="H55" s="26"/>
      <c r="I55" s="26"/>
      <c r="J55" s="21" t="s">
        <v>77</v>
      </c>
      <c r="K55" s="26"/>
      <c r="L55" s="26"/>
      <c r="M55" s="26"/>
      <c r="N55" s="26"/>
    </row>
    <row r="56">
      <c r="A56" s="21">
        <v>54.0</v>
      </c>
      <c r="B56" s="21" t="s">
        <v>5506</v>
      </c>
      <c r="C56" s="21" t="s">
        <v>5507</v>
      </c>
      <c r="D56" s="21" t="s">
        <v>259</v>
      </c>
      <c r="E56" s="21" t="s">
        <v>960</v>
      </c>
      <c r="F56" s="21" t="s">
        <v>1323</v>
      </c>
      <c r="G56" s="21" t="s">
        <v>1324</v>
      </c>
      <c r="H56" s="26"/>
      <c r="I56" s="26"/>
      <c r="J56" s="21" t="s">
        <v>77</v>
      </c>
      <c r="K56" s="26"/>
      <c r="L56" s="26"/>
      <c r="M56" s="26"/>
      <c r="N56" s="26"/>
    </row>
    <row r="57">
      <c r="A57" s="21">
        <v>55.0</v>
      </c>
      <c r="B57" s="21" t="s">
        <v>1328</v>
      </c>
      <c r="C57" s="21" t="s">
        <v>1331</v>
      </c>
      <c r="D57" s="21" t="s">
        <v>259</v>
      </c>
      <c r="E57" s="21" t="s">
        <v>1329</v>
      </c>
      <c r="F57" s="21">
        <v>9.266893997E9</v>
      </c>
      <c r="G57" s="21" t="s">
        <v>1340</v>
      </c>
      <c r="H57" s="26"/>
      <c r="I57" s="26"/>
      <c r="J57" s="21" t="s">
        <v>77</v>
      </c>
      <c r="K57" s="26"/>
      <c r="L57" s="26"/>
      <c r="M57" s="26"/>
      <c r="N57" s="26"/>
    </row>
    <row r="58">
      <c r="A58" s="21">
        <v>56.0</v>
      </c>
      <c r="B58" s="21" t="s">
        <v>5508</v>
      </c>
      <c r="C58" s="21" t="s">
        <v>1348</v>
      </c>
      <c r="D58" s="21" t="s">
        <v>259</v>
      </c>
      <c r="E58" s="21" t="s">
        <v>1346</v>
      </c>
      <c r="F58" s="21">
        <v>7.600100448E9</v>
      </c>
      <c r="G58" s="21" t="s">
        <v>1357</v>
      </c>
      <c r="H58" s="26"/>
      <c r="I58" s="26"/>
      <c r="J58" s="21" t="s">
        <v>77</v>
      </c>
      <c r="K58" s="26"/>
      <c r="L58" s="26"/>
      <c r="M58" s="26"/>
      <c r="N58" s="26"/>
    </row>
    <row r="59">
      <c r="A59" s="21">
        <v>57.0</v>
      </c>
      <c r="B59" s="21" t="s">
        <v>1359</v>
      </c>
      <c r="C59" s="21" t="s">
        <v>1362</v>
      </c>
      <c r="D59" s="21" t="s">
        <v>259</v>
      </c>
      <c r="E59" s="21" t="s">
        <v>1360</v>
      </c>
      <c r="F59" s="21">
        <v>8.825292008E9</v>
      </c>
      <c r="G59" s="21" t="s">
        <v>1371</v>
      </c>
      <c r="H59" s="26"/>
      <c r="I59" s="26"/>
      <c r="J59" s="21" t="s">
        <v>77</v>
      </c>
      <c r="K59" s="26"/>
      <c r="L59" s="26"/>
      <c r="M59" s="26"/>
      <c r="N59" s="26"/>
    </row>
    <row r="60">
      <c r="A60" s="21">
        <v>58.0</v>
      </c>
      <c r="B60" s="21" t="s">
        <v>1377</v>
      </c>
      <c r="C60" s="21" t="s">
        <v>1379</v>
      </c>
      <c r="D60" s="21" t="s">
        <v>259</v>
      </c>
      <c r="E60" s="21" t="s">
        <v>5509</v>
      </c>
      <c r="F60" s="21">
        <v>9.199524336E9</v>
      </c>
      <c r="G60" s="21" t="s">
        <v>1382</v>
      </c>
      <c r="H60" s="26"/>
      <c r="I60" s="26"/>
      <c r="J60" s="21" t="s">
        <v>77</v>
      </c>
      <c r="K60" s="26"/>
      <c r="L60" s="26"/>
      <c r="M60" s="26"/>
      <c r="N60" s="26"/>
    </row>
    <row r="61">
      <c r="A61" s="21">
        <v>59.0</v>
      </c>
      <c r="B61" s="21" t="s">
        <v>5510</v>
      </c>
      <c r="C61" s="21" t="s">
        <v>1079</v>
      </c>
      <c r="D61" s="21" t="s">
        <v>137</v>
      </c>
      <c r="E61" s="21" t="s">
        <v>828</v>
      </c>
      <c r="F61" s="21">
        <v>9.873160572E9</v>
      </c>
      <c r="G61" s="21" t="s">
        <v>1082</v>
      </c>
      <c r="H61" s="26"/>
      <c r="I61" s="26"/>
      <c r="J61" s="21" t="s">
        <v>77</v>
      </c>
      <c r="K61" s="26"/>
      <c r="L61" s="26"/>
      <c r="M61" s="26"/>
      <c r="N61" s="26"/>
    </row>
    <row r="62">
      <c r="A62" s="21">
        <v>60.0</v>
      </c>
      <c r="B62" s="21" t="s">
        <v>5511</v>
      </c>
      <c r="C62" s="21" t="s">
        <v>5512</v>
      </c>
      <c r="D62" s="21" t="s">
        <v>137</v>
      </c>
      <c r="E62" s="21" t="s">
        <v>5513</v>
      </c>
      <c r="F62" s="21">
        <v>8.601471248E9</v>
      </c>
      <c r="G62" s="26"/>
      <c r="H62" s="26"/>
      <c r="I62" s="26"/>
      <c r="J62" s="21" t="s">
        <v>77</v>
      </c>
      <c r="K62" s="26"/>
      <c r="L62" s="26"/>
      <c r="M62" s="26"/>
      <c r="N62" s="26"/>
    </row>
  </sheetData>
  <mergeCells count="1">
    <mergeCell ref="A1:N1"/>
  </mergeCells>
  <hyperlinks>
    <hyperlink r:id="rId1" ref="G16"/>
    <hyperlink r:id="rId2" ref="G45"/>
    <hyperlink r:id="rId3" ref="G47"/>
    <hyperlink r:id="rId4" ref="G55"/>
  </hyperlinks>
  <drawing r:id="rId5"/>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5.63"/>
    <col customWidth="1" min="3" max="3" width="23.25"/>
    <col customWidth="1" min="4" max="4" width="36.75"/>
  </cols>
  <sheetData>
    <row r="1">
      <c r="A1" s="275" t="s">
        <v>4194</v>
      </c>
      <c r="B1" s="275" t="s">
        <v>5264</v>
      </c>
      <c r="C1" s="275" t="s">
        <v>5265</v>
      </c>
      <c r="D1" s="275" t="s">
        <v>5270</v>
      </c>
    </row>
    <row r="2">
      <c r="A2" s="276">
        <v>45791.37785971064</v>
      </c>
      <c r="B2" s="277" t="s">
        <v>5274</v>
      </c>
      <c r="C2" s="277">
        <v>4.0</v>
      </c>
      <c r="D2" s="278" t="s">
        <v>5276</v>
      </c>
    </row>
    <row r="3">
      <c r="A3" s="276">
        <v>45791.37803541667</v>
      </c>
      <c r="B3" s="277" t="s">
        <v>5281</v>
      </c>
      <c r="C3" s="277">
        <v>5.0</v>
      </c>
      <c r="D3" s="278" t="s">
        <v>5282</v>
      </c>
    </row>
    <row r="4">
      <c r="A4" s="276">
        <v>45791.37827434028</v>
      </c>
      <c r="B4" s="277" t="s">
        <v>5283</v>
      </c>
      <c r="C4" s="277">
        <v>13.0</v>
      </c>
      <c r="D4" s="278" t="s">
        <v>5285</v>
      </c>
    </row>
    <row r="5">
      <c r="A5" s="276">
        <v>45791.37853488426</v>
      </c>
      <c r="B5" s="277" t="s">
        <v>5286</v>
      </c>
      <c r="C5" s="277">
        <v>5.0</v>
      </c>
      <c r="D5" s="278" t="s">
        <v>5289</v>
      </c>
    </row>
    <row r="6">
      <c r="A6" s="276">
        <v>45791.37856424769</v>
      </c>
      <c r="B6" s="277" t="s">
        <v>5295</v>
      </c>
      <c r="C6" s="279" t="s">
        <v>5296</v>
      </c>
      <c r="D6" s="278" t="s">
        <v>5297</v>
      </c>
    </row>
    <row r="7">
      <c r="A7" s="276">
        <v>45791.37902045139</v>
      </c>
      <c r="B7" s="277" t="s">
        <v>5299</v>
      </c>
      <c r="C7" s="277">
        <v>7.0</v>
      </c>
      <c r="D7" s="278" t="s">
        <v>5300</v>
      </c>
    </row>
    <row r="8">
      <c r="A8" s="276">
        <v>45791.37917209491</v>
      </c>
      <c r="B8" s="277" t="s">
        <v>5308</v>
      </c>
      <c r="C8" s="277">
        <v>8.0</v>
      </c>
      <c r="D8" s="278" t="s">
        <v>5309</v>
      </c>
    </row>
    <row r="9">
      <c r="A9" s="276">
        <v>45791.37929703704</v>
      </c>
      <c r="B9" s="277" t="s">
        <v>5274</v>
      </c>
      <c r="C9" s="277">
        <v>4.0</v>
      </c>
      <c r="D9" s="278" t="s">
        <v>5276</v>
      </c>
    </row>
    <row r="10">
      <c r="A10" s="276">
        <v>45791.37940015046</v>
      </c>
      <c r="B10" s="277" t="s">
        <v>5310</v>
      </c>
      <c r="C10" s="279" t="s">
        <v>5311</v>
      </c>
      <c r="D10" s="278" t="s">
        <v>5312</v>
      </c>
    </row>
    <row r="11">
      <c r="A11" s="276">
        <v>45791.37992688657</v>
      </c>
      <c r="B11" s="277" t="s">
        <v>5316</v>
      </c>
      <c r="C11" s="277">
        <v>3.0</v>
      </c>
      <c r="D11" s="278" t="s">
        <v>5317</v>
      </c>
    </row>
    <row r="12">
      <c r="A12" s="276">
        <v>45791.379947905094</v>
      </c>
      <c r="B12" s="277" t="s">
        <v>5318</v>
      </c>
      <c r="C12" s="277">
        <v>5.0</v>
      </c>
      <c r="D12" s="278" t="s">
        <v>5319</v>
      </c>
    </row>
    <row r="13">
      <c r="A13" s="276">
        <v>45791.3806940625</v>
      </c>
      <c r="B13" s="277" t="s">
        <v>5323</v>
      </c>
      <c r="C13" s="277" t="s">
        <v>5324</v>
      </c>
      <c r="D13" s="278" t="s">
        <v>5325</v>
      </c>
    </row>
    <row r="14">
      <c r="A14" s="276">
        <v>45791.380711770835</v>
      </c>
      <c r="B14" s="277" t="s">
        <v>5326</v>
      </c>
      <c r="C14" s="277">
        <v>9.0</v>
      </c>
      <c r="D14" s="278" t="s">
        <v>5328</v>
      </c>
    </row>
    <row r="15">
      <c r="A15" s="276">
        <v>45791.381619050924</v>
      </c>
      <c r="B15" s="277" t="s">
        <v>5334</v>
      </c>
      <c r="C15" s="277">
        <v>6.0</v>
      </c>
      <c r="D15" s="278" t="s">
        <v>5335</v>
      </c>
    </row>
    <row r="16">
      <c r="A16" s="276">
        <v>45791.382899398144</v>
      </c>
      <c r="B16" s="277" t="s">
        <v>5339</v>
      </c>
      <c r="C16" s="277">
        <v>6.0</v>
      </c>
      <c r="D16" s="278" t="s">
        <v>5340</v>
      </c>
    </row>
    <row r="17">
      <c r="A17" s="276">
        <v>45791.38291251157</v>
      </c>
      <c r="B17" s="277" t="s">
        <v>5341</v>
      </c>
      <c r="C17" s="279" t="s">
        <v>5311</v>
      </c>
      <c r="D17" s="278" t="s">
        <v>5343</v>
      </c>
    </row>
    <row r="18">
      <c r="A18" s="276">
        <v>45791.38563282407</v>
      </c>
      <c r="B18" s="277" t="s">
        <v>5347</v>
      </c>
      <c r="C18" s="277">
        <v>1.0</v>
      </c>
      <c r="D18" s="278" t="s">
        <v>5348</v>
      </c>
    </row>
    <row r="19">
      <c r="A19" s="276">
        <v>45791.39375791667</v>
      </c>
      <c r="B19" s="277" t="s">
        <v>5350</v>
      </c>
      <c r="C19" s="277" t="s">
        <v>5351</v>
      </c>
      <c r="D19" s="278" t="s">
        <v>5352</v>
      </c>
    </row>
    <row r="20">
      <c r="A20" s="276">
        <v>45791.3988483912</v>
      </c>
      <c r="B20" s="277" t="s">
        <v>5359</v>
      </c>
      <c r="C20" s="277" t="s">
        <v>5360</v>
      </c>
      <c r="D20" s="278" t="s">
        <v>5361</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s>
  <drawing r:id="rId20"/>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63"/>
    <col customWidth="1" min="6" max="6" width="61.0"/>
  </cols>
  <sheetData>
    <row r="1">
      <c r="A1" s="114" t="s">
        <v>5398</v>
      </c>
      <c r="B1" s="3"/>
      <c r="C1" s="3"/>
      <c r="D1" s="3"/>
      <c r="E1" s="3"/>
      <c r="F1" s="3"/>
      <c r="G1" s="3"/>
      <c r="H1" s="3"/>
      <c r="I1" s="5"/>
    </row>
    <row r="2">
      <c r="A2" s="48" t="s">
        <v>2434</v>
      </c>
      <c r="B2" s="48" t="s">
        <v>5399</v>
      </c>
      <c r="C2" s="48" t="s">
        <v>1543</v>
      </c>
      <c r="D2" s="48" t="s">
        <v>1545</v>
      </c>
      <c r="E2" s="48" t="s">
        <v>5401</v>
      </c>
      <c r="F2" s="48" t="s">
        <v>5402</v>
      </c>
      <c r="G2" s="48" t="s">
        <v>5403</v>
      </c>
      <c r="H2" s="281" t="s">
        <v>5404</v>
      </c>
      <c r="I2" s="281" t="s">
        <v>5406</v>
      </c>
    </row>
    <row r="3">
      <c r="A3" s="132">
        <v>1.0</v>
      </c>
      <c r="B3" s="132">
        <v>1.0</v>
      </c>
      <c r="C3" s="132" t="s">
        <v>4909</v>
      </c>
      <c r="D3" s="132" t="s">
        <v>5410</v>
      </c>
      <c r="E3" s="132" t="s">
        <v>5412</v>
      </c>
      <c r="F3" s="132" t="s">
        <v>5414</v>
      </c>
      <c r="G3" s="132" t="s">
        <v>224</v>
      </c>
      <c r="H3" s="132" t="s">
        <v>5415</v>
      </c>
      <c r="I3" s="132">
        <v>199077.39</v>
      </c>
    </row>
    <row r="4">
      <c r="A4" s="132">
        <v>2.0</v>
      </c>
      <c r="B4" s="132">
        <v>2.0</v>
      </c>
      <c r="C4" s="132" t="s">
        <v>5416</v>
      </c>
      <c r="D4" s="132" t="s">
        <v>5410</v>
      </c>
      <c r="E4" s="132" t="s">
        <v>5417</v>
      </c>
      <c r="F4" s="132" t="s">
        <v>5418</v>
      </c>
      <c r="G4" s="132" t="s">
        <v>249</v>
      </c>
      <c r="H4" s="132">
        <v>2.018111025513E12</v>
      </c>
      <c r="I4" s="132">
        <v>240828.96</v>
      </c>
    </row>
    <row r="5">
      <c r="A5" s="132">
        <v>3.0</v>
      </c>
      <c r="B5" s="132">
        <v>3.0</v>
      </c>
      <c r="C5" s="132" t="s">
        <v>5422</v>
      </c>
      <c r="D5" s="132" t="s">
        <v>5423</v>
      </c>
      <c r="E5" s="132" t="s">
        <v>5424</v>
      </c>
      <c r="F5" s="132" t="s">
        <v>5425</v>
      </c>
      <c r="G5" s="132" t="s">
        <v>224</v>
      </c>
      <c r="H5" s="241"/>
      <c r="I5" s="132">
        <v>236493.99</v>
      </c>
    </row>
    <row r="6">
      <c r="A6" s="132">
        <v>4.0</v>
      </c>
      <c r="B6" s="132">
        <v>4.0</v>
      </c>
      <c r="C6" s="132" t="s">
        <v>5426</v>
      </c>
      <c r="D6" s="132" t="s">
        <v>1575</v>
      </c>
      <c r="E6" s="132" t="s">
        <v>5428</v>
      </c>
      <c r="F6" s="132" t="s">
        <v>5429</v>
      </c>
      <c r="G6" s="132" t="s">
        <v>224</v>
      </c>
      <c r="H6" s="241"/>
      <c r="I6" s="132">
        <v>255434.33</v>
      </c>
    </row>
    <row r="7">
      <c r="A7" s="132">
        <v>5.0</v>
      </c>
      <c r="B7" s="132">
        <v>5.0</v>
      </c>
      <c r="C7" s="132" t="s">
        <v>5432</v>
      </c>
      <c r="D7" s="132" t="s">
        <v>5434</v>
      </c>
      <c r="E7" s="132" t="s">
        <v>5428</v>
      </c>
      <c r="F7" s="132" t="s">
        <v>5436</v>
      </c>
      <c r="G7" s="132" t="s">
        <v>249</v>
      </c>
      <c r="H7" s="132">
        <v>2.02111002482E11</v>
      </c>
      <c r="I7" s="132">
        <v>2.0913199E7</v>
      </c>
    </row>
    <row r="8">
      <c r="A8" s="132">
        <v>6.0</v>
      </c>
      <c r="B8" s="132">
        <v>6.0</v>
      </c>
      <c r="C8" s="132" t="s">
        <v>5438</v>
      </c>
      <c r="D8" s="132" t="s">
        <v>5439</v>
      </c>
      <c r="E8" s="132" t="s">
        <v>5441</v>
      </c>
      <c r="F8" s="132" t="s">
        <v>5443</v>
      </c>
      <c r="G8" s="132" t="s">
        <v>249</v>
      </c>
      <c r="H8" s="132">
        <v>2.01911030638E11</v>
      </c>
      <c r="I8" s="132">
        <v>166936.37</v>
      </c>
    </row>
    <row r="9">
      <c r="A9" s="132">
        <v>7.0</v>
      </c>
      <c r="B9" s="132">
        <v>7.0</v>
      </c>
      <c r="C9" s="132" t="s">
        <v>5444</v>
      </c>
      <c r="D9" s="132" t="s">
        <v>5434</v>
      </c>
      <c r="E9" s="132" t="s">
        <v>5445</v>
      </c>
      <c r="F9" s="132" t="s">
        <v>5446</v>
      </c>
      <c r="G9" s="132" t="s">
        <v>224</v>
      </c>
      <c r="H9" s="241"/>
      <c r="I9" s="132">
        <v>254873.06</v>
      </c>
    </row>
    <row r="10">
      <c r="A10" s="132">
        <v>8.0</v>
      </c>
      <c r="B10" s="132">
        <v>8.0</v>
      </c>
      <c r="C10" s="132" t="s">
        <v>4915</v>
      </c>
      <c r="D10" s="132" t="s">
        <v>5449</v>
      </c>
      <c r="E10" s="132" t="s">
        <v>5450</v>
      </c>
      <c r="F10" s="132" t="s">
        <v>5451</v>
      </c>
      <c r="G10" s="132" t="s">
        <v>224</v>
      </c>
      <c r="H10" s="241"/>
      <c r="I10" s="132">
        <v>156457.89</v>
      </c>
    </row>
    <row r="11">
      <c r="A11" s="132">
        <v>9.0</v>
      </c>
      <c r="B11" s="132">
        <v>9.0</v>
      </c>
      <c r="C11" s="132" t="s">
        <v>4917</v>
      </c>
      <c r="D11" s="132" t="s">
        <v>5454</v>
      </c>
      <c r="E11" s="132" t="s">
        <v>5455</v>
      </c>
      <c r="F11" s="132" t="s">
        <v>5456</v>
      </c>
      <c r="G11" s="132" t="s">
        <v>224</v>
      </c>
      <c r="H11" s="241"/>
      <c r="I11" s="132">
        <v>199871.22</v>
      </c>
    </row>
    <row r="12">
      <c r="A12" s="132">
        <v>10.0</v>
      </c>
      <c r="B12" s="132">
        <v>10.0</v>
      </c>
      <c r="C12" s="132" t="s">
        <v>5457</v>
      </c>
      <c r="D12" s="132" t="s">
        <v>5458</v>
      </c>
      <c r="E12" s="132" t="s">
        <v>5459</v>
      </c>
      <c r="F12" s="132" t="s">
        <v>5460</v>
      </c>
      <c r="G12" s="132" t="s">
        <v>224</v>
      </c>
      <c r="H12" s="241"/>
      <c r="I12" s="132">
        <v>159704.15</v>
      </c>
    </row>
    <row r="13">
      <c r="A13" s="132">
        <v>11.0</v>
      </c>
      <c r="B13" s="132">
        <v>11.0</v>
      </c>
      <c r="C13" s="132" t="s">
        <v>5466</v>
      </c>
      <c r="D13" s="132" t="s">
        <v>1550</v>
      </c>
      <c r="E13" s="132" t="s">
        <v>5468</v>
      </c>
      <c r="F13" s="132" t="s">
        <v>5469</v>
      </c>
      <c r="G13" s="132" t="s">
        <v>224</v>
      </c>
      <c r="H13" s="241"/>
      <c r="I13" s="132">
        <v>194172.89</v>
      </c>
    </row>
    <row r="14">
      <c r="A14" s="132">
        <v>12.0</v>
      </c>
      <c r="B14" s="132">
        <v>12.0</v>
      </c>
      <c r="C14" s="132" t="s">
        <v>5472</v>
      </c>
      <c r="D14" s="132" t="s">
        <v>5473</v>
      </c>
      <c r="E14" s="132" t="s">
        <v>5474</v>
      </c>
      <c r="F14" s="132" t="s">
        <v>5475</v>
      </c>
      <c r="G14" s="132" t="s">
        <v>224</v>
      </c>
      <c r="H14" s="241"/>
      <c r="I14" s="132">
        <v>223197.65</v>
      </c>
    </row>
  </sheetData>
  <mergeCells count="1">
    <mergeCell ref="A1:I1"/>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75"/>
    <col customWidth="1" min="4" max="4" width="16.13"/>
    <col customWidth="1" min="6" max="6" width="41.0"/>
  </cols>
  <sheetData>
    <row r="1">
      <c r="A1" s="114" t="s">
        <v>5514</v>
      </c>
      <c r="B1" s="3"/>
      <c r="C1" s="3"/>
      <c r="D1" s="3"/>
      <c r="E1" s="3"/>
      <c r="F1" s="3"/>
      <c r="G1" s="3"/>
      <c r="H1" s="3"/>
      <c r="I1" s="5"/>
      <c r="J1" s="282"/>
    </row>
    <row r="2">
      <c r="A2" s="48" t="s">
        <v>2434</v>
      </c>
      <c r="B2" s="48" t="s">
        <v>5399</v>
      </c>
      <c r="C2" s="48" t="s">
        <v>1543</v>
      </c>
      <c r="D2" s="48" t="s">
        <v>1545</v>
      </c>
      <c r="E2" s="48" t="s">
        <v>5401</v>
      </c>
      <c r="F2" s="48" t="s">
        <v>5402</v>
      </c>
      <c r="G2" s="48" t="s">
        <v>5403</v>
      </c>
      <c r="H2" s="281" t="s">
        <v>5404</v>
      </c>
      <c r="I2" s="281" t="s">
        <v>5406</v>
      </c>
      <c r="J2" s="282"/>
    </row>
    <row r="3">
      <c r="A3" s="132">
        <v>1.0</v>
      </c>
      <c r="B3" s="282">
        <v>2.0</v>
      </c>
      <c r="C3" s="132" t="s">
        <v>5515</v>
      </c>
      <c r="D3" s="132" t="s">
        <v>5516</v>
      </c>
      <c r="E3" s="132" t="s">
        <v>5517</v>
      </c>
      <c r="F3" s="132" t="s">
        <v>5518</v>
      </c>
      <c r="G3" s="132" t="s">
        <v>249</v>
      </c>
      <c r="H3" s="132">
        <v>2.02011047901E11</v>
      </c>
      <c r="I3" s="282">
        <v>112663.0</v>
      </c>
      <c r="J3" s="132" t="s">
        <v>5519</v>
      </c>
    </row>
    <row r="4">
      <c r="A4" s="132">
        <v>2.0</v>
      </c>
      <c r="B4" s="282">
        <v>3.0</v>
      </c>
      <c r="C4" s="132" t="s">
        <v>4927</v>
      </c>
      <c r="D4" s="132" t="s">
        <v>5520</v>
      </c>
      <c r="E4" s="132" t="s">
        <v>5521</v>
      </c>
      <c r="F4" s="132" t="s">
        <v>5522</v>
      </c>
      <c r="G4" s="132" t="s">
        <v>249</v>
      </c>
      <c r="H4" s="132">
        <v>2.02111026018E11</v>
      </c>
      <c r="I4" s="132">
        <v>252069.0</v>
      </c>
      <c r="J4" s="282"/>
    </row>
    <row r="5">
      <c r="A5" s="132">
        <v>3.0</v>
      </c>
      <c r="B5" s="282">
        <v>4.0</v>
      </c>
      <c r="C5" s="97" t="s">
        <v>5523</v>
      </c>
      <c r="D5" s="132" t="s">
        <v>5520</v>
      </c>
      <c r="E5" s="132" t="s">
        <v>5524</v>
      </c>
      <c r="F5" s="132" t="s">
        <v>5525</v>
      </c>
      <c r="G5" s="132" t="s">
        <v>249</v>
      </c>
      <c r="H5" s="132">
        <v>2.02111138661E11</v>
      </c>
      <c r="I5" s="132">
        <v>159096.0</v>
      </c>
      <c r="J5" s="282"/>
    </row>
    <row r="6">
      <c r="A6" s="132">
        <v>4.0</v>
      </c>
      <c r="B6" s="282">
        <v>5.0</v>
      </c>
      <c r="C6" s="132" t="s">
        <v>5526</v>
      </c>
      <c r="D6" s="132" t="s">
        <v>5473</v>
      </c>
      <c r="E6" s="132" t="s">
        <v>5277</v>
      </c>
      <c r="F6" s="132" t="s">
        <v>5527</v>
      </c>
      <c r="G6" s="132" t="s">
        <v>5528</v>
      </c>
      <c r="H6" s="282"/>
      <c r="I6" s="132">
        <v>257945.7</v>
      </c>
      <c r="J6" s="282"/>
    </row>
    <row r="7">
      <c r="A7" s="132">
        <v>5.0</v>
      </c>
      <c r="B7" s="282">
        <v>6.0</v>
      </c>
      <c r="C7" s="132" t="s">
        <v>5529</v>
      </c>
      <c r="D7" s="132" t="s">
        <v>5473</v>
      </c>
      <c r="E7" s="132" t="s">
        <v>5478</v>
      </c>
      <c r="F7" s="132" t="s">
        <v>5530</v>
      </c>
      <c r="G7" s="132" t="s">
        <v>5531</v>
      </c>
      <c r="H7" s="282"/>
      <c r="I7" s="132">
        <v>220310.0</v>
      </c>
      <c r="J7" s="282"/>
    </row>
    <row r="8">
      <c r="A8" s="132">
        <v>6.0</v>
      </c>
      <c r="B8" s="282">
        <v>7.0</v>
      </c>
      <c r="C8" s="132" t="s">
        <v>5532</v>
      </c>
      <c r="D8" s="132" t="s">
        <v>3938</v>
      </c>
      <c r="E8" s="132" t="s">
        <v>5533</v>
      </c>
      <c r="F8" s="132" t="s">
        <v>5534</v>
      </c>
      <c r="G8" s="132" t="s">
        <v>5535</v>
      </c>
      <c r="H8" s="282"/>
      <c r="I8" s="132">
        <v>133123.0</v>
      </c>
      <c r="J8" s="282"/>
    </row>
    <row r="9">
      <c r="A9" s="132">
        <v>7.0</v>
      </c>
      <c r="B9" s="282">
        <v>8.0</v>
      </c>
      <c r="C9" s="132" t="s">
        <v>4930</v>
      </c>
      <c r="D9" s="132" t="s">
        <v>5520</v>
      </c>
      <c r="E9" s="132" t="s">
        <v>5536</v>
      </c>
      <c r="F9" s="132" t="s">
        <v>5537</v>
      </c>
      <c r="G9" s="132" t="s">
        <v>249</v>
      </c>
      <c r="H9" s="132">
        <v>2.02111033458E11</v>
      </c>
      <c r="I9" s="132">
        <v>120891.0</v>
      </c>
      <c r="J9" s="282"/>
    </row>
    <row r="10">
      <c r="A10" s="132">
        <v>8.0</v>
      </c>
      <c r="B10" s="282">
        <v>9.0</v>
      </c>
      <c r="C10" s="132" t="s">
        <v>5538</v>
      </c>
      <c r="D10" s="132" t="s">
        <v>5539</v>
      </c>
      <c r="E10" s="132" t="s">
        <v>5540</v>
      </c>
      <c r="F10" s="132" t="s">
        <v>5541</v>
      </c>
      <c r="G10" s="132" t="s">
        <v>249</v>
      </c>
      <c r="H10" s="132">
        <v>2.02111035713E11</v>
      </c>
      <c r="I10" s="132">
        <v>148690.0</v>
      </c>
      <c r="J10" s="282"/>
    </row>
    <row r="11">
      <c r="A11" s="132">
        <v>9.0</v>
      </c>
      <c r="B11" s="282">
        <v>10.0</v>
      </c>
      <c r="C11" s="132" t="s">
        <v>5542</v>
      </c>
      <c r="D11" s="132" t="s">
        <v>5543</v>
      </c>
      <c r="E11" s="132" t="s">
        <v>5544</v>
      </c>
      <c r="F11" s="132" t="s">
        <v>5545</v>
      </c>
      <c r="G11" s="132" t="s">
        <v>5528</v>
      </c>
      <c r="H11" s="282"/>
      <c r="I11" s="132">
        <v>227515.0</v>
      </c>
      <c r="J11" s="282"/>
    </row>
    <row r="12">
      <c r="A12" s="132">
        <v>10.0</v>
      </c>
      <c r="B12" s="282">
        <v>11.0</v>
      </c>
      <c r="C12" s="132" t="s">
        <v>5546</v>
      </c>
      <c r="D12" s="132" t="s">
        <v>5547</v>
      </c>
      <c r="E12" s="132" t="s">
        <v>5548</v>
      </c>
      <c r="F12" s="132" t="s">
        <v>5549</v>
      </c>
      <c r="G12" s="132" t="s">
        <v>51</v>
      </c>
      <c r="H12" s="282"/>
      <c r="I12" s="132">
        <v>142936.0</v>
      </c>
      <c r="J12" s="282"/>
    </row>
    <row r="13">
      <c r="A13" s="132">
        <v>11.0</v>
      </c>
      <c r="B13" s="282">
        <v>12.0</v>
      </c>
      <c r="C13" s="132" t="s">
        <v>4935</v>
      </c>
      <c r="D13" s="132" t="s">
        <v>5516</v>
      </c>
      <c r="E13" s="132" t="s">
        <v>2336</v>
      </c>
      <c r="F13" s="132" t="s">
        <v>5550</v>
      </c>
      <c r="G13" s="132" t="s">
        <v>5531</v>
      </c>
      <c r="H13" s="282"/>
      <c r="I13" s="132">
        <v>264391.0</v>
      </c>
      <c r="J13" s="282"/>
    </row>
    <row r="14">
      <c r="A14" s="132">
        <v>12.0</v>
      </c>
      <c r="B14" s="282">
        <v>13.0</v>
      </c>
      <c r="C14" s="132" t="s">
        <v>4940</v>
      </c>
      <c r="D14" s="132" t="s">
        <v>5551</v>
      </c>
      <c r="E14" s="132" t="s">
        <v>5552</v>
      </c>
      <c r="F14" s="132" t="s">
        <v>5553</v>
      </c>
      <c r="G14" s="132" t="s">
        <v>224</v>
      </c>
      <c r="H14" s="282"/>
      <c r="I14" s="132">
        <v>126504.0</v>
      </c>
      <c r="J14" s="282"/>
    </row>
    <row r="15">
      <c r="A15" s="132">
        <v>13.0</v>
      </c>
      <c r="B15" s="282">
        <v>14.0</v>
      </c>
      <c r="C15" s="132" t="s">
        <v>5554</v>
      </c>
      <c r="D15" s="132" t="s">
        <v>5555</v>
      </c>
      <c r="E15" s="132" t="s">
        <v>5556</v>
      </c>
      <c r="F15" s="132" t="s">
        <v>5557</v>
      </c>
      <c r="G15" s="132" t="s">
        <v>5531</v>
      </c>
      <c r="H15" s="282"/>
      <c r="I15" s="132">
        <v>216323.0</v>
      </c>
      <c r="J15" s="282"/>
    </row>
    <row r="16">
      <c r="A16" s="132">
        <v>14.0</v>
      </c>
      <c r="B16" s="282">
        <v>15.0</v>
      </c>
      <c r="C16" s="132" t="s">
        <v>5558</v>
      </c>
      <c r="D16" s="132" t="s">
        <v>5559</v>
      </c>
      <c r="E16" s="132" t="s">
        <v>5560</v>
      </c>
      <c r="F16" s="132" t="s">
        <v>5561</v>
      </c>
      <c r="G16" s="132" t="s">
        <v>51</v>
      </c>
      <c r="H16" s="282"/>
      <c r="I16" s="132">
        <v>160456.0</v>
      </c>
      <c r="J16" s="282"/>
    </row>
    <row r="17">
      <c r="A17" s="132">
        <v>15.0</v>
      </c>
      <c r="B17" s="282">
        <v>16.0</v>
      </c>
      <c r="C17" s="132" t="s">
        <v>5562</v>
      </c>
      <c r="D17" s="132" t="s">
        <v>3947</v>
      </c>
      <c r="E17" s="132" t="s">
        <v>5563</v>
      </c>
      <c r="F17" s="132" t="s">
        <v>5564</v>
      </c>
      <c r="G17" s="132" t="s">
        <v>5531</v>
      </c>
      <c r="H17" s="282"/>
      <c r="I17" s="132">
        <v>133429.0</v>
      </c>
      <c r="J17" s="282"/>
    </row>
    <row r="18">
      <c r="A18" s="132">
        <v>16.0</v>
      </c>
      <c r="B18" s="282">
        <v>17.0</v>
      </c>
      <c r="C18" s="132" t="s">
        <v>5565</v>
      </c>
      <c r="D18" s="132" t="s">
        <v>1550</v>
      </c>
      <c r="E18" s="132" t="s">
        <v>5566</v>
      </c>
      <c r="F18" s="132" t="s">
        <v>5567</v>
      </c>
      <c r="G18" s="132" t="s">
        <v>51</v>
      </c>
      <c r="H18" s="282"/>
      <c r="I18" s="132">
        <v>126052.0</v>
      </c>
      <c r="J18" s="282"/>
    </row>
    <row r="19">
      <c r="A19" s="132">
        <v>17.0</v>
      </c>
      <c r="B19" s="282">
        <v>18.0</v>
      </c>
      <c r="C19" s="132" t="s">
        <v>5568</v>
      </c>
      <c r="D19" s="132" t="s">
        <v>5569</v>
      </c>
      <c r="E19" s="132" t="s">
        <v>5570</v>
      </c>
      <c r="F19" s="132" t="s">
        <v>5571</v>
      </c>
      <c r="G19" s="132" t="s">
        <v>5531</v>
      </c>
      <c r="H19" s="282"/>
      <c r="I19" s="132">
        <v>225573.0</v>
      </c>
      <c r="J19" s="282"/>
    </row>
    <row r="20">
      <c r="A20" s="132">
        <v>18.0</v>
      </c>
      <c r="B20" s="282">
        <v>19.0</v>
      </c>
      <c r="C20" s="132" t="s">
        <v>5572</v>
      </c>
      <c r="D20" s="132" t="s">
        <v>5520</v>
      </c>
      <c r="E20" s="132" t="s">
        <v>5573</v>
      </c>
      <c r="F20" s="132" t="s">
        <v>5574</v>
      </c>
      <c r="G20" s="132" t="s">
        <v>249</v>
      </c>
      <c r="H20" s="132">
        <v>2.02111030803E11</v>
      </c>
      <c r="I20" s="132">
        <v>107505.0</v>
      </c>
      <c r="J20" s="282"/>
    </row>
    <row r="21">
      <c r="A21" s="132">
        <v>19.0</v>
      </c>
      <c r="B21" s="282">
        <v>20.0</v>
      </c>
      <c r="C21" s="132" t="s">
        <v>5575</v>
      </c>
      <c r="D21" s="132" t="s">
        <v>5551</v>
      </c>
      <c r="E21" s="132" t="s">
        <v>5576</v>
      </c>
      <c r="F21" s="132" t="s">
        <v>5577</v>
      </c>
      <c r="G21" s="132" t="s">
        <v>5531</v>
      </c>
      <c r="H21" s="282"/>
      <c r="I21" s="132">
        <v>229781.0</v>
      </c>
      <c r="J21" s="282"/>
    </row>
  </sheetData>
  <mergeCells count="1">
    <mergeCell ref="A1:I1"/>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1.63"/>
    <col customWidth="1" min="4" max="4" width="22.25"/>
    <col customWidth="1" min="5" max="5" width="22.13"/>
    <col customWidth="1" min="6" max="6" width="39.25"/>
    <col customWidth="1" min="9" max="9" width="25.0"/>
  </cols>
  <sheetData>
    <row r="1">
      <c r="A1" s="114" t="s">
        <v>5578</v>
      </c>
      <c r="B1" s="3"/>
      <c r="C1" s="3"/>
      <c r="D1" s="3"/>
      <c r="E1" s="3"/>
      <c r="F1" s="3"/>
      <c r="G1" s="3"/>
      <c r="H1" s="3"/>
      <c r="I1" s="5"/>
    </row>
    <row r="2">
      <c r="A2" s="48" t="s">
        <v>2434</v>
      </c>
      <c r="B2" s="48" t="s">
        <v>5399</v>
      </c>
      <c r="C2" s="48" t="s">
        <v>1543</v>
      </c>
      <c r="D2" s="48" t="s">
        <v>1545</v>
      </c>
      <c r="E2" s="48" t="s">
        <v>5401</v>
      </c>
      <c r="F2" s="48" t="s">
        <v>5402</v>
      </c>
      <c r="G2" s="48" t="s">
        <v>5579</v>
      </c>
      <c r="H2" s="281" t="s">
        <v>5404</v>
      </c>
      <c r="I2" s="283" t="s">
        <v>5580</v>
      </c>
    </row>
    <row r="3">
      <c r="A3" s="282">
        <v>1.0</v>
      </c>
      <c r="B3" s="241"/>
      <c r="C3" s="132" t="s">
        <v>5581</v>
      </c>
      <c r="D3" s="132" t="s">
        <v>3947</v>
      </c>
      <c r="E3" s="132" t="s">
        <v>5582</v>
      </c>
      <c r="F3" s="132" t="s">
        <v>5583</v>
      </c>
      <c r="G3" s="282" t="s">
        <v>224</v>
      </c>
      <c r="H3" s="241"/>
      <c r="I3" s="282">
        <v>177951.03</v>
      </c>
    </row>
    <row r="4">
      <c r="A4" s="282">
        <v>2.0</v>
      </c>
      <c r="B4" s="241"/>
      <c r="C4" s="132" t="s">
        <v>5584</v>
      </c>
      <c r="D4" s="132" t="s">
        <v>3938</v>
      </c>
      <c r="E4" s="132" t="s">
        <v>5585</v>
      </c>
      <c r="F4" s="132" t="s">
        <v>5586</v>
      </c>
      <c r="G4" s="282" t="s">
        <v>249</v>
      </c>
      <c r="H4" s="282">
        <v>2.02211011254E11</v>
      </c>
      <c r="I4" s="282">
        <v>253521.0</v>
      </c>
    </row>
    <row r="5">
      <c r="A5" s="282">
        <v>3.0</v>
      </c>
      <c r="B5" s="241"/>
      <c r="C5" s="132" t="s">
        <v>5587</v>
      </c>
      <c r="D5" s="132" t="s">
        <v>2336</v>
      </c>
      <c r="E5" s="132" t="s">
        <v>5588</v>
      </c>
      <c r="F5" s="132" t="s">
        <v>5589</v>
      </c>
      <c r="G5" s="282" t="s">
        <v>224</v>
      </c>
      <c r="H5" s="241"/>
      <c r="I5" s="282">
        <v>253737.81</v>
      </c>
    </row>
    <row r="6">
      <c r="A6" s="282">
        <v>4.0</v>
      </c>
      <c r="B6" s="241"/>
      <c r="C6" s="132" t="s">
        <v>5590</v>
      </c>
      <c r="D6" s="132" t="s">
        <v>5591</v>
      </c>
      <c r="E6" s="132" t="s">
        <v>5592</v>
      </c>
      <c r="F6" s="132" t="s">
        <v>5593</v>
      </c>
      <c r="G6" s="282" t="s">
        <v>224</v>
      </c>
      <c r="H6" s="241"/>
      <c r="I6" s="282">
        <v>264973.43</v>
      </c>
    </row>
    <row r="7">
      <c r="A7" s="282">
        <v>5.0</v>
      </c>
      <c r="B7" s="241"/>
      <c r="C7" s="132" t="s">
        <v>5594</v>
      </c>
      <c r="D7" s="132" t="s">
        <v>3933</v>
      </c>
      <c r="E7" s="132" t="s">
        <v>5595</v>
      </c>
      <c r="F7" s="132" t="s">
        <v>5596</v>
      </c>
      <c r="G7" s="282" t="s">
        <v>224</v>
      </c>
      <c r="H7" s="241"/>
      <c r="I7" s="282">
        <v>256158.37</v>
      </c>
    </row>
    <row r="8">
      <c r="A8" s="282">
        <v>6.0</v>
      </c>
      <c r="B8" s="241"/>
      <c r="C8" s="132" t="s">
        <v>5597</v>
      </c>
      <c r="D8" s="132" t="s">
        <v>186</v>
      </c>
      <c r="E8" s="132" t="s">
        <v>5277</v>
      </c>
      <c r="F8" s="132" t="s">
        <v>5598</v>
      </c>
      <c r="G8" s="282" t="s">
        <v>249</v>
      </c>
      <c r="H8" s="282">
        <v>5528973.0</v>
      </c>
      <c r="I8" s="282">
        <v>239206.0</v>
      </c>
    </row>
    <row r="9">
      <c r="A9" s="282">
        <v>7.0</v>
      </c>
      <c r="B9" s="241"/>
      <c r="C9" s="132" t="s">
        <v>5599</v>
      </c>
      <c r="D9" s="132" t="s">
        <v>5600</v>
      </c>
      <c r="E9" s="132" t="s">
        <v>5601</v>
      </c>
      <c r="F9" s="132" t="s">
        <v>5602</v>
      </c>
      <c r="G9" s="282" t="s">
        <v>249</v>
      </c>
      <c r="H9" s="282">
        <v>2.02211011992E11</v>
      </c>
      <c r="I9" s="282">
        <v>253011.23</v>
      </c>
    </row>
    <row r="10">
      <c r="A10" s="282">
        <v>8.0</v>
      </c>
      <c r="B10" s="241"/>
      <c r="C10" s="132" t="s">
        <v>4959</v>
      </c>
      <c r="D10" s="132" t="s">
        <v>5603</v>
      </c>
      <c r="E10" s="132" t="s">
        <v>5604</v>
      </c>
      <c r="F10" s="132" t="s">
        <v>5605</v>
      </c>
      <c r="G10" s="282" t="s">
        <v>249</v>
      </c>
      <c r="H10" s="282">
        <v>2.02311018759E11</v>
      </c>
      <c r="I10" s="282">
        <v>250744.66</v>
      </c>
    </row>
    <row r="11">
      <c r="A11" s="282">
        <v>9.0</v>
      </c>
      <c r="B11" s="282">
        <v>1.0</v>
      </c>
      <c r="C11" s="132" t="s">
        <v>5606</v>
      </c>
      <c r="D11" s="132" t="s">
        <v>5607</v>
      </c>
      <c r="E11" s="132" t="s">
        <v>5608</v>
      </c>
      <c r="F11" s="132" t="s">
        <v>5609</v>
      </c>
      <c r="G11" s="282" t="s">
        <v>224</v>
      </c>
      <c r="H11" s="241"/>
      <c r="I11" s="282">
        <v>255122.63</v>
      </c>
    </row>
    <row r="12">
      <c r="A12" s="282">
        <v>10.0</v>
      </c>
      <c r="B12" s="241"/>
      <c r="C12" s="132" t="s">
        <v>5610</v>
      </c>
      <c r="D12" s="132" t="s">
        <v>5611</v>
      </c>
      <c r="E12" s="132" t="s">
        <v>5612</v>
      </c>
      <c r="F12" s="132" t="s">
        <v>5613</v>
      </c>
      <c r="G12" s="282" t="s">
        <v>224</v>
      </c>
      <c r="H12" s="241"/>
      <c r="I12" s="282">
        <v>224321.56</v>
      </c>
    </row>
    <row r="13">
      <c r="A13" s="282">
        <v>11.0</v>
      </c>
      <c r="B13" s="241"/>
      <c r="C13" s="132" t="s">
        <v>4955</v>
      </c>
      <c r="D13" s="132" t="s">
        <v>1185</v>
      </c>
      <c r="E13" s="132" t="s">
        <v>5614</v>
      </c>
      <c r="F13" s="132" t="s">
        <v>5615</v>
      </c>
      <c r="G13" s="282" t="s">
        <v>224</v>
      </c>
      <c r="H13" s="241"/>
      <c r="I13" s="282">
        <v>265180.52</v>
      </c>
    </row>
    <row r="14">
      <c r="A14" s="282">
        <v>12.0</v>
      </c>
      <c r="B14" s="241"/>
      <c r="C14" s="132" t="s">
        <v>4953</v>
      </c>
      <c r="D14" s="132" t="s">
        <v>186</v>
      </c>
      <c r="E14" s="132" t="s">
        <v>5277</v>
      </c>
      <c r="F14" s="132" t="s">
        <v>5616</v>
      </c>
      <c r="G14" s="282" t="s">
        <v>249</v>
      </c>
      <c r="H14" s="282">
        <v>2.02211011991E11</v>
      </c>
      <c r="I14" s="282">
        <v>250779.1</v>
      </c>
    </row>
    <row r="15">
      <c r="A15" s="282">
        <v>13.0</v>
      </c>
      <c r="B15" s="241"/>
      <c r="C15" s="132" t="s">
        <v>5617</v>
      </c>
      <c r="D15" s="132" t="s">
        <v>5618</v>
      </c>
      <c r="E15" s="132" t="s">
        <v>5619</v>
      </c>
      <c r="F15" s="132" t="s">
        <v>5620</v>
      </c>
      <c r="G15" s="282" t="s">
        <v>224</v>
      </c>
      <c r="H15" s="241"/>
      <c r="I15" s="282">
        <v>275553.0</v>
      </c>
    </row>
    <row r="16">
      <c r="A16" s="282">
        <v>14.0</v>
      </c>
      <c r="B16" s="241"/>
      <c r="C16" s="132" t="s">
        <v>5621</v>
      </c>
      <c r="D16" s="132" t="s">
        <v>5622</v>
      </c>
      <c r="E16" s="132" t="s">
        <v>5623</v>
      </c>
      <c r="F16" s="132" t="s">
        <v>5624</v>
      </c>
      <c r="G16" s="282" t="s">
        <v>224</v>
      </c>
      <c r="H16" s="241"/>
      <c r="I16" s="282">
        <v>246426.76</v>
      </c>
    </row>
    <row r="17">
      <c r="A17" s="282">
        <v>15.0</v>
      </c>
      <c r="B17" s="241"/>
      <c r="C17" s="132" t="s">
        <v>5625</v>
      </c>
      <c r="D17" s="132" t="s">
        <v>1550</v>
      </c>
      <c r="E17" s="132" t="s">
        <v>5626</v>
      </c>
      <c r="F17" s="132" t="s">
        <v>5627</v>
      </c>
      <c r="G17" s="282" t="s">
        <v>224</v>
      </c>
      <c r="H17" s="241"/>
      <c r="I17" s="282">
        <v>214157.18</v>
      </c>
    </row>
    <row r="18">
      <c r="A18" s="282">
        <v>16.0</v>
      </c>
      <c r="B18" s="241"/>
      <c r="C18" s="132" t="s">
        <v>5628</v>
      </c>
      <c r="D18" s="132" t="s">
        <v>3938</v>
      </c>
      <c r="E18" s="132" t="s">
        <v>5629</v>
      </c>
      <c r="F18" s="132" t="s">
        <v>5630</v>
      </c>
      <c r="G18" s="282" t="s">
        <v>249</v>
      </c>
      <c r="H18" s="282">
        <v>2.02211011253E11</v>
      </c>
      <c r="I18" s="282">
        <v>250520.0</v>
      </c>
    </row>
    <row r="19">
      <c r="A19" s="282">
        <v>17.0</v>
      </c>
      <c r="B19" s="241"/>
      <c r="C19" s="132" t="s">
        <v>5631</v>
      </c>
      <c r="D19" s="132" t="s">
        <v>5632</v>
      </c>
      <c r="E19" s="132" t="s">
        <v>5633</v>
      </c>
      <c r="F19" s="132" t="s">
        <v>5634</v>
      </c>
      <c r="G19" s="282" t="s">
        <v>224</v>
      </c>
      <c r="H19" s="241"/>
      <c r="I19" s="282">
        <v>266684.1</v>
      </c>
    </row>
    <row r="20">
      <c r="A20" s="282">
        <v>18.0</v>
      </c>
      <c r="B20" s="241"/>
      <c r="C20" s="132" t="s">
        <v>5635</v>
      </c>
      <c r="D20" s="132" t="s">
        <v>5636</v>
      </c>
      <c r="E20" s="132" t="s">
        <v>5637</v>
      </c>
      <c r="F20" s="132" t="s">
        <v>5638</v>
      </c>
      <c r="G20" s="282" t="s">
        <v>249</v>
      </c>
      <c r="H20" s="282">
        <v>2.02211013351E11</v>
      </c>
      <c r="I20" s="282">
        <v>259781.47</v>
      </c>
    </row>
    <row r="21">
      <c r="A21" s="282">
        <v>19.0</v>
      </c>
      <c r="B21" s="241"/>
      <c r="C21" s="132" t="s">
        <v>5639</v>
      </c>
      <c r="D21" s="132" t="s">
        <v>5640</v>
      </c>
      <c r="E21" s="132" t="s">
        <v>5641</v>
      </c>
      <c r="F21" s="132" t="s">
        <v>5642</v>
      </c>
      <c r="G21" s="282" t="s">
        <v>249</v>
      </c>
      <c r="H21" s="282">
        <v>2.02211011255E11</v>
      </c>
      <c r="I21" s="282">
        <v>252412.32</v>
      </c>
    </row>
    <row r="22">
      <c r="A22" s="282">
        <v>20.0</v>
      </c>
      <c r="B22" s="241"/>
      <c r="C22" s="132" t="s">
        <v>5643</v>
      </c>
      <c r="D22" s="132" t="s">
        <v>5644</v>
      </c>
      <c r="E22" s="132" t="s">
        <v>5645</v>
      </c>
      <c r="F22" s="132" t="s">
        <v>5646</v>
      </c>
      <c r="G22" s="282" t="s">
        <v>249</v>
      </c>
      <c r="H22" s="282">
        <v>2.02211011989E11</v>
      </c>
      <c r="I22" s="282">
        <v>251180.14</v>
      </c>
    </row>
  </sheetData>
  <mergeCells count="1">
    <mergeCell ref="A1:I1"/>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5"/>
    <col customWidth="1" min="3" max="3" width="20.13"/>
    <col customWidth="1" min="5" max="5" width="19.5"/>
    <col customWidth="1" min="6" max="6" width="55.63"/>
    <col customWidth="1" min="9" max="9" width="24.38"/>
  </cols>
  <sheetData>
    <row r="1">
      <c r="A1" s="114" t="s">
        <v>5647</v>
      </c>
      <c r="B1" s="3"/>
      <c r="C1" s="3"/>
      <c r="D1" s="3"/>
      <c r="E1" s="3"/>
      <c r="F1" s="3"/>
      <c r="G1" s="3"/>
      <c r="H1" s="5"/>
      <c r="I1" s="238"/>
    </row>
    <row r="2">
      <c r="A2" s="48" t="s">
        <v>2434</v>
      </c>
      <c r="B2" s="48" t="s">
        <v>5399</v>
      </c>
      <c r="C2" s="48" t="s">
        <v>1543</v>
      </c>
      <c r="D2" s="48" t="s">
        <v>1545</v>
      </c>
      <c r="E2" s="48" t="s">
        <v>5401</v>
      </c>
      <c r="F2" s="48" t="s">
        <v>5402</v>
      </c>
      <c r="G2" s="48" t="s">
        <v>5579</v>
      </c>
      <c r="H2" s="281" t="s">
        <v>5404</v>
      </c>
      <c r="I2" s="283" t="s">
        <v>5580</v>
      </c>
    </row>
    <row r="3">
      <c r="A3" s="282">
        <v>1.0</v>
      </c>
      <c r="B3" s="282">
        <v>1.0</v>
      </c>
      <c r="C3" s="282" t="s">
        <v>5648</v>
      </c>
      <c r="D3" s="282" t="s">
        <v>3933</v>
      </c>
      <c r="E3" s="132" t="s">
        <v>5649</v>
      </c>
      <c r="F3" s="132" t="s">
        <v>5650</v>
      </c>
      <c r="G3" s="282" t="s">
        <v>249</v>
      </c>
      <c r="H3" s="282">
        <v>2.02311008497E11</v>
      </c>
      <c r="I3" s="282">
        <v>275013.0</v>
      </c>
    </row>
    <row r="4">
      <c r="A4" s="282">
        <v>2.0</v>
      </c>
      <c r="B4" s="282">
        <v>2.0</v>
      </c>
      <c r="C4" s="132" t="s">
        <v>5651</v>
      </c>
      <c r="D4" s="132" t="s">
        <v>3960</v>
      </c>
      <c r="E4" s="132" t="s">
        <v>5652</v>
      </c>
      <c r="F4" s="132" t="s">
        <v>5653</v>
      </c>
      <c r="G4" s="282" t="s">
        <v>5654</v>
      </c>
      <c r="H4" s="241"/>
      <c r="I4" s="282">
        <v>200985.09</v>
      </c>
    </row>
    <row r="5">
      <c r="A5" s="282">
        <v>3.0</v>
      </c>
      <c r="B5" s="282">
        <v>3.0</v>
      </c>
      <c r="C5" s="132" t="s">
        <v>5655</v>
      </c>
      <c r="D5" s="132" t="s">
        <v>5656</v>
      </c>
      <c r="E5" s="132" t="s">
        <v>5657</v>
      </c>
      <c r="F5" s="132" t="s">
        <v>5658</v>
      </c>
      <c r="G5" s="282" t="s">
        <v>2752</v>
      </c>
      <c r="H5" s="282">
        <v>2.02311008483E11</v>
      </c>
      <c r="I5" s="282">
        <v>251755.8</v>
      </c>
    </row>
    <row r="6">
      <c r="A6" s="282">
        <v>4.0</v>
      </c>
      <c r="B6" s="282">
        <v>4.0</v>
      </c>
      <c r="C6" s="132" t="s">
        <v>5659</v>
      </c>
      <c r="D6" s="132" t="s">
        <v>3960</v>
      </c>
      <c r="E6" s="132" t="s">
        <v>5660</v>
      </c>
      <c r="F6" s="132" t="s">
        <v>5661</v>
      </c>
      <c r="G6" s="282" t="s">
        <v>249</v>
      </c>
      <c r="H6" s="282">
        <v>2.02311008498E11</v>
      </c>
      <c r="I6" s="282">
        <v>205196.25</v>
      </c>
    </row>
    <row r="7">
      <c r="A7" s="282">
        <v>5.0</v>
      </c>
      <c r="B7" s="282">
        <v>5.0</v>
      </c>
      <c r="C7" s="132" t="s">
        <v>5662</v>
      </c>
      <c r="D7" s="132" t="s">
        <v>2331</v>
      </c>
      <c r="E7" s="132" t="s">
        <v>5663</v>
      </c>
      <c r="F7" s="132" t="s">
        <v>5664</v>
      </c>
      <c r="G7" s="282" t="s">
        <v>5665</v>
      </c>
      <c r="H7" s="241"/>
      <c r="I7" s="282">
        <v>276795.6</v>
      </c>
    </row>
    <row r="8">
      <c r="A8" s="282">
        <v>6.0</v>
      </c>
      <c r="B8" s="282">
        <v>6.0</v>
      </c>
      <c r="C8" s="132" t="s">
        <v>5666</v>
      </c>
      <c r="D8" s="132" t="s">
        <v>5667</v>
      </c>
      <c r="E8" s="132" t="s">
        <v>5668</v>
      </c>
      <c r="F8" s="132" t="s">
        <v>5669</v>
      </c>
      <c r="G8" s="241"/>
      <c r="H8" s="241"/>
      <c r="I8" s="282">
        <v>290902.0</v>
      </c>
    </row>
    <row r="9">
      <c r="A9" s="282">
        <v>7.0</v>
      </c>
      <c r="B9" s="282">
        <v>7.0</v>
      </c>
      <c r="C9" s="132" t="s">
        <v>5670</v>
      </c>
      <c r="D9" s="282" t="s">
        <v>5671</v>
      </c>
      <c r="E9" s="132" t="s">
        <v>5672</v>
      </c>
      <c r="F9" s="132" t="s">
        <v>5673</v>
      </c>
      <c r="G9" s="282" t="s">
        <v>249</v>
      </c>
      <c r="H9" s="282">
        <v>2.02311008496E11</v>
      </c>
      <c r="I9" s="282">
        <v>237896.96</v>
      </c>
    </row>
    <row r="10">
      <c r="A10" s="282">
        <v>8.0</v>
      </c>
      <c r="B10" s="282">
        <v>8.0</v>
      </c>
      <c r="C10" s="132" t="s">
        <v>5674</v>
      </c>
      <c r="D10" s="282" t="s">
        <v>1858</v>
      </c>
      <c r="E10" s="132" t="s">
        <v>5675</v>
      </c>
      <c r="F10" s="132" t="s">
        <v>5676</v>
      </c>
      <c r="G10" s="282" t="s">
        <v>5677</v>
      </c>
      <c r="H10" s="241"/>
      <c r="I10" s="282">
        <v>214230.6</v>
      </c>
    </row>
    <row r="11">
      <c r="A11" s="282">
        <v>9.0</v>
      </c>
      <c r="B11" s="282">
        <v>9.0</v>
      </c>
      <c r="C11" s="132" t="s">
        <v>4965</v>
      </c>
      <c r="D11" s="132" t="s">
        <v>5678</v>
      </c>
      <c r="E11" s="132" t="s">
        <v>5679</v>
      </c>
      <c r="F11" s="132" t="s">
        <v>5680</v>
      </c>
      <c r="G11" s="282" t="s">
        <v>2752</v>
      </c>
      <c r="H11" s="282">
        <v>2.02311008492E11</v>
      </c>
      <c r="I11" s="282">
        <v>257008.03</v>
      </c>
    </row>
    <row r="12">
      <c r="A12" s="282">
        <v>10.0</v>
      </c>
      <c r="B12" s="282">
        <v>10.0</v>
      </c>
      <c r="C12" s="132" t="s">
        <v>5681</v>
      </c>
      <c r="D12" s="132" t="s">
        <v>5682</v>
      </c>
      <c r="E12" s="132" t="s">
        <v>5683</v>
      </c>
      <c r="F12" s="132" t="s">
        <v>5684</v>
      </c>
      <c r="G12" s="282" t="s">
        <v>2752</v>
      </c>
      <c r="H12" s="282">
        <v>2.02311008689E11</v>
      </c>
      <c r="I12" s="282">
        <v>253929.69</v>
      </c>
    </row>
    <row r="13">
      <c r="A13" s="282">
        <v>11.0</v>
      </c>
      <c r="B13" s="282">
        <v>11.0</v>
      </c>
      <c r="C13" s="132" t="s">
        <v>5685</v>
      </c>
      <c r="D13" s="132" t="s">
        <v>3960</v>
      </c>
      <c r="E13" s="132" t="s">
        <v>5686</v>
      </c>
      <c r="F13" s="132" t="s">
        <v>5687</v>
      </c>
      <c r="G13" s="241"/>
      <c r="H13" s="241"/>
      <c r="I13" s="282">
        <v>226548.67</v>
      </c>
    </row>
    <row r="14">
      <c r="A14" s="282">
        <v>12.0</v>
      </c>
      <c r="B14" s="282">
        <v>12.0</v>
      </c>
      <c r="C14" s="132" t="s">
        <v>5688</v>
      </c>
      <c r="D14" s="282" t="s">
        <v>3970</v>
      </c>
      <c r="E14" s="132" t="s">
        <v>5689</v>
      </c>
      <c r="F14" s="132" t="s">
        <v>5690</v>
      </c>
      <c r="G14" s="282" t="s">
        <v>249</v>
      </c>
      <c r="H14" s="282">
        <v>2.02311008495E11</v>
      </c>
      <c r="I14" s="282">
        <v>266745.17</v>
      </c>
    </row>
    <row r="15">
      <c r="A15" s="282">
        <v>13.0</v>
      </c>
      <c r="B15" s="282">
        <v>13.0</v>
      </c>
      <c r="C15" s="132" t="s">
        <v>5691</v>
      </c>
      <c r="D15" s="132" t="s">
        <v>5692</v>
      </c>
      <c r="E15" s="132" t="s">
        <v>5693</v>
      </c>
      <c r="F15" s="132" t="s">
        <v>5694</v>
      </c>
      <c r="G15" s="282" t="s">
        <v>2752</v>
      </c>
      <c r="H15" s="282">
        <v>2.02311008494E11</v>
      </c>
      <c r="I15" s="282">
        <v>260917.46</v>
      </c>
    </row>
    <row r="16">
      <c r="A16" s="282">
        <v>14.0</v>
      </c>
      <c r="B16" s="282">
        <v>14.0</v>
      </c>
      <c r="C16" s="132" t="s">
        <v>5695</v>
      </c>
      <c r="D16" s="132" t="s">
        <v>3960</v>
      </c>
      <c r="E16" s="132" t="s">
        <v>5696</v>
      </c>
      <c r="F16" s="132" t="s">
        <v>5697</v>
      </c>
      <c r="G16" s="282" t="s">
        <v>249</v>
      </c>
      <c r="H16" s="282">
        <v>2.02411003219E11</v>
      </c>
      <c r="I16" s="282">
        <v>163391.25</v>
      </c>
    </row>
    <row r="17">
      <c r="A17" s="282">
        <v>15.0</v>
      </c>
      <c r="B17" s="282">
        <v>15.0</v>
      </c>
      <c r="C17" s="132" t="s">
        <v>5698</v>
      </c>
      <c r="D17" s="132" t="s">
        <v>5699</v>
      </c>
      <c r="E17" s="132" t="s">
        <v>1579</v>
      </c>
      <c r="F17" s="132" t="s">
        <v>5700</v>
      </c>
      <c r="G17" s="241"/>
      <c r="H17" s="241"/>
      <c r="I17" s="282">
        <v>269029.07</v>
      </c>
    </row>
    <row r="18">
      <c r="A18" s="282">
        <v>16.0</v>
      </c>
      <c r="B18" s="282">
        <v>16.0</v>
      </c>
      <c r="C18" s="132" t="s">
        <v>5701</v>
      </c>
      <c r="D18" s="132" t="s">
        <v>5702</v>
      </c>
      <c r="E18" s="132" t="s">
        <v>5703</v>
      </c>
      <c r="F18" s="132" t="s">
        <v>5704</v>
      </c>
      <c r="G18" s="282" t="s">
        <v>5654</v>
      </c>
      <c r="H18" s="241"/>
      <c r="I18" s="282">
        <v>210338.6</v>
      </c>
    </row>
    <row r="19">
      <c r="A19" s="282">
        <v>17.0</v>
      </c>
      <c r="B19" s="282">
        <v>17.0</v>
      </c>
      <c r="C19" s="282" t="s">
        <v>5705</v>
      </c>
      <c r="D19" s="282" t="s">
        <v>5706</v>
      </c>
      <c r="E19" s="132" t="s">
        <v>5707</v>
      </c>
      <c r="F19" s="132" t="s">
        <v>5708</v>
      </c>
      <c r="G19" s="241"/>
      <c r="H19" s="241"/>
      <c r="I19" s="282">
        <v>251630.07</v>
      </c>
    </row>
    <row r="20">
      <c r="A20" s="282">
        <v>18.0</v>
      </c>
      <c r="B20" s="282">
        <v>18.0</v>
      </c>
      <c r="C20" s="132" t="s">
        <v>3915</v>
      </c>
      <c r="D20" s="132" t="s">
        <v>5706</v>
      </c>
      <c r="E20" s="132" t="s">
        <v>5709</v>
      </c>
      <c r="F20" s="132" t="s">
        <v>5710</v>
      </c>
      <c r="G20" s="282" t="s">
        <v>224</v>
      </c>
      <c r="H20" s="241"/>
      <c r="I20" s="282">
        <v>271571.05</v>
      </c>
    </row>
    <row r="21">
      <c r="A21" s="282">
        <v>19.0</v>
      </c>
      <c r="B21" s="282">
        <v>19.0</v>
      </c>
      <c r="C21" s="282" t="s">
        <v>4984</v>
      </c>
      <c r="D21" s="282" t="s">
        <v>5711</v>
      </c>
      <c r="E21" s="132" t="s">
        <v>5712</v>
      </c>
      <c r="F21" s="132" t="s">
        <v>5713</v>
      </c>
      <c r="G21" s="241"/>
      <c r="H21" s="241"/>
      <c r="I21" s="282">
        <v>258612.59</v>
      </c>
    </row>
    <row r="22">
      <c r="A22" s="282">
        <v>20.0</v>
      </c>
      <c r="B22" s="282">
        <v>20.0</v>
      </c>
      <c r="C22" s="132" t="s">
        <v>4987</v>
      </c>
      <c r="D22" s="132" t="s">
        <v>5699</v>
      </c>
      <c r="E22" s="132" t="s">
        <v>5712</v>
      </c>
      <c r="F22" s="132" t="s">
        <v>5715</v>
      </c>
      <c r="G22" s="282" t="s">
        <v>5716</v>
      </c>
      <c r="H22" s="241"/>
      <c r="I22" s="282">
        <v>263458.6</v>
      </c>
    </row>
  </sheetData>
  <mergeCells count="1">
    <mergeCell ref="A1:H1"/>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0"/>
    <col customWidth="1" min="4" max="4" width="17.63"/>
    <col customWidth="1" min="5" max="5" width="47.75"/>
    <col customWidth="1" min="6" max="6" width="59.38"/>
    <col customWidth="1" min="7" max="7" width="16.5"/>
  </cols>
  <sheetData>
    <row r="1">
      <c r="A1" s="284" t="s">
        <v>5714</v>
      </c>
      <c r="B1" s="3"/>
      <c r="C1" s="3"/>
      <c r="D1" s="3"/>
      <c r="E1" s="3"/>
      <c r="F1" s="3"/>
      <c r="G1" s="3"/>
      <c r="H1" s="5"/>
    </row>
    <row r="2">
      <c r="A2" s="281" t="s">
        <v>2398</v>
      </c>
      <c r="B2" s="285" t="s">
        <v>5717</v>
      </c>
      <c r="C2" s="281" t="s">
        <v>5718</v>
      </c>
      <c r="D2" s="281" t="s">
        <v>5719</v>
      </c>
      <c r="E2" s="281" t="s">
        <v>5720</v>
      </c>
      <c r="F2" s="281" t="s">
        <v>5721</v>
      </c>
      <c r="G2" s="281" t="s">
        <v>5722</v>
      </c>
      <c r="H2" s="281" t="s">
        <v>5723</v>
      </c>
    </row>
    <row r="3">
      <c r="A3" s="132">
        <v>1.0</v>
      </c>
      <c r="B3" s="286" t="s">
        <v>1446</v>
      </c>
      <c r="C3" s="97" t="s">
        <v>1444</v>
      </c>
      <c r="D3" s="132" t="s">
        <v>5724</v>
      </c>
      <c r="E3" s="287" t="s">
        <v>5725</v>
      </c>
      <c r="F3" s="133" t="s">
        <v>5726</v>
      </c>
      <c r="G3" s="132" t="s">
        <v>5727</v>
      </c>
      <c r="H3" s="132" t="s">
        <v>5728</v>
      </c>
    </row>
    <row r="4">
      <c r="A4" s="132">
        <v>2.0</v>
      </c>
      <c r="B4" s="286" t="s">
        <v>1453</v>
      </c>
      <c r="C4" s="132" t="s">
        <v>1451</v>
      </c>
      <c r="D4" s="132" t="s">
        <v>5729</v>
      </c>
      <c r="E4" s="132" t="s">
        <v>5730</v>
      </c>
      <c r="F4" s="133" t="s">
        <v>5731</v>
      </c>
      <c r="G4" s="132" t="s">
        <v>5732</v>
      </c>
      <c r="H4" s="132" t="s">
        <v>5728</v>
      </c>
    </row>
    <row r="5">
      <c r="A5" s="132">
        <v>3.0</v>
      </c>
      <c r="B5" s="286" t="s">
        <v>1455</v>
      </c>
      <c r="C5" s="132" t="s">
        <v>1454</v>
      </c>
      <c r="D5" s="132" t="s">
        <v>5724</v>
      </c>
      <c r="E5" s="133" t="s">
        <v>5733</v>
      </c>
      <c r="F5" s="133" t="s">
        <v>5734</v>
      </c>
      <c r="G5" s="132" t="s">
        <v>5735</v>
      </c>
      <c r="H5" s="132" t="s">
        <v>5728</v>
      </c>
    </row>
    <row r="6">
      <c r="A6" s="132">
        <v>4.0</v>
      </c>
      <c r="B6" s="286" t="s">
        <v>1462</v>
      </c>
      <c r="C6" s="132" t="s">
        <v>1459</v>
      </c>
      <c r="D6" s="132" t="s">
        <v>5736</v>
      </c>
      <c r="E6" s="288" t="s">
        <v>5737</v>
      </c>
      <c r="F6" s="133" t="s">
        <v>2645</v>
      </c>
      <c r="G6" s="132" t="s">
        <v>5738</v>
      </c>
      <c r="H6" s="132" t="s">
        <v>5728</v>
      </c>
    </row>
    <row r="7">
      <c r="A7" s="132">
        <v>5.0</v>
      </c>
      <c r="B7" s="286">
        <v>45880.0</v>
      </c>
      <c r="C7" s="132" t="s">
        <v>1463</v>
      </c>
      <c r="D7" s="132" t="s">
        <v>5736</v>
      </c>
      <c r="E7" s="133" t="s">
        <v>5739</v>
      </c>
      <c r="F7" s="133" t="s">
        <v>2649</v>
      </c>
      <c r="G7" s="132" t="s">
        <v>5740</v>
      </c>
      <c r="H7" s="132" t="s">
        <v>5728</v>
      </c>
    </row>
    <row r="8">
      <c r="A8" s="132">
        <v>6.0</v>
      </c>
      <c r="B8" s="286">
        <v>45941.0</v>
      </c>
      <c r="C8" s="132" t="s">
        <v>1464</v>
      </c>
      <c r="D8" s="132" t="s">
        <v>5736</v>
      </c>
      <c r="E8" s="133" t="s">
        <v>5741</v>
      </c>
      <c r="F8" s="133" t="s">
        <v>2654</v>
      </c>
      <c r="G8" s="132" t="s">
        <v>5738</v>
      </c>
      <c r="H8" s="132" t="s">
        <v>5728</v>
      </c>
    </row>
    <row r="9">
      <c r="A9" s="132">
        <v>7.0</v>
      </c>
      <c r="B9" s="286">
        <v>45972.0</v>
      </c>
      <c r="C9" s="132" t="s">
        <v>1469</v>
      </c>
      <c r="D9" s="132" t="s">
        <v>5736</v>
      </c>
      <c r="E9" s="287" t="s">
        <v>5742</v>
      </c>
      <c r="F9" s="133" t="s">
        <v>2658</v>
      </c>
      <c r="G9" s="132" t="s">
        <v>5740</v>
      </c>
      <c r="H9" s="132" t="s">
        <v>5728</v>
      </c>
    </row>
    <row r="10">
      <c r="A10" s="132">
        <v>8.0</v>
      </c>
      <c r="B10" s="286">
        <v>46002.0</v>
      </c>
      <c r="C10" s="132" t="s">
        <v>1470</v>
      </c>
      <c r="D10" s="132" t="s">
        <v>5736</v>
      </c>
      <c r="E10" s="287" t="s">
        <v>5753</v>
      </c>
      <c r="F10" s="287" t="s">
        <v>5759</v>
      </c>
      <c r="G10" s="132" t="s">
        <v>5740</v>
      </c>
      <c r="H10" s="132" t="s">
        <v>5728</v>
      </c>
    </row>
    <row r="11">
      <c r="A11" s="132">
        <v>9.0</v>
      </c>
      <c r="B11" s="132" t="s">
        <v>1475</v>
      </c>
      <c r="C11" s="132" t="s">
        <v>1472</v>
      </c>
      <c r="D11" s="132" t="s">
        <v>5736</v>
      </c>
      <c r="E11" s="287" t="s">
        <v>5770</v>
      </c>
      <c r="F11" s="287" t="s">
        <v>5780</v>
      </c>
      <c r="G11" s="132" t="s">
        <v>5740</v>
      </c>
      <c r="H11" s="132" t="s">
        <v>5728</v>
      </c>
    </row>
    <row r="12">
      <c r="A12" s="132">
        <v>10.0</v>
      </c>
      <c r="B12" s="290">
        <v>45789.0</v>
      </c>
      <c r="C12" s="132" t="s">
        <v>1477</v>
      </c>
      <c r="D12" s="132" t="s">
        <v>5795</v>
      </c>
      <c r="E12" s="132" t="s">
        <v>5730</v>
      </c>
      <c r="F12" s="287" t="s">
        <v>5798</v>
      </c>
      <c r="G12" s="132" t="s">
        <v>5806</v>
      </c>
      <c r="H12" s="132" t="s">
        <v>5728</v>
      </c>
    </row>
    <row r="13">
      <c r="A13" s="132">
        <v>11.0</v>
      </c>
      <c r="B13" s="132" t="s">
        <v>1483</v>
      </c>
      <c r="C13" s="132" t="s">
        <v>1482</v>
      </c>
      <c r="D13" s="132" t="s">
        <v>5724</v>
      </c>
      <c r="E13" s="287" t="s">
        <v>5810</v>
      </c>
      <c r="F13" s="287" t="s">
        <v>5817</v>
      </c>
      <c r="G13" s="132" t="s">
        <v>5819</v>
      </c>
      <c r="H13" s="132" t="s">
        <v>5728</v>
      </c>
    </row>
    <row r="14">
      <c r="A14" s="132">
        <v>12.0</v>
      </c>
      <c r="B14" s="132" t="s">
        <v>1490</v>
      </c>
      <c r="C14" s="132" t="s">
        <v>1485</v>
      </c>
      <c r="D14" s="132" t="s">
        <v>5736</v>
      </c>
      <c r="E14" s="287" t="s">
        <v>5825</v>
      </c>
      <c r="F14" s="287" t="s">
        <v>5832</v>
      </c>
      <c r="G14" s="132" t="s">
        <v>5727</v>
      </c>
      <c r="H14" s="132" t="s">
        <v>5728</v>
      </c>
    </row>
    <row r="15">
      <c r="A15" s="132">
        <v>13.0</v>
      </c>
      <c r="B15" s="132" t="s">
        <v>1492</v>
      </c>
      <c r="C15" s="132" t="s">
        <v>1491</v>
      </c>
      <c r="D15" s="132" t="s">
        <v>5736</v>
      </c>
      <c r="E15" s="287" t="s">
        <v>5834</v>
      </c>
      <c r="F15" s="293" t="s">
        <v>5839</v>
      </c>
      <c r="G15" s="132" t="s">
        <v>5806</v>
      </c>
      <c r="H15" s="132" t="s">
        <v>5728</v>
      </c>
    </row>
    <row r="16">
      <c r="A16" s="132">
        <v>14.0</v>
      </c>
      <c r="B16" s="286">
        <v>46114.0</v>
      </c>
      <c r="C16" s="132" t="s">
        <v>1494</v>
      </c>
      <c r="D16" s="132" t="s">
        <v>5724</v>
      </c>
      <c r="E16" s="287" t="s">
        <v>5845</v>
      </c>
      <c r="F16" s="287" t="s">
        <v>5849</v>
      </c>
      <c r="G16" s="132" t="s">
        <v>5853</v>
      </c>
      <c r="H16" s="132" t="s">
        <v>5728</v>
      </c>
    </row>
    <row r="17">
      <c r="A17" s="132">
        <v>15.0</v>
      </c>
      <c r="B17" s="132" t="s">
        <v>1499</v>
      </c>
      <c r="C17" s="132" t="s">
        <v>1498</v>
      </c>
      <c r="D17" s="132" t="s">
        <v>5724</v>
      </c>
      <c r="E17" s="287" t="s">
        <v>5855</v>
      </c>
      <c r="F17" s="132" t="s">
        <v>5859</v>
      </c>
      <c r="G17" s="132" t="s">
        <v>5806</v>
      </c>
      <c r="H17" s="132" t="s">
        <v>5728</v>
      </c>
    </row>
    <row r="18">
      <c r="A18" s="132">
        <v>16.0</v>
      </c>
      <c r="B18" s="132" t="s">
        <v>1503</v>
      </c>
      <c r="C18" s="132" t="s">
        <v>1501</v>
      </c>
      <c r="D18" s="132" t="s">
        <v>5724</v>
      </c>
      <c r="E18" s="132" t="s">
        <v>5730</v>
      </c>
      <c r="F18" s="287" t="s">
        <v>5862</v>
      </c>
      <c r="G18" s="132" t="s">
        <v>5740</v>
      </c>
      <c r="H18" s="132" t="s">
        <v>5728</v>
      </c>
    </row>
    <row r="19">
      <c r="A19" s="132">
        <v>17.0</v>
      </c>
      <c r="B19" s="286">
        <v>46268.0</v>
      </c>
      <c r="C19" s="97" t="s">
        <v>5866</v>
      </c>
      <c r="D19" s="132" t="s">
        <v>5724</v>
      </c>
      <c r="E19" s="287" t="s">
        <v>5867</v>
      </c>
      <c r="F19" s="132"/>
      <c r="G19" s="132" t="s">
        <v>5868</v>
      </c>
      <c r="H19" s="132" t="s">
        <v>5728</v>
      </c>
    </row>
    <row r="20">
      <c r="A20" s="132">
        <v>18.0</v>
      </c>
      <c r="B20" s="161"/>
      <c r="C20" s="92" t="s">
        <v>1507</v>
      </c>
      <c r="D20" s="161"/>
      <c r="E20" s="161"/>
      <c r="F20" s="161"/>
      <c r="G20" s="161"/>
      <c r="H20" s="161"/>
    </row>
    <row r="21">
      <c r="A21" s="132">
        <v>19.0</v>
      </c>
      <c r="B21" s="161"/>
      <c r="C21" s="92" t="s">
        <v>1513</v>
      </c>
      <c r="D21" s="161"/>
      <c r="E21" s="161"/>
      <c r="F21" s="161"/>
      <c r="G21" s="161"/>
      <c r="H21" s="161"/>
    </row>
    <row r="22">
      <c r="A22" s="132">
        <v>20.0</v>
      </c>
      <c r="B22" s="161"/>
      <c r="C22" s="92" t="s">
        <v>1515</v>
      </c>
      <c r="D22" s="161"/>
      <c r="E22" s="161"/>
      <c r="F22" s="161"/>
      <c r="G22" s="161"/>
      <c r="H22" s="161"/>
    </row>
    <row r="23">
      <c r="A23" s="132">
        <v>21.0</v>
      </c>
      <c r="B23" s="161"/>
      <c r="C23" s="92" t="s">
        <v>1517</v>
      </c>
      <c r="D23" s="161"/>
      <c r="E23" s="161"/>
      <c r="F23" s="161"/>
      <c r="G23" s="161"/>
      <c r="H23" s="161"/>
    </row>
    <row r="24">
      <c r="A24" s="132">
        <v>22.0</v>
      </c>
      <c r="B24" s="161"/>
      <c r="C24" s="92" t="s">
        <v>1520</v>
      </c>
      <c r="D24" s="161"/>
      <c r="E24" s="161"/>
      <c r="F24" s="161"/>
      <c r="G24" s="161"/>
      <c r="H24" s="161"/>
    </row>
    <row r="25">
      <c r="A25" s="132">
        <v>23.0</v>
      </c>
      <c r="B25" s="161"/>
      <c r="C25" s="92" t="s">
        <v>1522</v>
      </c>
      <c r="D25" s="161"/>
      <c r="E25" s="161"/>
      <c r="F25" s="161"/>
      <c r="G25" s="161"/>
      <c r="H25" s="161"/>
    </row>
    <row r="26">
      <c r="A26" s="132">
        <v>24.0</v>
      </c>
      <c r="B26" s="161"/>
      <c r="C26" s="92" t="s">
        <v>1526</v>
      </c>
      <c r="D26" s="161"/>
      <c r="E26" s="161"/>
      <c r="F26" s="161"/>
      <c r="G26" s="161"/>
      <c r="H26" s="161"/>
    </row>
    <row r="27">
      <c r="A27" s="132">
        <v>25.0</v>
      </c>
      <c r="B27" s="161"/>
      <c r="C27" s="97" t="s">
        <v>1528</v>
      </c>
      <c r="D27" s="161"/>
      <c r="E27" s="161"/>
      <c r="F27" s="161"/>
      <c r="G27" s="161"/>
      <c r="H27" s="161"/>
    </row>
  </sheetData>
  <mergeCells count="1">
    <mergeCell ref="A1:H1"/>
  </mergeCells>
  <hyperlinks>
    <hyperlink r:id="rId1" ref="E3"/>
    <hyperlink r:id="rId2" ref="F3"/>
    <hyperlink r:id="rId3" ref="F4"/>
    <hyperlink r:id="rId4" ref="E5"/>
    <hyperlink r:id="rId5" ref="F5"/>
    <hyperlink r:id="rId6" ref="E6"/>
    <hyperlink r:id="rId7" ref="F6"/>
    <hyperlink r:id="rId8" ref="E7"/>
    <hyperlink r:id="rId9" ref="F7"/>
    <hyperlink r:id="rId10" ref="E8"/>
    <hyperlink r:id="rId11" ref="F8"/>
    <hyperlink r:id="rId12" ref="E9"/>
    <hyperlink r:id="rId13" ref="F9"/>
    <hyperlink r:id="rId14" ref="E10"/>
    <hyperlink r:id="rId15" ref="F10"/>
    <hyperlink r:id="rId16" ref="E11"/>
    <hyperlink r:id="rId17" ref="F11"/>
    <hyperlink r:id="rId18" ref="F12"/>
    <hyperlink r:id="rId19" ref="E13"/>
    <hyperlink r:id="rId20" ref="F13"/>
    <hyperlink r:id="rId21" ref="E14"/>
    <hyperlink r:id="rId22" ref="F14"/>
    <hyperlink r:id="rId23" ref="E15"/>
    <hyperlink r:id="rId24" ref="F15"/>
    <hyperlink r:id="rId25" ref="E16"/>
    <hyperlink r:id="rId26" ref="F16"/>
    <hyperlink r:id="rId27" ref="E17"/>
    <hyperlink r:id="rId28" ref="F18"/>
    <hyperlink r:id="rId29" ref="E19"/>
  </hyperlinks>
  <drawing r:id="rId30"/>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4.88"/>
    <col customWidth="1" min="3" max="3" width="17.25"/>
    <col customWidth="1" min="4" max="4" width="20.0"/>
    <col customWidth="1" min="8" max="8" width="26.38"/>
  </cols>
  <sheetData>
    <row r="1">
      <c r="A1" s="222" t="s">
        <v>5743</v>
      </c>
      <c r="B1" s="3"/>
      <c r="C1" s="3"/>
      <c r="D1" s="3"/>
      <c r="E1" s="3"/>
      <c r="F1" s="3"/>
      <c r="G1" s="3"/>
      <c r="H1" s="3"/>
      <c r="I1" s="5"/>
    </row>
    <row r="2">
      <c r="A2" s="223" t="s">
        <v>240</v>
      </c>
      <c r="B2" s="223" t="s">
        <v>515</v>
      </c>
      <c r="C2" s="223" t="s">
        <v>5744</v>
      </c>
      <c r="D2" s="223" t="s">
        <v>5745</v>
      </c>
      <c r="E2" s="223" t="s">
        <v>2305</v>
      </c>
      <c r="F2" s="223" t="s">
        <v>5746</v>
      </c>
      <c r="G2" s="223" t="s">
        <v>5747</v>
      </c>
      <c r="H2" s="223" t="s">
        <v>32</v>
      </c>
      <c r="I2" s="223" t="s">
        <v>5748</v>
      </c>
    </row>
    <row r="3">
      <c r="A3" s="224">
        <v>1.0</v>
      </c>
      <c r="B3" s="224" t="s">
        <v>5749</v>
      </c>
      <c r="C3" s="224" t="s">
        <v>5750</v>
      </c>
      <c r="D3" s="224" t="s">
        <v>5751</v>
      </c>
      <c r="E3" s="224" t="s">
        <v>5752</v>
      </c>
      <c r="F3" s="224">
        <v>8.700202616E9</v>
      </c>
      <c r="G3" s="289"/>
      <c r="H3" s="224" t="s">
        <v>5754</v>
      </c>
      <c r="I3" s="289"/>
    </row>
    <row r="4">
      <c r="A4" s="224">
        <v>2.0</v>
      </c>
      <c r="B4" s="224" t="s">
        <v>5755</v>
      </c>
      <c r="C4" s="224" t="s">
        <v>5756</v>
      </c>
      <c r="D4" s="224" t="s">
        <v>5757</v>
      </c>
      <c r="E4" s="224" t="s">
        <v>5758</v>
      </c>
      <c r="F4" s="224">
        <v>8.169249354E9</v>
      </c>
      <c r="G4" s="289"/>
      <c r="H4" s="289"/>
      <c r="I4" s="289"/>
    </row>
    <row r="5">
      <c r="A5" s="224">
        <v>3.0</v>
      </c>
      <c r="B5" s="224" t="s">
        <v>5760</v>
      </c>
      <c r="C5" s="224" t="s">
        <v>5761</v>
      </c>
      <c r="D5" s="224" t="s">
        <v>5757</v>
      </c>
      <c r="E5" s="224" t="s">
        <v>5762</v>
      </c>
      <c r="F5" s="224">
        <v>8.130792423E9</v>
      </c>
      <c r="G5" s="289"/>
      <c r="H5" s="224" t="s">
        <v>5763</v>
      </c>
      <c r="I5" s="289"/>
    </row>
    <row r="6">
      <c r="A6" s="224">
        <v>4.0</v>
      </c>
      <c r="B6" s="224" t="s">
        <v>5764</v>
      </c>
      <c r="C6" s="224" t="s">
        <v>5765</v>
      </c>
      <c r="D6" s="224" t="s">
        <v>5757</v>
      </c>
      <c r="E6" s="224" t="s">
        <v>2352</v>
      </c>
      <c r="F6" s="224">
        <v>9.821624213E9</v>
      </c>
      <c r="G6" s="289"/>
      <c r="H6" s="224" t="s">
        <v>5766</v>
      </c>
      <c r="I6" s="289"/>
    </row>
    <row r="7">
      <c r="A7" s="224">
        <v>5.0</v>
      </c>
      <c r="B7" s="224" t="s">
        <v>5767</v>
      </c>
      <c r="C7" s="224" t="s">
        <v>5765</v>
      </c>
      <c r="D7" s="224" t="s">
        <v>5757</v>
      </c>
      <c r="E7" s="224" t="s">
        <v>5768</v>
      </c>
      <c r="F7" s="224">
        <v>9.819224489E9</v>
      </c>
      <c r="G7" s="224">
        <v>9.321787711E9</v>
      </c>
      <c r="H7" s="224" t="s">
        <v>5769</v>
      </c>
      <c r="I7" s="289"/>
    </row>
    <row r="8">
      <c r="A8" s="224">
        <v>6.0</v>
      </c>
      <c r="B8" s="224" t="s">
        <v>5771</v>
      </c>
      <c r="C8" s="224" t="s">
        <v>5772</v>
      </c>
      <c r="D8" s="224" t="s">
        <v>5757</v>
      </c>
      <c r="E8" s="224" t="s">
        <v>5773</v>
      </c>
      <c r="F8" s="224">
        <v>9.769431568E9</v>
      </c>
      <c r="G8" s="224">
        <v>9.953180662E9</v>
      </c>
      <c r="H8" s="224" t="s">
        <v>5774</v>
      </c>
      <c r="I8" s="289"/>
    </row>
    <row r="9">
      <c r="A9" s="224">
        <v>7.0</v>
      </c>
      <c r="B9" s="224" t="s">
        <v>5775</v>
      </c>
      <c r="C9" s="224" t="s">
        <v>5776</v>
      </c>
      <c r="D9" s="224" t="s">
        <v>5757</v>
      </c>
      <c r="E9" s="224" t="s">
        <v>2352</v>
      </c>
      <c r="F9" s="224">
        <v>9.920255456E9</v>
      </c>
      <c r="G9" s="289"/>
      <c r="H9" s="224" t="s">
        <v>5777</v>
      </c>
      <c r="I9" s="289"/>
    </row>
    <row r="10">
      <c r="A10" s="224">
        <v>8.0</v>
      </c>
      <c r="B10" s="224" t="s">
        <v>5778</v>
      </c>
      <c r="C10" s="224" t="s">
        <v>5779</v>
      </c>
      <c r="D10" s="224" t="s">
        <v>5781</v>
      </c>
      <c r="E10" s="224" t="s">
        <v>5782</v>
      </c>
      <c r="F10" s="224">
        <v>9.322069712E9</v>
      </c>
      <c r="G10" s="224">
        <v>9.81941965E9</v>
      </c>
      <c r="H10" s="224" t="s">
        <v>5783</v>
      </c>
      <c r="I10" s="289"/>
    </row>
    <row r="11">
      <c r="A11" s="224">
        <v>9.0</v>
      </c>
      <c r="B11" s="224" t="s">
        <v>5784</v>
      </c>
      <c r="C11" s="224" t="s">
        <v>5785</v>
      </c>
      <c r="D11" s="224" t="s">
        <v>5757</v>
      </c>
      <c r="E11" s="224" t="s">
        <v>5768</v>
      </c>
      <c r="F11" s="224">
        <v>9.322106161E9</v>
      </c>
      <c r="G11" s="224">
        <v>9.324758666E9</v>
      </c>
      <c r="H11" s="224" t="s">
        <v>5786</v>
      </c>
      <c r="I11" s="289"/>
    </row>
    <row r="12">
      <c r="A12" s="224">
        <v>10.0</v>
      </c>
      <c r="B12" s="224" t="s">
        <v>5787</v>
      </c>
      <c r="C12" s="224" t="s">
        <v>5788</v>
      </c>
      <c r="D12" s="224" t="s">
        <v>5789</v>
      </c>
      <c r="E12" s="224" t="s">
        <v>5790</v>
      </c>
      <c r="F12" s="224">
        <v>8.007567054E9</v>
      </c>
      <c r="G12" s="289"/>
      <c r="H12" s="224" t="s">
        <v>5791</v>
      </c>
      <c r="I12" s="289"/>
    </row>
    <row r="13">
      <c r="A13" s="224">
        <v>11.0</v>
      </c>
      <c r="B13" s="224" t="s">
        <v>5792</v>
      </c>
      <c r="C13" s="224" t="s">
        <v>5793</v>
      </c>
      <c r="D13" s="224" t="s">
        <v>5794</v>
      </c>
      <c r="E13" s="224" t="s">
        <v>5790</v>
      </c>
      <c r="F13" s="224">
        <v>9.599385003E9</v>
      </c>
      <c r="G13" s="224">
        <v>9.717843604E9</v>
      </c>
      <c r="H13" s="224" t="s">
        <v>5796</v>
      </c>
      <c r="I13" s="289"/>
    </row>
    <row r="14">
      <c r="A14" s="224">
        <v>12.0</v>
      </c>
      <c r="B14" s="224" t="s">
        <v>5797</v>
      </c>
      <c r="C14" s="224" t="s">
        <v>5799</v>
      </c>
      <c r="D14" s="224" t="s">
        <v>5800</v>
      </c>
      <c r="E14" s="224" t="s">
        <v>5801</v>
      </c>
      <c r="F14" s="224">
        <v>7.875054091E9</v>
      </c>
      <c r="G14" s="289"/>
      <c r="H14" s="224" t="s">
        <v>5802</v>
      </c>
      <c r="I14" s="289"/>
    </row>
    <row r="15">
      <c r="A15" s="224">
        <v>13.0</v>
      </c>
      <c r="B15" s="224" t="s">
        <v>5803</v>
      </c>
      <c r="C15" s="224" t="s">
        <v>5804</v>
      </c>
      <c r="D15" s="224" t="s">
        <v>5757</v>
      </c>
      <c r="E15" s="224" t="s">
        <v>2352</v>
      </c>
      <c r="F15" s="224">
        <v>9.167832485E9</v>
      </c>
      <c r="G15" s="224">
        <v>9.902770249E9</v>
      </c>
      <c r="H15" s="224" t="s">
        <v>5805</v>
      </c>
      <c r="I15" s="289"/>
    </row>
    <row r="16">
      <c r="A16" s="224">
        <v>14.0</v>
      </c>
      <c r="B16" s="224" t="s">
        <v>5807</v>
      </c>
      <c r="C16" s="224" t="s">
        <v>5808</v>
      </c>
      <c r="D16" s="224" t="s">
        <v>5800</v>
      </c>
      <c r="E16" s="224" t="s">
        <v>5782</v>
      </c>
      <c r="F16" s="224">
        <v>9.881807969E9</v>
      </c>
      <c r="G16" s="289"/>
      <c r="H16" s="224" t="s">
        <v>5809</v>
      </c>
      <c r="I16" s="289"/>
    </row>
    <row r="17">
      <c r="A17" s="224">
        <v>15.0</v>
      </c>
      <c r="B17" s="224" t="s">
        <v>5811</v>
      </c>
      <c r="C17" s="224" t="s">
        <v>5812</v>
      </c>
      <c r="D17" s="224" t="s">
        <v>5789</v>
      </c>
      <c r="E17" s="224" t="s">
        <v>5768</v>
      </c>
      <c r="F17" s="224">
        <v>9.900777824E9</v>
      </c>
      <c r="G17" s="224">
        <v>9.53887907E9</v>
      </c>
      <c r="H17" s="224" t="s">
        <v>5813</v>
      </c>
      <c r="I17" s="289"/>
    </row>
    <row r="18">
      <c r="A18" s="224">
        <v>16.0</v>
      </c>
      <c r="B18" s="224" t="s">
        <v>5814</v>
      </c>
      <c r="C18" s="224" t="s">
        <v>5815</v>
      </c>
      <c r="D18" s="224" t="s">
        <v>5816</v>
      </c>
      <c r="E18" s="224" t="s">
        <v>5768</v>
      </c>
      <c r="F18" s="224">
        <v>9.560102455E9</v>
      </c>
      <c r="G18" s="224">
        <v>8.0069867E9</v>
      </c>
      <c r="H18" s="224" t="s">
        <v>5818</v>
      </c>
      <c r="I18" s="289"/>
    </row>
    <row r="19">
      <c r="A19" s="224">
        <v>17.0</v>
      </c>
      <c r="B19" s="289"/>
      <c r="C19" s="289"/>
      <c r="D19" s="289"/>
      <c r="E19" s="289"/>
      <c r="F19" s="289"/>
      <c r="G19" s="289"/>
      <c r="H19" s="289"/>
      <c r="I19" s="289"/>
    </row>
    <row r="20">
      <c r="A20" s="224">
        <v>18.0</v>
      </c>
      <c r="B20" s="224" t="s">
        <v>5820</v>
      </c>
      <c r="C20" s="224" t="s">
        <v>5821</v>
      </c>
      <c r="D20" s="224" t="s">
        <v>5751</v>
      </c>
      <c r="E20" s="224" t="s">
        <v>5762</v>
      </c>
      <c r="F20" s="224">
        <v>9.97133293E9</v>
      </c>
      <c r="G20" s="289"/>
      <c r="H20" s="224" t="s">
        <v>5822</v>
      </c>
      <c r="I20" s="289"/>
    </row>
    <row r="21">
      <c r="A21" s="224">
        <v>19.0</v>
      </c>
      <c r="B21" s="224" t="s">
        <v>5823</v>
      </c>
      <c r="C21" s="224" t="s">
        <v>5824</v>
      </c>
      <c r="D21" s="224" t="s">
        <v>5826</v>
      </c>
      <c r="E21" s="224" t="s">
        <v>2352</v>
      </c>
      <c r="F21" s="224">
        <v>9.687201812E9</v>
      </c>
      <c r="G21" s="289"/>
      <c r="H21" s="224" t="s">
        <v>5827</v>
      </c>
      <c r="I21" s="289"/>
    </row>
    <row r="22">
      <c r="A22" s="224">
        <v>20.0</v>
      </c>
      <c r="B22" s="224" t="s">
        <v>5828</v>
      </c>
      <c r="C22" s="224" t="s">
        <v>5829</v>
      </c>
      <c r="D22" s="224" t="s">
        <v>5826</v>
      </c>
      <c r="E22" s="224" t="s">
        <v>5773</v>
      </c>
      <c r="F22" s="224">
        <v>9.623338909E9</v>
      </c>
      <c r="G22" s="289"/>
      <c r="H22" s="224" t="s">
        <v>5830</v>
      </c>
      <c r="I22" s="289"/>
    </row>
    <row r="23">
      <c r="A23" s="224">
        <v>21.0</v>
      </c>
      <c r="B23" s="289"/>
      <c r="C23" s="224" t="s">
        <v>5831</v>
      </c>
      <c r="D23" s="224" t="s">
        <v>5757</v>
      </c>
      <c r="E23" s="289"/>
      <c r="F23" s="224">
        <v>9.811571657E9</v>
      </c>
      <c r="G23" s="289"/>
      <c r="H23" s="289"/>
      <c r="I23" s="291" t="s">
        <v>5833</v>
      </c>
    </row>
    <row r="24">
      <c r="A24" s="224">
        <v>22.0</v>
      </c>
      <c r="B24" s="289"/>
      <c r="C24" s="224" t="s">
        <v>5835</v>
      </c>
      <c r="D24" s="289"/>
      <c r="E24" s="289"/>
      <c r="F24" s="224">
        <v>9.16761012E9</v>
      </c>
      <c r="G24" s="289"/>
      <c r="H24" s="224" t="s">
        <v>5836</v>
      </c>
      <c r="I24" s="292" t="s">
        <v>5837</v>
      </c>
    </row>
    <row r="25">
      <c r="A25" s="224">
        <v>23.0</v>
      </c>
      <c r="B25" s="289"/>
      <c r="C25" s="224" t="s">
        <v>5838</v>
      </c>
      <c r="D25" s="224" t="s">
        <v>5757</v>
      </c>
      <c r="E25" s="289"/>
      <c r="F25" s="224">
        <v>9.650075931E9</v>
      </c>
      <c r="G25" s="289"/>
      <c r="H25" s="224" t="s">
        <v>5840</v>
      </c>
      <c r="I25" s="292" t="s">
        <v>5841</v>
      </c>
    </row>
    <row r="26">
      <c r="A26" s="224">
        <v>24.0</v>
      </c>
      <c r="B26" s="289"/>
      <c r="C26" s="224" t="s">
        <v>5842</v>
      </c>
      <c r="D26" s="289"/>
      <c r="E26" s="289"/>
      <c r="F26" s="289"/>
      <c r="G26" s="289"/>
      <c r="H26" s="224" t="s">
        <v>5843</v>
      </c>
      <c r="I26" s="292" t="s">
        <v>5844</v>
      </c>
    </row>
    <row r="27">
      <c r="A27" s="224">
        <v>25.0</v>
      </c>
      <c r="B27" s="289"/>
      <c r="C27" s="224" t="s">
        <v>5846</v>
      </c>
      <c r="D27" s="224" t="s">
        <v>5789</v>
      </c>
      <c r="E27" s="289"/>
      <c r="F27" s="289"/>
      <c r="G27" s="289"/>
      <c r="H27" s="224" t="s">
        <v>5847</v>
      </c>
      <c r="I27" s="292" t="s">
        <v>5848</v>
      </c>
    </row>
    <row r="28">
      <c r="A28" s="224">
        <v>26.0</v>
      </c>
      <c r="B28" s="289"/>
      <c r="C28" s="224" t="s">
        <v>5850</v>
      </c>
      <c r="D28" s="289"/>
      <c r="E28" s="289"/>
      <c r="F28" s="289"/>
      <c r="G28" s="289"/>
      <c r="H28" s="224" t="s">
        <v>5851</v>
      </c>
      <c r="I28" s="292" t="s">
        <v>5852</v>
      </c>
    </row>
    <row r="29">
      <c r="A29" s="224">
        <v>27.0</v>
      </c>
      <c r="B29" s="289"/>
      <c r="C29" s="224" t="s">
        <v>5854</v>
      </c>
      <c r="D29" s="289"/>
      <c r="E29" s="289"/>
      <c r="F29" s="289"/>
      <c r="G29" s="289"/>
      <c r="H29" s="224" t="s">
        <v>5856</v>
      </c>
      <c r="I29" s="292" t="s">
        <v>5857</v>
      </c>
    </row>
    <row r="30">
      <c r="A30" s="224">
        <v>28.0</v>
      </c>
      <c r="B30" s="289"/>
      <c r="C30" s="224" t="s">
        <v>5858</v>
      </c>
      <c r="D30" s="224" t="s">
        <v>5757</v>
      </c>
      <c r="E30" s="289"/>
      <c r="F30" s="289"/>
      <c r="G30" s="289"/>
      <c r="H30" s="224" t="s">
        <v>5860</v>
      </c>
      <c r="I30" s="292" t="s">
        <v>5861</v>
      </c>
    </row>
    <row r="31">
      <c r="A31" s="224">
        <v>29.0</v>
      </c>
      <c r="B31" s="289"/>
      <c r="C31" s="224" t="s">
        <v>5863</v>
      </c>
      <c r="D31" s="289"/>
      <c r="E31" s="289"/>
      <c r="F31" s="289"/>
      <c r="G31" s="289"/>
      <c r="H31" s="224" t="s">
        <v>5864</v>
      </c>
      <c r="I31" s="291" t="s">
        <v>5865</v>
      </c>
    </row>
    <row r="32">
      <c r="A32" s="224">
        <v>30.0</v>
      </c>
      <c r="B32" s="289"/>
      <c r="C32" s="224" t="s">
        <v>5869</v>
      </c>
      <c r="D32" s="289"/>
      <c r="E32" s="289"/>
      <c r="F32" s="289"/>
      <c r="G32" s="289"/>
      <c r="H32" s="224" t="s">
        <v>5870</v>
      </c>
      <c r="I32" s="292" t="s">
        <v>5871</v>
      </c>
    </row>
    <row r="33">
      <c r="A33" s="224">
        <v>31.0</v>
      </c>
      <c r="B33" s="289"/>
      <c r="C33" s="224" t="s">
        <v>5872</v>
      </c>
      <c r="D33" s="289"/>
      <c r="E33" s="289"/>
      <c r="F33" s="289"/>
      <c r="G33" s="289"/>
      <c r="H33" s="224" t="s">
        <v>5873</v>
      </c>
      <c r="I33" s="292" t="s">
        <v>5874</v>
      </c>
    </row>
    <row r="34">
      <c r="A34" s="224">
        <v>32.0</v>
      </c>
      <c r="B34" s="289"/>
      <c r="C34" s="224" t="s">
        <v>5875</v>
      </c>
      <c r="D34" s="289"/>
      <c r="E34" s="289"/>
      <c r="F34" s="289"/>
      <c r="G34" s="289"/>
      <c r="H34" s="224" t="s">
        <v>5876</v>
      </c>
      <c r="I34" s="292" t="s">
        <v>5877</v>
      </c>
    </row>
    <row r="35">
      <c r="A35" s="224">
        <v>33.0</v>
      </c>
      <c r="B35" s="224" t="s">
        <v>5760</v>
      </c>
      <c r="C35" s="224" t="s">
        <v>5761</v>
      </c>
      <c r="D35" s="289"/>
      <c r="E35" s="224" t="s">
        <v>5762</v>
      </c>
      <c r="F35" s="224">
        <v>8.130792423E9</v>
      </c>
      <c r="G35" s="289"/>
      <c r="H35" s="224" t="s">
        <v>5763</v>
      </c>
      <c r="I35" s="289"/>
    </row>
    <row r="36">
      <c r="A36" s="224">
        <v>34.0</v>
      </c>
      <c r="B36" s="224" t="s">
        <v>5878</v>
      </c>
      <c r="C36" s="224" t="s">
        <v>5879</v>
      </c>
      <c r="D36" s="289"/>
      <c r="E36" s="289"/>
      <c r="F36" s="289"/>
      <c r="G36" s="289"/>
      <c r="H36" s="224" t="s">
        <v>5880</v>
      </c>
      <c r="I36" s="289"/>
    </row>
    <row r="37">
      <c r="A37" s="224">
        <v>35.0</v>
      </c>
      <c r="B37" s="224" t="s">
        <v>5881</v>
      </c>
      <c r="C37" s="224" t="s">
        <v>5882</v>
      </c>
      <c r="D37" s="289"/>
      <c r="E37" s="289"/>
      <c r="F37" s="224">
        <v>9.466501218E9</v>
      </c>
      <c r="G37" s="289"/>
      <c r="H37" s="289"/>
      <c r="I37" s="289"/>
    </row>
    <row r="38">
      <c r="A38" s="224">
        <v>36.0</v>
      </c>
      <c r="B38" s="224" t="s">
        <v>5883</v>
      </c>
      <c r="C38" s="224" t="s">
        <v>5884</v>
      </c>
      <c r="D38" s="289"/>
      <c r="E38" s="289"/>
      <c r="F38" s="224" t="s">
        <v>5885</v>
      </c>
      <c r="G38" s="289"/>
      <c r="H38" s="224" t="s">
        <v>5886</v>
      </c>
      <c r="I38" s="289"/>
    </row>
    <row r="39">
      <c r="A39" s="224">
        <v>37.0</v>
      </c>
      <c r="B39" s="289"/>
      <c r="C39" s="224" t="s">
        <v>5887</v>
      </c>
      <c r="D39" s="289"/>
      <c r="E39" s="289"/>
      <c r="F39" s="224">
        <v>1.166561234E9</v>
      </c>
      <c r="G39" s="289"/>
      <c r="H39" s="289"/>
      <c r="I39" s="289"/>
    </row>
    <row r="40">
      <c r="A40" s="224">
        <v>38.0</v>
      </c>
      <c r="B40" s="289"/>
      <c r="C40" s="224" t="s">
        <v>5888</v>
      </c>
      <c r="D40" s="289"/>
      <c r="E40" s="289"/>
      <c r="F40" s="224">
        <v>9.873074893E9</v>
      </c>
      <c r="G40" s="289"/>
      <c r="H40" s="289"/>
      <c r="I40" s="289"/>
    </row>
    <row r="41">
      <c r="A41" s="224">
        <v>39.0</v>
      </c>
      <c r="B41" s="289"/>
      <c r="C41" s="224" t="s">
        <v>5889</v>
      </c>
      <c r="D41" s="289"/>
      <c r="E41" s="289"/>
      <c r="F41" s="224">
        <v>1.141000921E9</v>
      </c>
      <c r="G41" s="289"/>
      <c r="H41" s="289"/>
      <c r="I41" s="289"/>
    </row>
    <row r="42">
      <c r="A42" s="224">
        <v>40.0</v>
      </c>
      <c r="B42" s="224" t="s">
        <v>5890</v>
      </c>
      <c r="C42" s="224" t="s">
        <v>5891</v>
      </c>
      <c r="D42" s="289"/>
      <c r="E42" s="289"/>
      <c r="F42" s="289"/>
      <c r="G42" s="289"/>
      <c r="H42" s="289"/>
      <c r="I42" s="289"/>
    </row>
    <row r="43">
      <c r="A43" s="224">
        <v>41.0</v>
      </c>
      <c r="B43" s="224" t="s">
        <v>5892</v>
      </c>
      <c r="C43" s="224" t="s">
        <v>5893</v>
      </c>
      <c r="D43" s="289"/>
      <c r="E43" s="289"/>
      <c r="F43" s="289"/>
      <c r="G43" s="289"/>
      <c r="H43" s="224" t="s">
        <v>5894</v>
      </c>
      <c r="I43" s="289"/>
    </row>
    <row r="44">
      <c r="A44" s="224">
        <v>42.0</v>
      </c>
      <c r="B44" s="289"/>
      <c r="C44" s="224" t="s">
        <v>5895</v>
      </c>
      <c r="D44" s="289"/>
      <c r="E44" s="289"/>
      <c r="F44" s="224">
        <v>9.471643433E9</v>
      </c>
      <c r="G44" s="289"/>
      <c r="H44" s="224" t="s">
        <v>5896</v>
      </c>
      <c r="I44" s="289"/>
    </row>
    <row r="45">
      <c r="A45" s="224">
        <v>43.0</v>
      </c>
      <c r="B45" s="289"/>
      <c r="C45" s="224" t="s">
        <v>5897</v>
      </c>
      <c r="D45" s="289"/>
      <c r="E45" s="289"/>
      <c r="F45" s="224" t="s">
        <v>5898</v>
      </c>
      <c r="G45" s="289"/>
      <c r="H45" s="224" t="s">
        <v>5899</v>
      </c>
      <c r="I45" s="289"/>
    </row>
    <row r="46">
      <c r="A46" s="224">
        <v>44.0</v>
      </c>
      <c r="B46" s="289"/>
      <c r="C46" s="224" t="s">
        <v>5900</v>
      </c>
      <c r="D46" s="289"/>
      <c r="E46" s="289"/>
      <c r="F46" s="224">
        <v>9.620186E9</v>
      </c>
      <c r="G46" s="289"/>
      <c r="H46" s="289"/>
      <c r="I46" s="289"/>
    </row>
    <row r="47">
      <c r="A47" s="224">
        <v>45.0</v>
      </c>
      <c r="B47" s="224" t="s">
        <v>5901</v>
      </c>
      <c r="C47" s="224" t="s">
        <v>5902</v>
      </c>
      <c r="D47" s="289"/>
      <c r="E47" s="289"/>
      <c r="F47" s="289"/>
      <c r="G47" s="289"/>
      <c r="H47" s="224" t="s">
        <v>5903</v>
      </c>
      <c r="I47" s="289"/>
    </row>
    <row r="48">
      <c r="A48" s="224">
        <v>46.0</v>
      </c>
      <c r="B48" s="289"/>
      <c r="C48" s="224" t="s">
        <v>5904</v>
      </c>
      <c r="D48" s="289"/>
      <c r="E48" s="289"/>
      <c r="F48" s="224">
        <v>9.18017039073E11</v>
      </c>
      <c r="G48" s="289"/>
      <c r="H48" s="224" t="s">
        <v>5905</v>
      </c>
      <c r="I48" s="289"/>
    </row>
    <row r="49">
      <c r="A49" s="224">
        <v>47.0</v>
      </c>
      <c r="B49" s="289"/>
      <c r="C49" s="224" t="s">
        <v>5906</v>
      </c>
      <c r="D49" s="289"/>
      <c r="E49" s="289"/>
      <c r="F49" s="224" t="s">
        <v>5907</v>
      </c>
      <c r="G49" s="289"/>
      <c r="H49" s="224" t="s">
        <v>5908</v>
      </c>
      <c r="I49" s="289"/>
    </row>
    <row r="50">
      <c r="A50" s="224">
        <v>48.0</v>
      </c>
      <c r="B50" s="289"/>
      <c r="C50" s="224" t="s">
        <v>5909</v>
      </c>
      <c r="D50" s="289"/>
      <c r="E50" s="289"/>
      <c r="F50" s="224" t="s">
        <v>5910</v>
      </c>
      <c r="G50" s="289"/>
      <c r="H50" s="289"/>
      <c r="I50" s="289"/>
    </row>
    <row r="51">
      <c r="A51" s="224">
        <v>49.0</v>
      </c>
      <c r="B51" s="289"/>
      <c r="C51" s="224" t="s">
        <v>5911</v>
      </c>
      <c r="D51" s="289"/>
      <c r="E51" s="289"/>
      <c r="F51" s="224" t="s">
        <v>5912</v>
      </c>
      <c r="G51" s="289"/>
      <c r="H51" s="289"/>
      <c r="I51" s="289"/>
    </row>
    <row r="52">
      <c r="A52" s="224">
        <v>50.0</v>
      </c>
      <c r="B52" s="224" t="s">
        <v>5913</v>
      </c>
      <c r="C52" s="224" t="s">
        <v>5914</v>
      </c>
      <c r="D52" s="289"/>
      <c r="E52" s="289"/>
      <c r="F52" s="224">
        <v>9.810499937E9</v>
      </c>
      <c r="G52" s="289"/>
      <c r="H52" s="224" t="s">
        <v>5915</v>
      </c>
      <c r="I52" s="289"/>
    </row>
    <row r="53">
      <c r="A53" s="224">
        <v>51.0</v>
      </c>
      <c r="B53" s="289"/>
      <c r="C53" s="224" t="s">
        <v>5916</v>
      </c>
      <c r="D53" s="289"/>
      <c r="E53" s="289"/>
      <c r="F53" s="224">
        <v>9.854367327E9</v>
      </c>
      <c r="G53" s="289"/>
      <c r="H53" s="289"/>
      <c r="I53" s="289"/>
    </row>
    <row r="54">
      <c r="A54" s="224">
        <v>52.0</v>
      </c>
      <c r="B54" s="289"/>
      <c r="C54" s="224" t="s">
        <v>5917</v>
      </c>
      <c r="D54" s="289"/>
      <c r="E54" s="289"/>
      <c r="F54" s="224">
        <v>9.811202206E9</v>
      </c>
      <c r="G54" s="289"/>
      <c r="H54" s="224" t="s">
        <v>5918</v>
      </c>
      <c r="I54" s="289"/>
    </row>
    <row r="55">
      <c r="A55" s="224">
        <v>53.0</v>
      </c>
      <c r="B55" s="224" t="s">
        <v>5919</v>
      </c>
      <c r="C55" s="224" t="s">
        <v>5920</v>
      </c>
      <c r="D55" s="289"/>
      <c r="E55" s="289"/>
      <c r="F55" s="224">
        <v>9.3109707875E10</v>
      </c>
      <c r="G55" s="289"/>
      <c r="H55" s="224" t="s">
        <v>5921</v>
      </c>
      <c r="I55" s="289"/>
    </row>
    <row r="56">
      <c r="A56" s="224">
        <v>54.0</v>
      </c>
      <c r="B56" s="224" t="s">
        <v>5922</v>
      </c>
      <c r="C56" s="224" t="s">
        <v>5923</v>
      </c>
      <c r="D56" s="289"/>
      <c r="E56" s="289"/>
      <c r="F56" s="224">
        <v>8.588801217E9</v>
      </c>
      <c r="G56" s="289"/>
      <c r="H56" s="224" t="s">
        <v>5924</v>
      </c>
      <c r="I56" s="289"/>
    </row>
    <row r="57">
      <c r="A57" s="224">
        <v>55.0</v>
      </c>
      <c r="B57" s="224" t="s">
        <v>5925</v>
      </c>
      <c r="C57" s="224" t="s">
        <v>5926</v>
      </c>
      <c r="D57" s="289"/>
      <c r="E57" s="289"/>
      <c r="F57" s="224">
        <v>9.87137408E9</v>
      </c>
      <c r="G57" s="289"/>
      <c r="H57" s="224" t="s">
        <v>5927</v>
      </c>
      <c r="I57" s="289"/>
    </row>
    <row r="58">
      <c r="A58" s="224">
        <v>56.0</v>
      </c>
      <c r="B58" s="224" t="s">
        <v>5928</v>
      </c>
      <c r="C58" s="224" t="s">
        <v>5929</v>
      </c>
      <c r="D58" s="289"/>
      <c r="E58" s="289"/>
      <c r="F58" s="224">
        <v>9.611260024E9</v>
      </c>
      <c r="G58" s="289"/>
      <c r="H58" s="289"/>
      <c r="I58" s="289"/>
    </row>
    <row r="59">
      <c r="A59" s="224">
        <v>57.0</v>
      </c>
      <c r="B59" s="289"/>
      <c r="C59" s="224" t="s">
        <v>5930</v>
      </c>
      <c r="D59" s="289"/>
      <c r="E59" s="289"/>
      <c r="F59" s="289"/>
      <c r="G59" s="289"/>
      <c r="H59" s="224" t="s">
        <v>5931</v>
      </c>
      <c r="I59" s="289"/>
    </row>
    <row r="60">
      <c r="A60" s="224">
        <v>58.0</v>
      </c>
      <c r="B60" s="289"/>
      <c r="C60" s="224" t="s">
        <v>5932</v>
      </c>
      <c r="D60" s="289"/>
      <c r="E60" s="289"/>
      <c r="F60" s="224">
        <v>8.296888111E9</v>
      </c>
      <c r="G60" s="289"/>
      <c r="H60" s="289"/>
      <c r="I60" s="289"/>
    </row>
    <row r="61">
      <c r="A61" s="224">
        <v>59.0</v>
      </c>
      <c r="B61" s="289"/>
      <c r="C61" s="224" t="s">
        <v>5933</v>
      </c>
      <c r="D61" s="289"/>
      <c r="E61" s="289"/>
      <c r="F61" s="289"/>
      <c r="G61" s="289"/>
      <c r="H61" s="289"/>
      <c r="I61" s="289"/>
    </row>
    <row r="62">
      <c r="A62" s="224">
        <v>60.0</v>
      </c>
      <c r="B62" s="289"/>
      <c r="C62" s="224" t="s">
        <v>5934</v>
      </c>
      <c r="D62" s="289"/>
      <c r="E62" s="289"/>
      <c r="F62" s="289"/>
      <c r="G62" s="289"/>
      <c r="H62" s="289"/>
      <c r="I62" s="289"/>
    </row>
    <row r="63">
      <c r="A63" s="224">
        <v>61.0</v>
      </c>
      <c r="B63" s="224" t="s">
        <v>5935</v>
      </c>
      <c r="C63" s="224" t="s">
        <v>5936</v>
      </c>
      <c r="D63" s="289"/>
      <c r="E63" s="289"/>
      <c r="F63" s="224">
        <v>8.169249354E9</v>
      </c>
      <c r="G63" s="289"/>
      <c r="H63" s="289"/>
      <c r="I63" s="289"/>
    </row>
    <row r="64">
      <c r="A64" s="224">
        <v>62.0</v>
      </c>
      <c r="B64" s="224" t="s">
        <v>5760</v>
      </c>
      <c r="C64" s="224" t="s">
        <v>5761</v>
      </c>
      <c r="D64" s="289"/>
      <c r="E64" s="289"/>
      <c r="F64" s="224">
        <v>8.130792423E9</v>
      </c>
      <c r="G64" s="289"/>
      <c r="H64" s="224" t="s">
        <v>5763</v>
      </c>
      <c r="I64" s="289"/>
    </row>
    <row r="65">
      <c r="A65" s="224">
        <v>63.0</v>
      </c>
      <c r="B65" s="224" t="s">
        <v>5811</v>
      </c>
      <c r="C65" s="224" t="s">
        <v>5937</v>
      </c>
      <c r="D65" s="289"/>
      <c r="E65" s="289"/>
      <c r="F65" s="224">
        <v>9.900777824E9</v>
      </c>
      <c r="G65" s="289"/>
      <c r="H65" s="224" t="s">
        <v>5938</v>
      </c>
      <c r="I65" s="289"/>
    </row>
    <row r="66">
      <c r="A66" s="224">
        <v>64.0</v>
      </c>
      <c r="B66" s="224" t="s">
        <v>5939</v>
      </c>
      <c r="C66" s="224" t="s">
        <v>5940</v>
      </c>
      <c r="D66" s="289"/>
      <c r="E66" s="289"/>
      <c r="F66" s="224">
        <v>8.210645168E9</v>
      </c>
      <c r="G66" s="289"/>
      <c r="H66" s="224" t="s">
        <v>5941</v>
      </c>
      <c r="I66" s="289"/>
    </row>
    <row r="67">
      <c r="A67" s="224">
        <v>65.0</v>
      </c>
      <c r="B67" s="224" t="s">
        <v>5942</v>
      </c>
      <c r="C67" s="224" t="s">
        <v>5943</v>
      </c>
      <c r="D67" s="289"/>
      <c r="E67" s="289"/>
      <c r="F67" s="224">
        <v>9.712912057E9</v>
      </c>
      <c r="G67" s="289"/>
      <c r="H67" s="289"/>
      <c r="I67" s="289"/>
    </row>
    <row r="68">
      <c r="A68" s="224">
        <v>66.0</v>
      </c>
      <c r="B68" s="289"/>
      <c r="C68" s="224" t="s">
        <v>5944</v>
      </c>
      <c r="D68" s="289"/>
      <c r="E68" s="289"/>
      <c r="F68" s="224">
        <v>9.901677995E9</v>
      </c>
      <c r="G68" s="289"/>
      <c r="H68" s="224" t="s">
        <v>5945</v>
      </c>
      <c r="I68" s="289"/>
    </row>
    <row r="69">
      <c r="A69" s="224">
        <v>67.0</v>
      </c>
      <c r="B69" s="224" t="s">
        <v>5946</v>
      </c>
      <c r="C69" s="224" t="s">
        <v>5947</v>
      </c>
      <c r="D69" s="289"/>
      <c r="E69" s="289"/>
      <c r="F69" s="224">
        <v>9.599051687E9</v>
      </c>
      <c r="G69" s="289"/>
      <c r="H69" s="224" t="s">
        <v>5948</v>
      </c>
      <c r="I69" s="289"/>
    </row>
    <row r="70">
      <c r="A70" s="224">
        <v>68.0</v>
      </c>
      <c r="B70" s="224" t="s">
        <v>5767</v>
      </c>
      <c r="C70" s="224" t="s">
        <v>5949</v>
      </c>
      <c r="D70" s="289"/>
      <c r="E70" s="289"/>
      <c r="F70" s="224">
        <v>9.819224489E9</v>
      </c>
      <c r="G70" s="289"/>
      <c r="H70" s="224" t="s">
        <v>5769</v>
      </c>
      <c r="I70" s="289"/>
    </row>
    <row r="71">
      <c r="A71" s="224">
        <v>69.0</v>
      </c>
      <c r="B71" s="224" t="s">
        <v>5950</v>
      </c>
      <c r="C71" s="224" t="s">
        <v>5951</v>
      </c>
      <c r="D71" s="289"/>
      <c r="E71" s="289"/>
      <c r="F71" s="224">
        <v>9.560102455E9</v>
      </c>
      <c r="G71" s="289"/>
      <c r="H71" s="224" t="s">
        <v>5952</v>
      </c>
      <c r="I71" s="289"/>
    </row>
    <row r="72">
      <c r="A72" s="224">
        <v>70.0</v>
      </c>
      <c r="B72" s="224" t="s">
        <v>5807</v>
      </c>
      <c r="C72" s="224" t="s">
        <v>5953</v>
      </c>
      <c r="D72" s="289"/>
      <c r="E72" s="289"/>
      <c r="F72" s="224">
        <v>9.881807969E9</v>
      </c>
      <c r="G72" s="289"/>
      <c r="H72" s="224" t="s">
        <v>5809</v>
      </c>
      <c r="I72" s="289"/>
    </row>
    <row r="73">
      <c r="A73" s="224">
        <v>71.0</v>
      </c>
      <c r="B73" s="224" t="s">
        <v>5797</v>
      </c>
      <c r="C73" s="224" t="s">
        <v>5799</v>
      </c>
      <c r="D73" s="289"/>
      <c r="E73" s="289"/>
      <c r="F73" s="224">
        <v>7.875054091E9</v>
      </c>
      <c r="G73" s="289"/>
      <c r="H73" s="224" t="s">
        <v>5802</v>
      </c>
      <c r="I73" s="289"/>
    </row>
    <row r="74">
      <c r="A74" s="224">
        <v>72.0</v>
      </c>
      <c r="B74" s="289"/>
      <c r="C74" s="224" t="s">
        <v>5954</v>
      </c>
      <c r="D74" s="289"/>
      <c r="E74" s="289"/>
      <c r="F74" s="224">
        <v>7.80286803E9</v>
      </c>
      <c r="G74" s="289"/>
      <c r="H74" s="224" t="s">
        <v>5955</v>
      </c>
      <c r="I74" s="289"/>
    </row>
    <row r="75">
      <c r="A75" s="224">
        <v>73.0</v>
      </c>
      <c r="B75" s="289"/>
      <c r="C75" s="224" t="s">
        <v>5956</v>
      </c>
      <c r="D75" s="289"/>
      <c r="E75" s="289"/>
      <c r="F75" s="289"/>
      <c r="G75" s="289"/>
      <c r="H75" s="224" t="s">
        <v>5864</v>
      </c>
      <c r="I75" s="289"/>
    </row>
    <row r="76">
      <c r="A76" s="224">
        <v>74.0</v>
      </c>
      <c r="B76" s="289"/>
      <c r="C76" s="224" t="s">
        <v>5957</v>
      </c>
      <c r="D76" s="289"/>
      <c r="E76" s="289"/>
      <c r="F76" s="224">
        <v>9.873002527E9</v>
      </c>
      <c r="G76" s="289"/>
      <c r="H76" s="289"/>
      <c r="I76" s="289"/>
    </row>
    <row r="77">
      <c r="A77" s="224">
        <v>75.0</v>
      </c>
      <c r="B77" s="289"/>
      <c r="C77" s="224" t="s">
        <v>5958</v>
      </c>
      <c r="D77" s="289"/>
      <c r="E77" s="289"/>
      <c r="F77" s="224" t="s">
        <v>5959</v>
      </c>
      <c r="G77" s="289"/>
      <c r="H77" s="289"/>
      <c r="I77" s="289"/>
    </row>
    <row r="78">
      <c r="A78" s="224">
        <v>76.0</v>
      </c>
      <c r="B78" s="289"/>
      <c r="C78" s="224" t="s">
        <v>5960</v>
      </c>
      <c r="D78" s="289"/>
      <c r="E78" s="289"/>
      <c r="F78" s="224">
        <v>9.811571657E9</v>
      </c>
      <c r="G78" s="289"/>
      <c r="H78" s="289"/>
      <c r="I78" s="289"/>
    </row>
    <row r="79">
      <c r="A79" s="224">
        <v>77.0</v>
      </c>
      <c r="B79" s="224" t="s">
        <v>5778</v>
      </c>
      <c r="C79" s="224" t="s">
        <v>5779</v>
      </c>
      <c r="D79" s="289"/>
      <c r="E79" s="289"/>
      <c r="F79" s="224">
        <v>9.322069712E9</v>
      </c>
      <c r="G79" s="289"/>
      <c r="H79" s="224" t="s">
        <v>5783</v>
      </c>
      <c r="I79" s="289"/>
    </row>
    <row r="80">
      <c r="A80" s="224">
        <v>78.0</v>
      </c>
      <c r="B80" s="224" t="s">
        <v>5787</v>
      </c>
      <c r="C80" s="224" t="s">
        <v>5961</v>
      </c>
      <c r="D80" s="289"/>
      <c r="E80" s="289"/>
      <c r="F80" s="224">
        <v>8.007567054E9</v>
      </c>
      <c r="G80" s="289"/>
      <c r="H80" s="224" t="s">
        <v>5791</v>
      </c>
      <c r="I80" s="289"/>
    </row>
    <row r="81">
      <c r="A81" s="224">
        <v>79.0</v>
      </c>
      <c r="B81" s="224" t="s">
        <v>5962</v>
      </c>
      <c r="C81" s="224" t="s">
        <v>5963</v>
      </c>
      <c r="D81" s="289"/>
      <c r="E81" s="289"/>
      <c r="F81" s="224">
        <v>8.826627452E9</v>
      </c>
      <c r="G81" s="289"/>
      <c r="H81" s="224" t="s">
        <v>5964</v>
      </c>
      <c r="I81" s="289"/>
    </row>
    <row r="82">
      <c r="A82" s="224">
        <v>80.0</v>
      </c>
      <c r="B82" s="224" t="s">
        <v>5965</v>
      </c>
      <c r="C82" s="224" t="s">
        <v>5966</v>
      </c>
      <c r="D82" s="289"/>
      <c r="E82" s="289"/>
      <c r="F82" s="289"/>
      <c r="G82" s="289"/>
      <c r="H82" s="289"/>
      <c r="I82" s="289"/>
    </row>
    <row r="83">
      <c r="A83" s="224">
        <v>81.0</v>
      </c>
      <c r="B83" s="224" t="s">
        <v>5967</v>
      </c>
      <c r="C83" s="224" t="s">
        <v>5968</v>
      </c>
      <c r="D83" s="289"/>
      <c r="E83" s="289"/>
      <c r="F83" s="289"/>
      <c r="G83" s="289"/>
      <c r="H83" s="289"/>
      <c r="I83" s="289"/>
    </row>
    <row r="84">
      <c r="A84" s="224">
        <v>82.0</v>
      </c>
      <c r="B84" s="224" t="s">
        <v>5969</v>
      </c>
      <c r="C84" s="224" t="s">
        <v>5970</v>
      </c>
      <c r="D84" s="289"/>
      <c r="E84" s="289"/>
      <c r="F84" s="289"/>
      <c r="G84" s="289"/>
      <c r="H84" s="289"/>
      <c r="I84" s="289"/>
    </row>
    <row r="85">
      <c r="A85" s="224">
        <v>83.0</v>
      </c>
      <c r="B85" s="224" t="s">
        <v>5971</v>
      </c>
      <c r="C85" s="224" t="s">
        <v>5972</v>
      </c>
      <c r="D85" s="289"/>
      <c r="E85" s="289"/>
      <c r="F85" s="289"/>
      <c r="G85" s="289"/>
      <c r="H85" s="289"/>
      <c r="I85" s="289"/>
    </row>
    <row r="86">
      <c r="A86" s="224">
        <v>84.0</v>
      </c>
      <c r="B86" s="224" t="s">
        <v>5973</v>
      </c>
      <c r="C86" s="224" t="s">
        <v>5974</v>
      </c>
      <c r="D86" s="289"/>
      <c r="E86" s="289"/>
      <c r="F86" s="289"/>
      <c r="G86" s="289"/>
      <c r="H86" s="289"/>
      <c r="I86" s="289"/>
    </row>
    <row r="87">
      <c r="A87" s="224">
        <v>85.0</v>
      </c>
      <c r="B87" s="289"/>
      <c r="C87" s="224" t="s">
        <v>5975</v>
      </c>
      <c r="D87" s="289"/>
      <c r="E87" s="289"/>
      <c r="F87" s="224">
        <v>9.971139774E9</v>
      </c>
      <c r="G87" s="289"/>
      <c r="H87" s="224" t="s">
        <v>5976</v>
      </c>
      <c r="I87" s="289"/>
    </row>
    <row r="88">
      <c r="A88" s="224">
        <v>86.0</v>
      </c>
      <c r="B88" s="289"/>
      <c r="C88" s="224" t="s">
        <v>5977</v>
      </c>
      <c r="D88" s="289"/>
      <c r="E88" s="289"/>
      <c r="F88" s="224">
        <v>9.911457077E9</v>
      </c>
      <c r="G88" s="289"/>
      <c r="H88" s="224" t="s">
        <v>5978</v>
      </c>
      <c r="I88" s="289"/>
    </row>
    <row r="89">
      <c r="A89" s="224">
        <v>87.0</v>
      </c>
      <c r="B89" s="289"/>
      <c r="C89" s="224" t="s">
        <v>5979</v>
      </c>
      <c r="D89" s="289"/>
      <c r="E89" s="289"/>
      <c r="F89" s="224">
        <v>8.066465757E9</v>
      </c>
      <c r="G89" s="289"/>
      <c r="H89" s="289"/>
      <c r="I89" s="289"/>
    </row>
    <row r="90">
      <c r="A90" s="224">
        <v>88.0</v>
      </c>
      <c r="B90" s="289"/>
      <c r="C90" s="224" t="s">
        <v>5980</v>
      </c>
      <c r="D90" s="289"/>
      <c r="E90" s="289"/>
      <c r="F90" s="224">
        <v>6.366857694E9</v>
      </c>
      <c r="G90" s="289"/>
      <c r="H90" s="289"/>
      <c r="I90" s="289"/>
    </row>
    <row r="91">
      <c r="A91" s="224">
        <v>89.0</v>
      </c>
      <c r="B91" s="224" t="s">
        <v>5981</v>
      </c>
      <c r="C91" s="224" t="s">
        <v>5982</v>
      </c>
      <c r="D91" s="289"/>
      <c r="E91" s="289"/>
      <c r="F91" s="224">
        <v>9.769211416E9</v>
      </c>
      <c r="G91" s="289"/>
      <c r="H91" s="289"/>
      <c r="I91" s="289"/>
    </row>
    <row r="92">
      <c r="A92" s="224">
        <v>90.0</v>
      </c>
      <c r="B92" s="224" t="s">
        <v>5983</v>
      </c>
      <c r="C92" s="224" t="s">
        <v>5984</v>
      </c>
      <c r="D92" s="289"/>
      <c r="E92" s="289"/>
      <c r="F92" s="224">
        <v>9.871328926E9</v>
      </c>
      <c r="G92" s="289"/>
      <c r="H92" s="289"/>
      <c r="I92" s="289"/>
    </row>
    <row r="93">
      <c r="A93" s="224">
        <v>91.0</v>
      </c>
      <c r="B93" s="289"/>
      <c r="C93" s="224" t="s">
        <v>5985</v>
      </c>
      <c r="D93" s="289"/>
      <c r="E93" s="289"/>
      <c r="F93" s="224">
        <v>8.0950516E9</v>
      </c>
      <c r="G93" s="289"/>
      <c r="H93" s="224" t="s">
        <v>5986</v>
      </c>
      <c r="I93" s="289"/>
    </row>
    <row r="94">
      <c r="A94" s="224">
        <v>92.0</v>
      </c>
      <c r="B94" s="289"/>
      <c r="C94" s="224" t="s">
        <v>5987</v>
      </c>
      <c r="D94" s="289"/>
      <c r="E94" s="289"/>
      <c r="F94" s="224">
        <v>9.711488185E9</v>
      </c>
      <c r="G94" s="289"/>
      <c r="H94" s="224" t="s">
        <v>5988</v>
      </c>
      <c r="I94" s="289"/>
    </row>
    <row r="95">
      <c r="A95" s="224">
        <v>93.0</v>
      </c>
      <c r="B95" s="289"/>
      <c r="C95" s="224" t="s">
        <v>5989</v>
      </c>
      <c r="D95" s="289"/>
      <c r="E95" s="289"/>
      <c r="F95" s="224">
        <v>7.727916663E9</v>
      </c>
      <c r="G95" s="289"/>
      <c r="H95" s="224" t="s">
        <v>5990</v>
      </c>
      <c r="I95" s="289"/>
    </row>
    <row r="96">
      <c r="A96" s="224">
        <v>94.0</v>
      </c>
      <c r="B96" s="289"/>
      <c r="C96" s="224" t="s">
        <v>5991</v>
      </c>
      <c r="D96" s="289"/>
      <c r="E96" s="289"/>
      <c r="F96" s="224">
        <v>8.686336312E9</v>
      </c>
      <c r="G96" s="289"/>
      <c r="H96" s="224" t="s">
        <v>5992</v>
      </c>
      <c r="I96" s="289"/>
    </row>
    <row r="97">
      <c r="A97" s="224">
        <v>95.0</v>
      </c>
      <c r="B97" s="289"/>
      <c r="C97" s="224" t="s">
        <v>5993</v>
      </c>
      <c r="D97" s="289"/>
      <c r="E97" s="289"/>
      <c r="F97" s="224">
        <v>9.12266019999E11</v>
      </c>
      <c r="G97" s="289"/>
      <c r="H97" s="224" t="s">
        <v>5994</v>
      </c>
      <c r="I97" s="289"/>
    </row>
    <row r="98">
      <c r="A98" s="224">
        <v>96.0</v>
      </c>
      <c r="B98" s="224" t="s">
        <v>5995</v>
      </c>
      <c r="C98" s="224" t="s">
        <v>5996</v>
      </c>
      <c r="D98" s="289"/>
      <c r="E98" s="289"/>
      <c r="F98" s="224">
        <v>9.739561394E9</v>
      </c>
      <c r="G98" s="289"/>
      <c r="H98" s="289"/>
      <c r="I98" s="289"/>
    </row>
    <row r="99">
      <c r="A99" s="224">
        <v>97.0</v>
      </c>
      <c r="B99" s="289"/>
      <c r="C99" s="224" t="s">
        <v>5997</v>
      </c>
      <c r="D99" s="289"/>
      <c r="E99" s="289"/>
      <c r="F99" s="224">
        <v>8.099973333E9</v>
      </c>
      <c r="G99" s="289"/>
      <c r="H99" s="289"/>
      <c r="I99" s="289"/>
    </row>
    <row r="100">
      <c r="A100" s="224">
        <v>98.0</v>
      </c>
      <c r="B100" s="289"/>
      <c r="C100" s="224" t="s">
        <v>5998</v>
      </c>
      <c r="D100" s="289"/>
      <c r="E100" s="289"/>
      <c r="F100" s="224">
        <v>9.711592822E9</v>
      </c>
      <c r="G100" s="289"/>
      <c r="H100" s="289"/>
      <c r="I100" s="289"/>
    </row>
    <row r="101">
      <c r="A101" s="224">
        <v>99.0</v>
      </c>
      <c r="B101" s="289"/>
      <c r="C101" s="224" t="s">
        <v>5999</v>
      </c>
      <c r="D101" s="289"/>
      <c r="E101" s="289"/>
      <c r="F101" s="224">
        <v>9.31005438E9</v>
      </c>
      <c r="G101" s="289"/>
      <c r="H101" s="224" t="s">
        <v>6000</v>
      </c>
      <c r="I101" s="289"/>
    </row>
    <row r="102">
      <c r="A102" s="224">
        <v>100.0</v>
      </c>
      <c r="B102" s="289"/>
      <c r="C102" s="224" t="s">
        <v>6001</v>
      </c>
      <c r="D102" s="289"/>
      <c r="E102" s="289"/>
      <c r="F102" s="224">
        <v>8.800090639E9</v>
      </c>
      <c r="G102" s="289"/>
      <c r="H102" s="289"/>
      <c r="I102" s="289"/>
    </row>
    <row r="103">
      <c r="A103" s="224">
        <v>101.0</v>
      </c>
      <c r="B103" s="289"/>
      <c r="C103" s="224" t="s">
        <v>5943</v>
      </c>
      <c r="D103" s="289"/>
      <c r="E103" s="289"/>
      <c r="F103" s="224">
        <v>9.712912057E9</v>
      </c>
      <c r="G103" s="289"/>
      <c r="H103" s="289"/>
      <c r="I103" s="289"/>
    </row>
    <row r="104">
      <c r="A104" s="224">
        <v>102.0</v>
      </c>
      <c r="B104" s="289"/>
      <c r="C104" s="224" t="s">
        <v>6002</v>
      </c>
      <c r="D104" s="289"/>
      <c r="E104" s="289"/>
      <c r="F104" s="224">
        <v>8.291856155E9</v>
      </c>
      <c r="G104" s="289"/>
      <c r="H104" s="289"/>
      <c r="I104" s="289"/>
    </row>
    <row r="105">
      <c r="A105" s="224">
        <v>103.0</v>
      </c>
      <c r="B105" s="289"/>
      <c r="C105" s="224" t="s">
        <v>6003</v>
      </c>
      <c r="D105" s="289"/>
      <c r="E105" s="289"/>
      <c r="F105" s="224">
        <v>9.880417582E9</v>
      </c>
      <c r="G105" s="289"/>
      <c r="H105" s="289"/>
      <c r="I105" s="289"/>
    </row>
  </sheetData>
  <mergeCells count="1">
    <mergeCell ref="A1:I1"/>
  </mergeCells>
  <hyperlinks>
    <hyperlink r:id="rId1" ref="I23"/>
    <hyperlink r:id="rId2" ref="I24"/>
    <hyperlink r:id="rId3" ref="I25"/>
    <hyperlink r:id="rId4" ref="I26"/>
    <hyperlink r:id="rId5" ref="I27"/>
    <hyperlink r:id="rId6" ref="I28"/>
    <hyperlink r:id="rId7" ref="I29"/>
    <hyperlink r:id="rId8" ref="I30"/>
    <hyperlink r:id="rId9" ref="I31"/>
    <hyperlink r:id="rId10" ref="I32"/>
    <hyperlink r:id="rId11" ref="I33"/>
    <hyperlink r:id="rId12" ref="I34"/>
  </hyperlinks>
  <drawing r:id="rId13"/>
</worksheet>
</file>